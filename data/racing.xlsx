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8_{3CCE8D16-DF3E-4A7D-B951-384B73237CAA}" xr6:coauthVersionLast="47" xr6:coauthVersionMax="47" xr10:uidLastSave="{00000000-0000-0000-0000-000000000000}"/>
  <bookViews>
    <workbookView xWindow="-113" yWindow="-113" windowWidth="24267" windowHeight="13023" xr2:uid="{265BB77F-8C6E-4024-96B2-F35E4D407AEB}"/>
  </bookViews>
  <sheets>
    <sheet name="OPPO CLIMBER" sheetId="1" r:id="rId1"/>
    <sheet name="1 SHIFT 1 STORE" sheetId="2" r:id="rId2"/>
    <sheet name="TELKOMSEL" sheetId="3" r:id="rId3"/>
    <sheet name="INDOSAT" sheetId="4" r:id="rId4"/>
    <sheet name="XL" sheetId="5" r:id="rId5"/>
    <sheet name="RACING VIQOO" sheetId="6" r:id="rId6"/>
    <sheet name="RACING OPPO" sheetId="7" r:id="rId7"/>
    <sheet name="RACING SAMSUNG TABLET" sheetId="8" r:id="rId8"/>
    <sheet name="RACING SAMSUNG A37 - A57" sheetId="9" r:id="rId9"/>
    <sheet name="RACING TECNO CAMON 50 SERIES" sheetId="10" r:id="rId10"/>
    <sheet name="TV" sheetId="11" r:id="rId11"/>
  </sheets>
  <definedNames>
    <definedName name="_xlnm._FilterDatabase" localSheetId="1" hidden="1">'1 SHIFT 1 STORE'!$A$4:$M$69</definedName>
    <definedName name="_xlnm._FilterDatabase" localSheetId="3" hidden="1">INDOSAT!$A$4:$M$208</definedName>
    <definedName name="_xlnm._FilterDatabase" localSheetId="0" hidden="1">'OPPO CLIMBER'!$A$4:$M$37</definedName>
    <definedName name="_xlnm._FilterDatabase" localSheetId="6" hidden="1">'RACING OPPO'!$A$4:$M$152</definedName>
    <definedName name="_xlnm._FilterDatabase" localSheetId="8" hidden="1">'RACING SAMSUNG A37 - A57'!$A$4:$O$190</definedName>
    <definedName name="_xlnm._FilterDatabase" localSheetId="7" hidden="1">'RACING SAMSUNG TABLET'!$A$4:$M$185</definedName>
    <definedName name="_xlnm._FilterDatabase" localSheetId="9" hidden="1">'RACING TECNO CAMON 50 SERIES'!$A$4:$M$134</definedName>
    <definedName name="_xlnm._FilterDatabase" localSheetId="5" hidden="1">'RACING VIQOO'!$A$4:$M$140</definedName>
    <definedName name="_xlnm._FilterDatabase" localSheetId="2" hidden="1">TELKOMSEL!$A$4:$M$208</definedName>
    <definedName name="_xlnm._FilterDatabase" localSheetId="10" hidden="1">TV!$A$4:$K$229</definedName>
    <definedName name="_xlnm._FilterDatabase" localSheetId="4" hidden="1">XL!$A$4:$M$212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28" i="11" l="1"/>
  <c r="K228" i="11" s="1"/>
  <c r="J138" i="11"/>
  <c r="K138" i="11" s="1"/>
  <c r="J137" i="11"/>
  <c r="K137" i="11" s="1"/>
  <c r="J136" i="11"/>
  <c r="K136" i="11" s="1"/>
  <c r="J135" i="11"/>
  <c r="K135" i="11" s="1"/>
  <c r="J134" i="11"/>
  <c r="K134" i="11" s="1"/>
  <c r="J133" i="11"/>
  <c r="K133" i="11" s="1"/>
  <c r="J132" i="11"/>
  <c r="K132" i="11" s="1"/>
  <c r="J131" i="11"/>
  <c r="K131" i="11" s="1"/>
  <c r="J130" i="11"/>
  <c r="J129" i="11"/>
  <c r="K129" i="11"/>
  <c r="J128" i="11"/>
  <c r="K128" i="11" s="1"/>
  <c r="J127" i="11"/>
  <c r="K127" i="11" s="1"/>
  <c r="J126" i="11"/>
  <c r="K126" i="11" s="1"/>
  <c r="J125" i="11"/>
  <c r="K125" i="11" s="1"/>
  <c r="J124" i="11"/>
  <c r="K123" i="11"/>
  <c r="J123" i="11"/>
  <c r="J122" i="11"/>
  <c r="K122" i="11" s="1"/>
  <c r="J121" i="11"/>
  <c r="K121" i="11" s="1"/>
  <c r="K120" i="11"/>
  <c r="J120" i="11"/>
  <c r="J119" i="11"/>
  <c r="J118" i="11"/>
  <c r="J117" i="11"/>
  <c r="K117" i="11" s="1"/>
  <c r="J116" i="11"/>
  <c r="K116" i="11" s="1"/>
  <c r="J115" i="11"/>
  <c r="K115" i="11" s="1"/>
  <c r="J114" i="11"/>
  <c r="J113" i="11"/>
  <c r="K113" i="11" s="1"/>
  <c r="J112" i="11"/>
  <c r="J111" i="11"/>
  <c r="K111" i="11"/>
  <c r="J110" i="11"/>
  <c r="K110" i="11" s="1"/>
  <c r="J109" i="11"/>
  <c r="K109" i="11" s="1"/>
  <c r="J108" i="11"/>
  <c r="K108" i="11" s="1"/>
  <c r="J107" i="11"/>
  <c r="K107" i="11" s="1"/>
  <c r="J106" i="11"/>
  <c r="J105" i="11"/>
  <c r="K105" i="11"/>
  <c r="J104" i="11"/>
  <c r="K104" i="11" s="1"/>
  <c r="J103" i="11"/>
  <c r="K103" i="11" s="1"/>
  <c r="J102" i="11"/>
  <c r="K102" i="11" s="1"/>
  <c r="J101" i="11"/>
  <c r="K101" i="11" s="1"/>
  <c r="J100" i="11"/>
  <c r="J99" i="11"/>
  <c r="K99" i="11" s="1"/>
  <c r="J98" i="11"/>
  <c r="K98" i="11" s="1"/>
  <c r="J97" i="11"/>
  <c r="K97" i="11" s="1"/>
  <c r="K96" i="11"/>
  <c r="J96" i="11"/>
  <c r="J95" i="11"/>
  <c r="J94" i="11"/>
  <c r="J93" i="11"/>
  <c r="K93" i="11" s="1"/>
  <c r="J92" i="11"/>
  <c r="K92" i="11" s="1"/>
  <c r="J91" i="11"/>
  <c r="K91" i="11" s="1"/>
  <c r="J90" i="11"/>
  <c r="J89" i="11"/>
  <c r="K89" i="11" s="1"/>
  <c r="J88" i="11"/>
  <c r="J87" i="11"/>
  <c r="K87" i="11"/>
  <c r="J86" i="11"/>
  <c r="K86" i="11" s="1"/>
  <c r="J85" i="11"/>
  <c r="K85" i="11" s="1"/>
  <c r="J84" i="11"/>
  <c r="K84" i="11" s="1"/>
  <c r="J83" i="11"/>
  <c r="K83" i="11" s="1"/>
  <c r="J82" i="11"/>
  <c r="J81" i="11"/>
  <c r="K81" i="11"/>
  <c r="J80" i="11"/>
  <c r="K80" i="11" s="1"/>
  <c r="J79" i="11"/>
  <c r="K79" i="11" s="1"/>
  <c r="J78" i="11"/>
  <c r="K78" i="11" s="1"/>
  <c r="J77" i="11"/>
  <c r="K77" i="11" s="1"/>
  <c r="J76" i="11"/>
  <c r="J75" i="11"/>
  <c r="K75" i="11" s="1"/>
  <c r="J74" i="11"/>
  <c r="K74" i="11" s="1"/>
  <c r="J73" i="11"/>
  <c r="K73" i="11" s="1"/>
  <c r="J72" i="11"/>
  <c r="K72" i="11" s="1"/>
  <c r="J71" i="11"/>
  <c r="J70" i="11"/>
  <c r="J69" i="11"/>
  <c r="K69" i="11" s="1"/>
  <c r="J68" i="11"/>
  <c r="K68" i="11" s="1"/>
  <c r="J67" i="11"/>
  <c r="K67" i="11" s="1"/>
  <c r="J66" i="11"/>
  <c r="J65" i="11"/>
  <c r="K65" i="11" s="1"/>
  <c r="J64" i="11"/>
  <c r="J63" i="11"/>
  <c r="K63" i="11" s="1"/>
  <c r="J62" i="11"/>
  <c r="K62" i="11" s="1"/>
  <c r="J61" i="11"/>
  <c r="K61" i="11" s="1"/>
  <c r="J60" i="11"/>
  <c r="K60" i="11" s="1"/>
  <c r="J59" i="11"/>
  <c r="K59" i="11" s="1"/>
  <c r="J58" i="11"/>
  <c r="J57" i="11"/>
  <c r="K57" i="11"/>
  <c r="J56" i="11"/>
  <c r="K56" i="11" s="1"/>
  <c r="J55" i="11"/>
  <c r="K55" i="11" s="1"/>
  <c r="J54" i="11"/>
  <c r="K54" i="11" s="1"/>
  <c r="J53" i="11"/>
  <c r="K53" i="11" s="1"/>
  <c r="J52" i="11"/>
  <c r="J51" i="11"/>
  <c r="K51" i="11" s="1"/>
  <c r="J50" i="11"/>
  <c r="K50" i="11" s="1"/>
  <c r="J49" i="11"/>
  <c r="K49" i="11" s="1"/>
  <c r="K48" i="11"/>
  <c r="J48" i="11"/>
  <c r="J47" i="11"/>
  <c r="J46" i="11"/>
  <c r="J45" i="11"/>
  <c r="K45" i="11" s="1"/>
  <c r="J44" i="11"/>
  <c r="K44" i="11" s="1"/>
  <c r="J43" i="11"/>
  <c r="K43" i="11" s="1"/>
  <c r="J42" i="11"/>
  <c r="J41" i="11"/>
  <c r="K41" i="11" s="1"/>
  <c r="J40" i="11"/>
  <c r="J39" i="11"/>
  <c r="K39" i="11" s="1"/>
  <c r="J38" i="11"/>
  <c r="K38" i="11" s="1"/>
  <c r="J37" i="11"/>
  <c r="K37" i="11" s="1"/>
  <c r="J36" i="11"/>
  <c r="K36" i="11" s="1"/>
  <c r="J35" i="11"/>
  <c r="K35" i="11" s="1"/>
  <c r="J34" i="11"/>
  <c r="J33" i="11"/>
  <c r="K33" i="11"/>
  <c r="J32" i="11"/>
  <c r="K32" i="11" s="1"/>
  <c r="J31" i="11"/>
  <c r="K31" i="11" s="1"/>
  <c r="J30" i="11"/>
  <c r="K30" i="11" s="1"/>
  <c r="J29" i="11"/>
  <c r="K29" i="11" s="1"/>
  <c r="J28" i="11"/>
  <c r="J27" i="11"/>
  <c r="K27" i="11" s="1"/>
  <c r="J26" i="11"/>
  <c r="K26" i="11" s="1"/>
  <c r="J25" i="11"/>
  <c r="K25" i="11" s="1"/>
  <c r="J24" i="11"/>
  <c r="K24" i="11" s="1"/>
  <c r="J23" i="11"/>
  <c r="K23" i="11" s="1"/>
  <c r="J22" i="11"/>
  <c r="J21" i="11"/>
  <c r="K21" i="11" s="1"/>
  <c r="J20" i="11"/>
  <c r="K20" i="11" s="1"/>
  <c r="K19" i="11"/>
  <c r="J19" i="11"/>
  <c r="J18" i="11"/>
  <c r="K18" i="11" s="1"/>
  <c r="J17" i="11"/>
  <c r="K17" i="11" s="1"/>
  <c r="J16" i="11"/>
  <c r="J15" i="11"/>
  <c r="K15" i="11" s="1"/>
  <c r="J14" i="11"/>
  <c r="K14" i="11" s="1"/>
  <c r="J13" i="11"/>
  <c r="K13" i="11" s="1"/>
  <c r="J12" i="11"/>
  <c r="K12" i="11" s="1"/>
  <c r="J11" i="11"/>
  <c r="K11" i="11" s="1"/>
  <c r="J10" i="11"/>
  <c r="K10" i="11" s="1"/>
  <c r="J9" i="11"/>
  <c r="K9" i="11" s="1"/>
  <c r="J8" i="11"/>
  <c r="K8" i="11" s="1"/>
  <c r="K7" i="11"/>
  <c r="J7" i="11"/>
  <c r="J6" i="11"/>
  <c r="K6" i="11" s="1"/>
  <c r="O18" i="11"/>
  <c r="A3" i="11"/>
  <c r="N3" i="11" s="1"/>
  <c r="J226" i="11"/>
  <c r="K226" i="11" s="1"/>
  <c r="I134" i="10"/>
  <c r="K116" i="10"/>
  <c r="K67" i="10"/>
  <c r="K64" i="10"/>
  <c r="K61" i="10"/>
  <c r="K55" i="10"/>
  <c r="K44" i="10"/>
  <c r="K34" i="10"/>
  <c r="L34" i="10" s="1"/>
  <c r="K31" i="10"/>
  <c r="K28" i="10"/>
  <c r="K23" i="10"/>
  <c r="K20" i="10"/>
  <c r="K19" i="10"/>
  <c r="K17" i="10"/>
  <c r="K16" i="10"/>
  <c r="M16" i="10" s="1"/>
  <c r="K15" i="10"/>
  <c r="K14" i="10"/>
  <c r="M14" i="10" s="1"/>
  <c r="K11" i="10"/>
  <c r="K10" i="10"/>
  <c r="M8" i="10"/>
  <c r="K8" i="10"/>
  <c r="L8" i="10" s="1"/>
  <c r="S7" i="10"/>
  <c r="K22" i="10"/>
  <c r="J190" i="9"/>
  <c r="I190" i="9"/>
  <c r="L49" i="9"/>
  <c r="L48" i="9"/>
  <c r="L46" i="9"/>
  <c r="L43" i="9"/>
  <c r="L42" i="9"/>
  <c r="L40" i="9"/>
  <c r="L39" i="9"/>
  <c r="L37" i="9"/>
  <c r="L36" i="9"/>
  <c r="L34" i="9"/>
  <c r="L31" i="9"/>
  <c r="L30" i="9"/>
  <c r="L28" i="9"/>
  <c r="L27" i="9"/>
  <c r="S25" i="9"/>
  <c r="T24" i="9"/>
  <c r="L24" i="9"/>
  <c r="L23" i="9"/>
  <c r="U21" i="9"/>
  <c r="L21" i="9"/>
  <c r="S18" i="9"/>
  <c r="L18" i="9"/>
  <c r="U15" i="9"/>
  <c r="L15" i="9"/>
  <c r="S12" i="9"/>
  <c r="L12" i="9"/>
  <c r="U25" i="9"/>
  <c r="T5" i="9"/>
  <c r="V23" i="9"/>
  <c r="T6" i="9"/>
  <c r="U6" i="9"/>
  <c r="L6" i="9"/>
  <c r="U20" i="9"/>
  <c r="L110" i="9"/>
  <c r="I185" i="8"/>
  <c r="K184" i="8"/>
  <c r="K133" i="8"/>
  <c r="K113" i="8"/>
  <c r="K106" i="8"/>
  <c r="K96" i="8"/>
  <c r="K92" i="8"/>
  <c r="K70" i="8"/>
  <c r="K62" i="8"/>
  <c r="K43" i="8"/>
  <c r="K42" i="8"/>
  <c r="M40" i="8"/>
  <c r="K40" i="8"/>
  <c r="L40" i="8" s="1"/>
  <c r="K39" i="8"/>
  <c r="K34" i="8"/>
  <c r="K31" i="8"/>
  <c r="K30" i="8"/>
  <c r="K28" i="8"/>
  <c r="K24" i="8"/>
  <c r="K22" i="8"/>
  <c r="K20" i="8"/>
  <c r="L19" i="8"/>
  <c r="K19" i="8"/>
  <c r="M19" i="8" s="1"/>
  <c r="Q14" i="8"/>
  <c r="K16" i="8"/>
  <c r="K15" i="8"/>
  <c r="K12" i="8"/>
  <c r="K11" i="8"/>
  <c r="K10" i="8"/>
  <c r="K8" i="8"/>
  <c r="L7" i="8"/>
  <c r="K7" i="8"/>
  <c r="M7" i="8" s="1"/>
  <c r="K68" i="8"/>
  <c r="I152" i="7"/>
  <c r="K147" i="7"/>
  <c r="M145" i="7"/>
  <c r="K145" i="7"/>
  <c r="L145" i="7" s="1"/>
  <c r="K144" i="7"/>
  <c r="M144" i="7" s="1"/>
  <c r="K143" i="7"/>
  <c r="K142" i="7"/>
  <c r="K133" i="7"/>
  <c r="K132" i="7"/>
  <c r="M130" i="7"/>
  <c r="K130" i="7"/>
  <c r="L130" i="7" s="1"/>
  <c r="K129" i="7"/>
  <c r="K125" i="7"/>
  <c r="K124" i="7"/>
  <c r="K121" i="7"/>
  <c r="K120" i="7"/>
  <c r="L120" i="7" s="1"/>
  <c r="K118" i="7"/>
  <c r="M116" i="7"/>
  <c r="K116" i="7"/>
  <c r="L116" i="7" s="1"/>
  <c r="K115" i="7"/>
  <c r="K113" i="7"/>
  <c r="K111" i="7"/>
  <c r="K109" i="7"/>
  <c r="L109" i="7" s="1"/>
  <c r="L108" i="7"/>
  <c r="K108" i="7"/>
  <c r="M108" i="7" s="1"/>
  <c r="K107" i="7"/>
  <c r="K106" i="7"/>
  <c r="K104" i="7"/>
  <c r="K101" i="7"/>
  <c r="K100" i="7"/>
  <c r="K97" i="7"/>
  <c r="M96" i="7"/>
  <c r="K96" i="7"/>
  <c r="L96" i="7" s="1"/>
  <c r="K94" i="7"/>
  <c r="K92" i="7"/>
  <c r="L92" i="7" s="1"/>
  <c r="K91" i="7"/>
  <c r="K89" i="7"/>
  <c r="K87" i="7"/>
  <c r="M85" i="7"/>
  <c r="K85" i="7"/>
  <c r="L85" i="7" s="1"/>
  <c r="L84" i="7"/>
  <c r="K84" i="7"/>
  <c r="M84" i="7" s="1"/>
  <c r="K83" i="7"/>
  <c r="K82" i="7"/>
  <c r="K80" i="7"/>
  <c r="K77" i="7"/>
  <c r="K76" i="7"/>
  <c r="K73" i="7"/>
  <c r="M72" i="7"/>
  <c r="K72" i="7"/>
  <c r="L72" i="7" s="1"/>
  <c r="K70" i="7"/>
  <c r="M68" i="7"/>
  <c r="K68" i="7"/>
  <c r="L68" i="7" s="1"/>
  <c r="K67" i="7"/>
  <c r="K65" i="7"/>
  <c r="K63" i="7"/>
  <c r="K61" i="7"/>
  <c r="L61" i="7" s="1"/>
  <c r="K60" i="7"/>
  <c r="M60" i="7" s="1"/>
  <c r="K59" i="7"/>
  <c r="K58" i="7"/>
  <c r="K56" i="7"/>
  <c r="K52" i="7"/>
  <c r="L52" i="7" s="1"/>
  <c r="L51" i="7"/>
  <c r="K51" i="7"/>
  <c r="M51" i="7" s="1"/>
  <c r="K50" i="7"/>
  <c r="K49" i="7"/>
  <c r="K48" i="7"/>
  <c r="L48" i="7" s="1"/>
  <c r="M48" i="7"/>
  <c r="K46" i="7"/>
  <c r="K45" i="7"/>
  <c r="K44" i="7"/>
  <c r="K41" i="7"/>
  <c r="K40" i="7"/>
  <c r="K39" i="7"/>
  <c r="L39" i="7" s="1"/>
  <c r="K37" i="7"/>
  <c r="M37" i="7" s="1"/>
  <c r="K36" i="7"/>
  <c r="L36" i="7" s="1"/>
  <c r="K35" i="7"/>
  <c r="M35" i="7" s="1"/>
  <c r="K34" i="7"/>
  <c r="K32" i="7"/>
  <c r="L32" i="7" s="1"/>
  <c r="K31" i="7"/>
  <c r="K28" i="7"/>
  <c r="M28" i="7" s="1"/>
  <c r="K27" i="7"/>
  <c r="L27" i="7" s="1"/>
  <c r="L26" i="7"/>
  <c r="K26" i="7"/>
  <c r="M26" i="7" s="1"/>
  <c r="K25" i="7"/>
  <c r="M23" i="7"/>
  <c r="K23" i="7"/>
  <c r="L23" i="7" s="1"/>
  <c r="K22" i="7"/>
  <c r="K21" i="7"/>
  <c r="K19" i="7"/>
  <c r="M19" i="7" s="1"/>
  <c r="K18" i="7"/>
  <c r="K17" i="7"/>
  <c r="K16" i="7"/>
  <c r="M16" i="7" s="1"/>
  <c r="K15" i="7"/>
  <c r="K14" i="7"/>
  <c r="L13" i="7"/>
  <c r="K13" i="7"/>
  <c r="M13" i="7" s="1"/>
  <c r="K11" i="7"/>
  <c r="K10" i="7"/>
  <c r="K9" i="7"/>
  <c r="K8" i="7"/>
  <c r="M8" i="7" s="1"/>
  <c r="R7" i="7"/>
  <c r="M6" i="7"/>
  <c r="K6" i="7"/>
  <c r="L6" i="7" s="1"/>
  <c r="R15" i="7"/>
  <c r="K5" i="7"/>
  <c r="A3" i="7"/>
  <c r="P3" i="7" s="1"/>
  <c r="K149" i="7"/>
  <c r="I140" i="6"/>
  <c r="K136" i="6"/>
  <c r="L136" i="6" s="1"/>
  <c r="K128" i="6"/>
  <c r="K124" i="6"/>
  <c r="K122" i="6"/>
  <c r="K119" i="6"/>
  <c r="K114" i="6"/>
  <c r="K113" i="6"/>
  <c r="M112" i="6"/>
  <c r="K112" i="6"/>
  <c r="L112" i="6" s="1"/>
  <c r="K107" i="6"/>
  <c r="K106" i="6"/>
  <c r="K104" i="6"/>
  <c r="K101" i="6"/>
  <c r="K96" i="6"/>
  <c r="K94" i="6"/>
  <c r="K91" i="6"/>
  <c r="K87" i="6"/>
  <c r="K85" i="6"/>
  <c r="M85" i="6" s="1"/>
  <c r="K80" i="6"/>
  <c r="K79" i="6"/>
  <c r="K77" i="6"/>
  <c r="K76" i="6"/>
  <c r="K73" i="6"/>
  <c r="L73" i="6" s="1"/>
  <c r="K70" i="6"/>
  <c r="K69" i="6"/>
  <c r="K66" i="6"/>
  <c r="M64" i="6"/>
  <c r="K64" i="6"/>
  <c r="L64" i="6" s="1"/>
  <c r="L57" i="6"/>
  <c r="K57" i="6"/>
  <c r="M57" i="6" s="1"/>
  <c r="K56" i="6"/>
  <c r="K51" i="6"/>
  <c r="M51" i="6" s="1"/>
  <c r="K50" i="6"/>
  <c r="K47" i="6"/>
  <c r="K44" i="6"/>
  <c r="K41" i="6"/>
  <c r="M41" i="6" s="1"/>
  <c r="K40" i="6"/>
  <c r="M40" i="6" s="1"/>
  <c r="K39" i="6"/>
  <c r="K38" i="6"/>
  <c r="K35" i="6"/>
  <c r="M32" i="6"/>
  <c r="L32" i="6"/>
  <c r="K32" i="6"/>
  <c r="L31" i="6"/>
  <c r="K31" i="6"/>
  <c r="M31" i="6" s="1"/>
  <c r="K30" i="6"/>
  <c r="K29" i="6"/>
  <c r="K27" i="6"/>
  <c r="K24" i="6"/>
  <c r="L23" i="6"/>
  <c r="K23" i="6"/>
  <c r="M23" i="6" s="1"/>
  <c r="K22" i="6"/>
  <c r="K21" i="6"/>
  <c r="M20" i="6"/>
  <c r="K20" i="6"/>
  <c r="L20" i="6" s="1"/>
  <c r="R19" i="6"/>
  <c r="K19" i="6"/>
  <c r="L17" i="6"/>
  <c r="K17" i="6"/>
  <c r="M17" i="6" s="1"/>
  <c r="K15" i="6"/>
  <c r="Q14" i="6"/>
  <c r="K12" i="6"/>
  <c r="L9" i="6"/>
  <c r="K9" i="6"/>
  <c r="M9" i="6" s="1"/>
  <c r="Q6" i="6"/>
  <c r="J140" i="6"/>
  <c r="S22" i="6"/>
  <c r="K116" i="6"/>
  <c r="I212" i="5"/>
  <c r="K118" i="5"/>
  <c r="K112" i="5"/>
  <c r="K110" i="5"/>
  <c r="K101" i="5"/>
  <c r="K100" i="5"/>
  <c r="K98" i="5"/>
  <c r="K88" i="5"/>
  <c r="K86" i="5"/>
  <c r="K82" i="5"/>
  <c r="K76" i="5"/>
  <c r="K74" i="5"/>
  <c r="K72" i="5"/>
  <c r="K70" i="5"/>
  <c r="K68" i="5"/>
  <c r="K63" i="5"/>
  <c r="K61" i="5"/>
  <c r="K60" i="5"/>
  <c r="K57" i="5"/>
  <c r="K56" i="5"/>
  <c r="K52" i="5"/>
  <c r="K51" i="5"/>
  <c r="K48" i="5"/>
  <c r="K47" i="5"/>
  <c r="K44" i="5"/>
  <c r="K39" i="5"/>
  <c r="Q6" i="5"/>
  <c r="K38" i="5"/>
  <c r="K32" i="5"/>
  <c r="L32" i="5" s="1"/>
  <c r="Q30" i="5"/>
  <c r="M30" i="5"/>
  <c r="K30" i="5"/>
  <c r="L30" i="5" s="1"/>
  <c r="Q28" i="5"/>
  <c r="K28" i="5"/>
  <c r="L28" i="5" s="1"/>
  <c r="Q26" i="5"/>
  <c r="K26" i="5"/>
  <c r="L26" i="5" s="1"/>
  <c r="Q24" i="5"/>
  <c r="K24" i="5"/>
  <c r="L24" i="5" s="1"/>
  <c r="Q22" i="5"/>
  <c r="M22" i="5"/>
  <c r="K22" i="5"/>
  <c r="L22" i="5" s="1"/>
  <c r="Q20" i="5"/>
  <c r="K20" i="5"/>
  <c r="L20" i="5" s="1"/>
  <c r="Q18" i="5"/>
  <c r="K18" i="5"/>
  <c r="L18" i="5" s="1"/>
  <c r="Q16" i="5"/>
  <c r="K16" i="5"/>
  <c r="L16" i="5" s="1"/>
  <c r="S15" i="5"/>
  <c r="Q14" i="5"/>
  <c r="K14" i="5"/>
  <c r="L14" i="5" s="1"/>
  <c r="Q12" i="5"/>
  <c r="M12" i="5"/>
  <c r="K12" i="5"/>
  <c r="L12" i="5" s="1"/>
  <c r="M11" i="5"/>
  <c r="K11" i="5"/>
  <c r="L11" i="5" s="1"/>
  <c r="K10" i="5"/>
  <c r="L10" i="5" s="1"/>
  <c r="Q8" i="5"/>
  <c r="K8" i="5"/>
  <c r="L8" i="5" s="1"/>
  <c r="K6" i="5"/>
  <c r="L6" i="5" s="1"/>
  <c r="Z36" i="5"/>
  <c r="Q5" i="5"/>
  <c r="H212" i="5"/>
  <c r="K111" i="5"/>
  <c r="I208" i="4"/>
  <c r="K141" i="4"/>
  <c r="K135" i="4"/>
  <c r="K123" i="4"/>
  <c r="K111" i="4"/>
  <c r="K105" i="4"/>
  <c r="K99" i="4"/>
  <c r="K98" i="4"/>
  <c r="K87" i="4"/>
  <c r="K84" i="4"/>
  <c r="K81" i="4"/>
  <c r="K78" i="4"/>
  <c r="K75" i="4"/>
  <c r="K72" i="4"/>
  <c r="K69" i="4"/>
  <c r="K66" i="4"/>
  <c r="K63" i="4"/>
  <c r="K60" i="4"/>
  <c r="K51" i="4"/>
  <c r="K44" i="4"/>
  <c r="K42" i="4"/>
  <c r="K39" i="4"/>
  <c r="K30" i="4"/>
  <c r="K28" i="4"/>
  <c r="K26" i="4"/>
  <c r="K22" i="4"/>
  <c r="K21" i="4"/>
  <c r="K16" i="4"/>
  <c r="K14" i="4"/>
  <c r="S13" i="4"/>
  <c r="K11" i="4"/>
  <c r="K10" i="4"/>
  <c r="K8" i="4"/>
  <c r="R20" i="4"/>
  <c r="S7" i="4"/>
  <c r="K126" i="4"/>
  <c r="I208" i="3"/>
  <c r="K203" i="3"/>
  <c r="K196" i="3"/>
  <c r="K185" i="3"/>
  <c r="K169" i="3"/>
  <c r="K154" i="3"/>
  <c r="K145" i="3"/>
  <c r="K135" i="3"/>
  <c r="K133" i="3"/>
  <c r="K126" i="3"/>
  <c r="K124" i="3"/>
  <c r="K121" i="3"/>
  <c r="K111" i="3"/>
  <c r="K102" i="3"/>
  <c r="K100" i="3"/>
  <c r="K97" i="3"/>
  <c r="K88" i="3"/>
  <c r="K85" i="3"/>
  <c r="K84" i="3"/>
  <c r="K83" i="3"/>
  <c r="M83" i="3" s="1"/>
  <c r="K75" i="3"/>
  <c r="K73" i="3"/>
  <c r="K70" i="3"/>
  <c r="M69" i="3"/>
  <c r="K69" i="3"/>
  <c r="L69" i="3" s="1"/>
  <c r="K68" i="3"/>
  <c r="K66" i="3"/>
  <c r="K64" i="3"/>
  <c r="K61" i="3"/>
  <c r="K60" i="3"/>
  <c r="K58" i="3"/>
  <c r="K52" i="3"/>
  <c r="K51" i="3"/>
  <c r="L49" i="3"/>
  <c r="K49" i="3"/>
  <c r="M49" i="3" s="1"/>
  <c r="K48" i="3"/>
  <c r="K47" i="3"/>
  <c r="K46" i="3"/>
  <c r="K45" i="3"/>
  <c r="K44" i="3"/>
  <c r="L44" i="3" s="1"/>
  <c r="K43" i="3"/>
  <c r="K42" i="3"/>
  <c r="L40" i="3"/>
  <c r="K40" i="3"/>
  <c r="M40" i="3" s="1"/>
  <c r="K39" i="3"/>
  <c r="K38" i="3"/>
  <c r="K32" i="3"/>
  <c r="M29" i="3"/>
  <c r="K29" i="3"/>
  <c r="L29" i="3" s="1"/>
  <c r="K27" i="3"/>
  <c r="M27" i="3" s="1"/>
  <c r="K25" i="3"/>
  <c r="L25" i="3" s="1"/>
  <c r="K24" i="3"/>
  <c r="K23" i="3"/>
  <c r="M23" i="3" s="1"/>
  <c r="K21" i="3"/>
  <c r="K19" i="3"/>
  <c r="R16" i="3"/>
  <c r="Q15" i="3"/>
  <c r="K15" i="3"/>
  <c r="M15" i="3" s="1"/>
  <c r="Q14" i="3"/>
  <c r="M13" i="3"/>
  <c r="K13" i="3"/>
  <c r="L13" i="3" s="1"/>
  <c r="K12" i="3"/>
  <c r="L12" i="3" s="1"/>
  <c r="Q30" i="3"/>
  <c r="M11" i="3"/>
  <c r="K11" i="3"/>
  <c r="L11" i="3" s="1"/>
  <c r="K10" i="3"/>
  <c r="L10" i="3" s="1"/>
  <c r="L9" i="3"/>
  <c r="K9" i="3"/>
  <c r="M9" i="3" s="1"/>
  <c r="S8" i="3"/>
  <c r="K7" i="3"/>
  <c r="K6" i="3"/>
  <c r="K63" i="2"/>
  <c r="K60" i="2"/>
  <c r="K57" i="2"/>
  <c r="K36" i="2"/>
  <c r="K29" i="2"/>
  <c r="K19" i="2"/>
  <c r="K16" i="2"/>
  <c r="M16" i="2" s="1"/>
  <c r="R15" i="2"/>
  <c r="K14" i="2"/>
  <c r="S5" i="2"/>
  <c r="R12" i="2"/>
  <c r="K12" i="2"/>
  <c r="R21" i="2"/>
  <c r="Q5" i="2"/>
  <c r="Q7" i="2" s="1"/>
  <c r="Q6" i="2"/>
  <c r="K6" i="2"/>
  <c r="S21" i="2"/>
  <c r="K49" i="2"/>
  <c r="I37" i="1"/>
  <c r="K35" i="1"/>
  <c r="K33" i="1"/>
  <c r="K28" i="1"/>
  <c r="K21" i="1"/>
  <c r="K17" i="1"/>
  <c r="K16" i="1"/>
  <c r="R19" i="1"/>
  <c r="K14" i="1"/>
  <c r="R12" i="1"/>
  <c r="S21" i="1"/>
  <c r="K9" i="1"/>
  <c r="R6" i="1"/>
  <c r="K8" i="1"/>
  <c r="Q18" i="1"/>
  <c r="K7" i="1"/>
  <c r="Q19" i="1"/>
  <c r="S6" i="1"/>
  <c r="H37" i="1"/>
  <c r="S20" i="1"/>
  <c r="K5" i="1"/>
  <c r="M21" i="1" l="1"/>
  <c r="L21" i="1"/>
  <c r="M33" i="1"/>
  <c r="L33" i="1"/>
  <c r="M49" i="2"/>
  <c r="L49" i="2"/>
  <c r="M8" i="1"/>
  <c r="L8" i="1"/>
  <c r="M12" i="2"/>
  <c r="L12" i="2"/>
  <c r="L14" i="1"/>
  <c r="M14" i="1"/>
  <c r="M17" i="1"/>
  <c r="L17" i="1"/>
  <c r="M35" i="1"/>
  <c r="L35" i="1"/>
  <c r="M36" i="2"/>
  <c r="L36" i="2"/>
  <c r="M5" i="1"/>
  <c r="L5" i="1"/>
  <c r="M7" i="1"/>
  <c r="L7" i="1"/>
  <c r="M60" i="2"/>
  <c r="L60" i="2"/>
  <c r="M16" i="1"/>
  <c r="L16" i="1"/>
  <c r="M28" i="1"/>
  <c r="L28" i="1"/>
  <c r="M6" i="2"/>
  <c r="L6" i="2"/>
  <c r="M19" i="2"/>
  <c r="L19" i="2"/>
  <c r="M14" i="2"/>
  <c r="L14" i="2"/>
  <c r="M9" i="1"/>
  <c r="L9" i="1"/>
  <c r="K10" i="1"/>
  <c r="R16" i="1"/>
  <c r="K20" i="1"/>
  <c r="K27" i="1"/>
  <c r="K34" i="1"/>
  <c r="M29" i="2"/>
  <c r="L29" i="2"/>
  <c r="M57" i="2"/>
  <c r="L57" i="2"/>
  <c r="M63" i="2"/>
  <c r="L63" i="2"/>
  <c r="J208" i="3"/>
  <c r="S6" i="3"/>
  <c r="K5" i="3"/>
  <c r="M6" i="3"/>
  <c r="L6" i="3"/>
  <c r="M7" i="3"/>
  <c r="L7" i="3"/>
  <c r="M42" i="3"/>
  <c r="L42" i="3"/>
  <c r="M73" i="3"/>
  <c r="L73" i="3"/>
  <c r="A3" i="1"/>
  <c r="P3" i="1" s="1"/>
  <c r="S16" i="1"/>
  <c r="S19" i="1"/>
  <c r="Q20" i="1"/>
  <c r="S6" i="2"/>
  <c r="S7" i="2" s="1"/>
  <c r="K7" i="2"/>
  <c r="S12" i="2"/>
  <c r="K13" i="2"/>
  <c r="S15" i="2"/>
  <c r="L16" i="2"/>
  <c r="Q19" i="2"/>
  <c r="K20" i="2"/>
  <c r="T12" i="2" s="1"/>
  <c r="K28" i="2"/>
  <c r="K34" i="2"/>
  <c r="K40" i="2"/>
  <c r="K56" i="2"/>
  <c r="K62" i="2"/>
  <c r="Q5" i="3"/>
  <c r="R6" i="3"/>
  <c r="R7" i="3"/>
  <c r="M10" i="3"/>
  <c r="L27" i="3"/>
  <c r="R29" i="3"/>
  <c r="L38" i="3"/>
  <c r="M38" i="3"/>
  <c r="M66" i="3"/>
  <c r="L66" i="3"/>
  <c r="M102" i="3"/>
  <c r="L102" i="3"/>
  <c r="Q5" i="1"/>
  <c r="Q13" i="1"/>
  <c r="R20" i="1"/>
  <c r="K26" i="1"/>
  <c r="H69" i="2"/>
  <c r="K10" i="2"/>
  <c r="S19" i="2"/>
  <c r="K45" i="2"/>
  <c r="K51" i="2"/>
  <c r="K67" i="2"/>
  <c r="M24" i="3"/>
  <c r="L24" i="3"/>
  <c r="Q27" i="3"/>
  <c r="L45" i="3"/>
  <c r="M45" i="3"/>
  <c r="M52" i="3"/>
  <c r="L52" i="3"/>
  <c r="R5" i="1"/>
  <c r="R7" i="1" s="1"/>
  <c r="R10" i="1"/>
  <c r="R13" i="1"/>
  <c r="K25" i="1"/>
  <c r="I69" i="2"/>
  <c r="K9" i="2"/>
  <c r="Q13" i="2"/>
  <c r="Q16" i="2"/>
  <c r="K44" i="2"/>
  <c r="K50" i="2"/>
  <c r="K61" i="2"/>
  <c r="Z36" i="3"/>
  <c r="L23" i="3"/>
  <c r="M25" i="3"/>
  <c r="M48" i="3"/>
  <c r="L48" i="3"/>
  <c r="M121" i="3"/>
  <c r="L121" i="3"/>
  <c r="L124" i="3"/>
  <c r="M124" i="3"/>
  <c r="S5" i="1"/>
  <c r="S7" i="1" s="1"/>
  <c r="K6" i="1"/>
  <c r="K37" i="1" s="1"/>
  <c r="S10" i="1"/>
  <c r="K11" i="1"/>
  <c r="S13" i="1"/>
  <c r="Q17" i="1"/>
  <c r="T20" i="1"/>
  <c r="K32" i="1"/>
  <c r="J69" i="2"/>
  <c r="K8" i="2"/>
  <c r="S13" i="2"/>
  <c r="R16" i="2"/>
  <c r="K17" i="2"/>
  <c r="Q20" i="2"/>
  <c r="K27" i="2"/>
  <c r="K33" i="2"/>
  <c r="K39" i="2"/>
  <c r="K55" i="2"/>
  <c r="K66" i="2"/>
  <c r="S22" i="3"/>
  <c r="M75" i="3"/>
  <c r="L75" i="3"/>
  <c r="M85" i="3"/>
  <c r="L85" i="3"/>
  <c r="M111" i="3"/>
  <c r="L111" i="3"/>
  <c r="Q21" i="1"/>
  <c r="S18" i="1"/>
  <c r="Q16" i="1"/>
  <c r="T13" i="1"/>
  <c r="R11" i="1"/>
  <c r="R17" i="1"/>
  <c r="S12" i="1"/>
  <c r="Q10" i="1"/>
  <c r="Q14" i="1"/>
  <c r="S17" i="1"/>
  <c r="K18" i="1"/>
  <c r="T6" i="1" s="1"/>
  <c r="R21" i="1"/>
  <c r="K22" i="1"/>
  <c r="K31" i="1"/>
  <c r="K5" i="2"/>
  <c r="Q10" i="2"/>
  <c r="S16" i="2"/>
  <c r="Q17" i="2"/>
  <c r="S20" i="2"/>
  <c r="K21" i="2"/>
  <c r="K26" i="2"/>
  <c r="K32" i="2"/>
  <c r="K38" i="2"/>
  <c r="Q8" i="3"/>
  <c r="R5" i="3"/>
  <c r="M21" i="3"/>
  <c r="L21" i="3"/>
  <c r="M51" i="3"/>
  <c r="L51" i="3"/>
  <c r="M58" i="3"/>
  <c r="L58" i="3"/>
  <c r="M68" i="3"/>
  <c r="L68" i="3"/>
  <c r="M133" i="3"/>
  <c r="L133" i="3"/>
  <c r="R14" i="1"/>
  <c r="K15" i="1"/>
  <c r="T17" i="1"/>
  <c r="K24" i="1"/>
  <c r="K65" i="2"/>
  <c r="K53" i="2"/>
  <c r="K41" i="2"/>
  <c r="R10" i="2"/>
  <c r="K11" i="2"/>
  <c r="R17" i="2"/>
  <c r="T20" i="2"/>
  <c r="K43" i="2"/>
  <c r="K54" i="2"/>
  <c r="S7" i="3"/>
  <c r="R17" i="3"/>
  <c r="R12" i="3"/>
  <c r="S28" i="3"/>
  <c r="R26" i="3"/>
  <c r="Q24" i="3"/>
  <c r="R15" i="3"/>
  <c r="Q13" i="3"/>
  <c r="R20" i="3"/>
  <c r="R21" i="3"/>
  <c r="M44" i="3"/>
  <c r="L47" i="3"/>
  <c r="M47" i="3"/>
  <c r="M88" i="3"/>
  <c r="L88" i="3"/>
  <c r="L185" i="3"/>
  <c r="M185" i="3"/>
  <c r="L203" i="3"/>
  <c r="M203" i="3"/>
  <c r="Q6" i="1"/>
  <c r="Q11" i="1"/>
  <c r="S14" i="1"/>
  <c r="T21" i="1"/>
  <c r="K30" i="1"/>
  <c r="A3" i="2"/>
  <c r="P3" i="2" s="1"/>
  <c r="S10" i="2"/>
  <c r="Q11" i="2"/>
  <c r="S17" i="2"/>
  <c r="K18" i="2"/>
  <c r="Q21" i="2"/>
  <c r="K22" i="2"/>
  <c r="K25" i="2"/>
  <c r="K37" i="2"/>
  <c r="K48" i="2"/>
  <c r="K59" i="2"/>
  <c r="R31" i="3"/>
  <c r="M19" i="3"/>
  <c r="L19" i="3"/>
  <c r="M61" i="3"/>
  <c r="L61" i="3"/>
  <c r="M84" i="3"/>
  <c r="L84" i="3"/>
  <c r="M126" i="3"/>
  <c r="L126" i="3"/>
  <c r="S11" i="1"/>
  <c r="K12" i="1"/>
  <c r="T12" i="1" s="1"/>
  <c r="Q15" i="1"/>
  <c r="K19" i="1"/>
  <c r="K23" i="1"/>
  <c r="K29" i="1"/>
  <c r="R11" i="2"/>
  <c r="Q14" i="2"/>
  <c r="K24" i="2"/>
  <c r="K31" i="2"/>
  <c r="K42" i="2"/>
  <c r="Q19" i="3"/>
  <c r="M32" i="3"/>
  <c r="L32" i="3"/>
  <c r="M97" i="3"/>
  <c r="L97" i="3"/>
  <c r="L100" i="3"/>
  <c r="M100" i="3"/>
  <c r="M145" i="3"/>
  <c r="L145" i="3"/>
  <c r="M154" i="3"/>
  <c r="L154" i="3"/>
  <c r="T11" i="1"/>
  <c r="R15" i="1"/>
  <c r="R18" i="1"/>
  <c r="R5" i="2"/>
  <c r="R6" i="2"/>
  <c r="S11" i="2"/>
  <c r="S14" i="2"/>
  <c r="K15" i="2"/>
  <c r="Q18" i="2"/>
  <c r="K30" i="2"/>
  <c r="K47" i="2"/>
  <c r="K58" i="2"/>
  <c r="K64" i="2"/>
  <c r="Q18" i="3"/>
  <c r="Q31" i="3"/>
  <c r="M43" i="3"/>
  <c r="L43" i="3"/>
  <c r="M64" i="3"/>
  <c r="L64" i="3"/>
  <c r="M135" i="3"/>
  <c r="L135" i="3"/>
  <c r="L169" i="3"/>
  <c r="M169" i="3"/>
  <c r="J37" i="1"/>
  <c r="S15" i="1"/>
  <c r="K36" i="1"/>
  <c r="T21" i="2"/>
  <c r="R19" i="2"/>
  <c r="R14" i="2"/>
  <c r="R20" i="2"/>
  <c r="R13" i="2"/>
  <c r="T10" i="2"/>
  <c r="T11" i="2"/>
  <c r="R18" i="2"/>
  <c r="K23" i="2"/>
  <c r="T5" i="2" s="1"/>
  <c r="Q6" i="3"/>
  <c r="S18" i="3"/>
  <c r="M39" i="3"/>
  <c r="L39" i="3"/>
  <c r="M46" i="3"/>
  <c r="L46" i="3"/>
  <c r="M60" i="3"/>
  <c r="L60" i="3"/>
  <c r="M70" i="3"/>
  <c r="L70" i="3"/>
  <c r="M196" i="3"/>
  <c r="L196" i="3"/>
  <c r="Q12" i="1"/>
  <c r="K13" i="1"/>
  <c r="T15" i="1"/>
  <c r="Q12" i="2"/>
  <c r="Q15" i="2"/>
  <c r="S18" i="2"/>
  <c r="K35" i="2"/>
  <c r="K46" i="2"/>
  <c r="K52" i="2"/>
  <c r="K68" i="2"/>
  <c r="M12" i="3"/>
  <c r="L15" i="3"/>
  <c r="L83" i="3"/>
  <c r="K183" i="3"/>
  <c r="K171" i="3"/>
  <c r="K150" i="3"/>
  <c r="K186" i="3"/>
  <c r="K165" i="3"/>
  <c r="K207" i="3"/>
  <c r="K159" i="3"/>
  <c r="K201" i="3"/>
  <c r="K194" i="3"/>
  <c r="K180" i="3"/>
  <c r="K174" i="3"/>
  <c r="K153" i="3"/>
  <c r="K143" i="3"/>
  <c r="K131" i="3"/>
  <c r="K119" i="3"/>
  <c r="K107" i="3"/>
  <c r="K95" i="3"/>
  <c r="K195" i="3"/>
  <c r="K18" i="3"/>
  <c r="K31" i="3"/>
  <c r="K56" i="3"/>
  <c r="K152" i="3"/>
  <c r="K156" i="3"/>
  <c r="K164" i="3"/>
  <c r="K190" i="3"/>
  <c r="K205" i="3"/>
  <c r="A3" i="3"/>
  <c r="R13" i="3"/>
  <c r="K16" i="3"/>
  <c r="Q22" i="3"/>
  <c r="R24" i="3"/>
  <c r="S26" i="3"/>
  <c r="K65" i="3"/>
  <c r="K74" i="3"/>
  <c r="K81" i="3"/>
  <c r="K89" i="3"/>
  <c r="K104" i="3"/>
  <c r="K108" i="3"/>
  <c r="K128" i="3"/>
  <c r="K132" i="3"/>
  <c r="T31" i="3" s="1"/>
  <c r="K179" i="3"/>
  <c r="K197" i="3"/>
  <c r="S25" i="4"/>
  <c r="Q7" i="3"/>
  <c r="K14" i="3"/>
  <c r="T23" i="3" s="1"/>
  <c r="Q20" i="3"/>
  <c r="R22" i="3"/>
  <c r="S24" i="3"/>
  <c r="K55" i="3"/>
  <c r="K94" i="3"/>
  <c r="K98" i="3"/>
  <c r="K113" i="3"/>
  <c r="K118" i="3"/>
  <c r="K122" i="3"/>
  <c r="K137" i="3"/>
  <c r="K142" i="3"/>
  <c r="K146" i="3"/>
  <c r="K155" i="3"/>
  <c r="K167" i="3"/>
  <c r="K175" i="3"/>
  <c r="J208" i="4"/>
  <c r="M30" i="4"/>
  <c r="L30" i="4"/>
  <c r="L51" i="4"/>
  <c r="M51" i="4"/>
  <c r="M98" i="4"/>
  <c r="L98" i="4"/>
  <c r="K54" i="3"/>
  <c r="K63" i="3"/>
  <c r="K72" i="3"/>
  <c r="K87" i="3"/>
  <c r="K163" i="3"/>
  <c r="K182" i="3"/>
  <c r="K193" i="3"/>
  <c r="K204" i="3"/>
  <c r="H208" i="4"/>
  <c r="K8" i="3"/>
  <c r="Q16" i="3"/>
  <c r="R18" i="3"/>
  <c r="S20" i="3"/>
  <c r="Q29" i="3"/>
  <c r="K53" i="3"/>
  <c r="K62" i="3"/>
  <c r="K71" i="3"/>
  <c r="K80" i="3"/>
  <c r="K86" i="3"/>
  <c r="K93" i="3"/>
  <c r="K103" i="3"/>
  <c r="K112" i="3"/>
  <c r="K117" i="3"/>
  <c r="K127" i="3"/>
  <c r="K136" i="3"/>
  <c r="K141" i="3"/>
  <c r="K189" i="3"/>
  <c r="K200" i="3"/>
  <c r="M11" i="4"/>
  <c r="L11" i="4"/>
  <c r="Q17" i="4"/>
  <c r="M44" i="4"/>
  <c r="L44" i="4"/>
  <c r="L60" i="4"/>
  <c r="M60" i="4"/>
  <c r="L63" i="4"/>
  <c r="M63" i="4"/>
  <c r="M16" i="4"/>
  <c r="L16" i="4"/>
  <c r="Q29" i="4"/>
  <c r="L66" i="4"/>
  <c r="M66" i="4"/>
  <c r="L69" i="4"/>
  <c r="M69" i="4"/>
  <c r="S31" i="3"/>
  <c r="S29" i="3"/>
  <c r="S27" i="3"/>
  <c r="S25" i="3"/>
  <c r="S23" i="3"/>
  <c r="S21" i="3"/>
  <c r="S19" i="3"/>
  <c r="S17" i="3"/>
  <c r="S15" i="3"/>
  <c r="S13" i="3"/>
  <c r="Q12" i="3"/>
  <c r="R14" i="3"/>
  <c r="S16" i="3"/>
  <c r="Q25" i="3"/>
  <c r="R27" i="3"/>
  <c r="K30" i="3"/>
  <c r="K170" i="3"/>
  <c r="K181" i="3"/>
  <c r="K192" i="3"/>
  <c r="Z36" i="4"/>
  <c r="M10" i="4"/>
  <c r="L10" i="4"/>
  <c r="M22" i="4"/>
  <c r="L22" i="4"/>
  <c r="M28" i="4"/>
  <c r="L28" i="4"/>
  <c r="L72" i="4"/>
  <c r="M72" i="4"/>
  <c r="L75" i="4"/>
  <c r="M75" i="4"/>
  <c r="S14" i="3"/>
  <c r="T16" i="3"/>
  <c r="K17" i="3"/>
  <c r="Q23" i="3"/>
  <c r="R25" i="3"/>
  <c r="K28" i="3"/>
  <c r="K41" i="3"/>
  <c r="K50" i="3"/>
  <c r="K59" i="3"/>
  <c r="K79" i="3"/>
  <c r="K92" i="3"/>
  <c r="K96" i="3"/>
  <c r="K116" i="3"/>
  <c r="K120" i="3"/>
  <c r="K140" i="3"/>
  <c r="K144" i="3"/>
  <c r="K158" i="3"/>
  <c r="K162" i="3"/>
  <c r="K188" i="3"/>
  <c r="Q22" i="4"/>
  <c r="L78" i="4"/>
  <c r="M78" i="4"/>
  <c r="L81" i="4"/>
  <c r="M81" i="4"/>
  <c r="R8" i="3"/>
  <c r="S12" i="3"/>
  <c r="Q21" i="3"/>
  <c r="R23" i="3"/>
  <c r="T25" i="3"/>
  <c r="K26" i="3"/>
  <c r="K78" i="3"/>
  <c r="K101" i="3"/>
  <c r="K106" i="3"/>
  <c r="K110" i="3"/>
  <c r="K125" i="3"/>
  <c r="K130" i="3"/>
  <c r="K134" i="3"/>
  <c r="K149" i="3"/>
  <c r="K177" i="3"/>
  <c r="K184" i="3"/>
  <c r="L126" i="4"/>
  <c r="M126" i="4"/>
  <c r="R15" i="4"/>
  <c r="M21" i="4"/>
  <c r="L21" i="4"/>
  <c r="L84" i="4"/>
  <c r="M84" i="4"/>
  <c r="L87" i="4"/>
  <c r="M87" i="4"/>
  <c r="K173" i="3"/>
  <c r="K191" i="3"/>
  <c r="K202" i="3"/>
  <c r="K206" i="3"/>
  <c r="R27" i="4"/>
  <c r="H208" i="3"/>
  <c r="Q17" i="3"/>
  <c r="R19" i="3"/>
  <c r="T21" i="3"/>
  <c r="K22" i="3"/>
  <c r="Q28" i="3"/>
  <c r="R30" i="3"/>
  <c r="K77" i="3"/>
  <c r="K91" i="3"/>
  <c r="K105" i="3"/>
  <c r="T22" i="3" s="1"/>
  <c r="K115" i="3"/>
  <c r="K129" i="3"/>
  <c r="T24" i="3" s="1"/>
  <c r="K139" i="3"/>
  <c r="K148" i="3"/>
  <c r="K157" i="3"/>
  <c r="K161" i="3"/>
  <c r="K176" i="3"/>
  <c r="S8" i="4"/>
  <c r="S6" i="4"/>
  <c r="Q8" i="4"/>
  <c r="R7" i="4"/>
  <c r="Q7" i="4"/>
  <c r="R6" i="4"/>
  <c r="Q6" i="4"/>
  <c r="S5" i="4"/>
  <c r="S9" i="4" s="1"/>
  <c r="R5" i="4"/>
  <c r="R8" i="4"/>
  <c r="Q5" i="4"/>
  <c r="M14" i="4"/>
  <c r="L14" i="4"/>
  <c r="L99" i="4"/>
  <c r="M99" i="4"/>
  <c r="M105" i="4"/>
  <c r="L105" i="4"/>
  <c r="L111" i="4"/>
  <c r="M111" i="4"/>
  <c r="M123" i="4"/>
  <c r="L123" i="4"/>
  <c r="M135" i="4"/>
  <c r="L135" i="4"/>
  <c r="M141" i="4"/>
  <c r="L141" i="4"/>
  <c r="K20" i="3"/>
  <c r="Q26" i="3"/>
  <c r="R28" i="3"/>
  <c r="S30" i="3"/>
  <c r="K33" i="3"/>
  <c r="K34" i="3"/>
  <c r="K35" i="3"/>
  <c r="K36" i="3"/>
  <c r="K37" i="3"/>
  <c r="K57" i="3"/>
  <c r="K67" i="3"/>
  <c r="K76" i="3"/>
  <c r="K82" i="3"/>
  <c r="K90" i="3"/>
  <c r="K99" i="3"/>
  <c r="K109" i="3"/>
  <c r="K114" i="3"/>
  <c r="K123" i="3"/>
  <c r="K138" i="3"/>
  <c r="K147" i="3"/>
  <c r="K168" i="3"/>
  <c r="T26" i="3" s="1"/>
  <c r="K198" i="3"/>
  <c r="M8" i="4"/>
  <c r="L8" i="4"/>
  <c r="M26" i="4"/>
  <c r="L26" i="4"/>
  <c r="L39" i="4"/>
  <c r="M39" i="4"/>
  <c r="L42" i="4"/>
  <c r="M42" i="4"/>
  <c r="A3" i="4"/>
  <c r="K9" i="4"/>
  <c r="R14" i="4"/>
  <c r="K15" i="4"/>
  <c r="T17" i="4"/>
  <c r="R21" i="4"/>
  <c r="Q28" i="4"/>
  <c r="S31" i="4"/>
  <c r="K32" i="4"/>
  <c r="K36" i="4"/>
  <c r="K56" i="4"/>
  <c r="K155" i="4"/>
  <c r="K167" i="4"/>
  <c r="K179" i="4"/>
  <c r="K191" i="4"/>
  <c r="M52" i="5"/>
  <c r="L52" i="5"/>
  <c r="M61" i="5"/>
  <c r="L61" i="5"/>
  <c r="M70" i="5"/>
  <c r="L70" i="5"/>
  <c r="M76" i="5"/>
  <c r="L76" i="5"/>
  <c r="M82" i="5"/>
  <c r="L82" i="5"/>
  <c r="M88" i="5"/>
  <c r="L88" i="5"/>
  <c r="M100" i="5"/>
  <c r="L100" i="5"/>
  <c r="M112" i="5"/>
  <c r="L112" i="5"/>
  <c r="M118" i="5"/>
  <c r="L118" i="5"/>
  <c r="L50" i="6"/>
  <c r="M50" i="6"/>
  <c r="Q18" i="4"/>
  <c r="S21" i="4"/>
  <c r="Q25" i="4"/>
  <c r="R28" i="4"/>
  <c r="K29" i="4"/>
  <c r="K35" i="4"/>
  <c r="K92" i="4"/>
  <c r="K97" i="4"/>
  <c r="K102" i="4"/>
  <c r="K116" i="4"/>
  <c r="K138" i="4"/>
  <c r="K202" i="4"/>
  <c r="M10" i="5"/>
  <c r="M18" i="5"/>
  <c r="M26" i="5"/>
  <c r="K160" i="3"/>
  <c r="T29" i="3" s="1"/>
  <c r="K166" i="3"/>
  <c r="K187" i="3"/>
  <c r="K6" i="4"/>
  <c r="T8" i="4" s="1"/>
  <c r="K12" i="4"/>
  <c r="Q15" i="4"/>
  <c r="R18" i="4"/>
  <c r="K19" i="4"/>
  <c r="R25" i="4"/>
  <c r="K34" i="4"/>
  <c r="K41" i="4"/>
  <c r="K49" i="4"/>
  <c r="K55" i="4"/>
  <c r="K62" i="4"/>
  <c r="K68" i="4"/>
  <c r="K74" i="4"/>
  <c r="K80" i="4"/>
  <c r="K86" i="4"/>
  <c r="K101" i="4"/>
  <c r="K106" i="4"/>
  <c r="K124" i="4"/>
  <c r="K129" i="4"/>
  <c r="K137" i="4"/>
  <c r="K142" i="4"/>
  <c r="K146" i="4"/>
  <c r="K158" i="4"/>
  <c r="K170" i="4"/>
  <c r="K182" i="4"/>
  <c r="K194" i="4"/>
  <c r="K198" i="4"/>
  <c r="K33" i="4"/>
  <c r="K96" i="4"/>
  <c r="K110" i="4"/>
  <c r="K120" i="4"/>
  <c r="M30" i="6"/>
  <c r="L30" i="6"/>
  <c r="S30" i="4"/>
  <c r="S28" i="4"/>
  <c r="S26" i="4"/>
  <c r="S24" i="4"/>
  <c r="S22" i="4"/>
  <c r="S20" i="4"/>
  <c r="S18" i="4"/>
  <c r="S16" i="4"/>
  <c r="S14" i="4"/>
  <c r="S12" i="4"/>
  <c r="Q12" i="4"/>
  <c r="S15" i="4"/>
  <c r="Q19" i="4"/>
  <c r="R22" i="4"/>
  <c r="K23" i="4"/>
  <c r="R29" i="4"/>
  <c r="K48" i="4"/>
  <c r="K54" i="4"/>
  <c r="K128" i="4"/>
  <c r="K150" i="4"/>
  <c r="K154" i="4"/>
  <c r="K162" i="4"/>
  <c r="K166" i="4"/>
  <c r="K174" i="4"/>
  <c r="K178" i="4"/>
  <c r="K186" i="4"/>
  <c r="K190" i="4"/>
  <c r="K197" i="4"/>
  <c r="K201" i="4"/>
  <c r="M8" i="5"/>
  <c r="M16" i="5"/>
  <c r="M24" i="5"/>
  <c r="M32" i="5"/>
  <c r="M39" i="5"/>
  <c r="L39" i="5"/>
  <c r="M48" i="5"/>
  <c r="L48" i="5"/>
  <c r="M51" i="5"/>
  <c r="L51" i="5"/>
  <c r="M57" i="5"/>
  <c r="L57" i="5"/>
  <c r="M60" i="5"/>
  <c r="L60" i="5"/>
  <c r="M63" i="5"/>
  <c r="L63" i="5"/>
  <c r="M72" i="5"/>
  <c r="L72" i="5"/>
  <c r="S5" i="3"/>
  <c r="S9" i="3" s="1"/>
  <c r="K151" i="3"/>
  <c r="K172" i="3"/>
  <c r="K178" i="3"/>
  <c r="K199" i="3"/>
  <c r="K7" i="4"/>
  <c r="R12" i="4"/>
  <c r="K13" i="4"/>
  <c r="T14" i="4" s="1"/>
  <c r="T15" i="4"/>
  <c r="R19" i="4"/>
  <c r="Q26" i="4"/>
  <c r="S29" i="4"/>
  <c r="K40" i="4"/>
  <c r="K47" i="4"/>
  <c r="K53" i="4"/>
  <c r="K61" i="4"/>
  <c r="K67" i="4"/>
  <c r="K73" i="4"/>
  <c r="K79" i="4"/>
  <c r="K85" i="4"/>
  <c r="K95" i="4"/>
  <c r="K100" i="4"/>
  <c r="K119" i="4"/>
  <c r="K136" i="4"/>
  <c r="K149" i="4"/>
  <c r="K161" i="4"/>
  <c r="K173" i="4"/>
  <c r="K185" i="4"/>
  <c r="Q16" i="4"/>
  <c r="S19" i="4"/>
  <c r="K20" i="4"/>
  <c r="T31" i="4" s="1"/>
  <c r="Q23" i="4"/>
  <c r="R26" i="4"/>
  <c r="K27" i="4"/>
  <c r="K132" i="4"/>
  <c r="K204" i="4"/>
  <c r="M14" i="5"/>
  <c r="Q13" i="4"/>
  <c r="R16" i="4"/>
  <c r="K17" i="4"/>
  <c r="T19" i="4"/>
  <c r="R23" i="4"/>
  <c r="T26" i="4"/>
  <c r="Q30" i="4"/>
  <c r="K46" i="4"/>
  <c r="K90" i="4"/>
  <c r="K104" i="4"/>
  <c r="K109" i="4"/>
  <c r="K114" i="4"/>
  <c r="K140" i="4"/>
  <c r="K153" i="4"/>
  <c r="K165" i="4"/>
  <c r="K177" i="4"/>
  <c r="K189" i="4"/>
  <c r="K200" i="4"/>
  <c r="R13" i="4"/>
  <c r="Q20" i="4"/>
  <c r="S23" i="4"/>
  <c r="K24" i="4"/>
  <c r="Q27" i="4"/>
  <c r="R30" i="4"/>
  <c r="K31" i="4"/>
  <c r="K38" i="4"/>
  <c r="K45" i="4"/>
  <c r="T27" i="4" s="1"/>
  <c r="K52" i="4"/>
  <c r="K59" i="4"/>
  <c r="K65" i="4"/>
  <c r="K71" i="4"/>
  <c r="K77" i="4"/>
  <c r="K83" i="4"/>
  <c r="K89" i="4"/>
  <c r="K94" i="4"/>
  <c r="K113" i="4"/>
  <c r="K118" i="4"/>
  <c r="K122" i="4"/>
  <c r="K131" i="4"/>
  <c r="K148" i="4"/>
  <c r="K160" i="4"/>
  <c r="K172" i="4"/>
  <c r="K184" i="4"/>
  <c r="K207" i="4"/>
  <c r="M6" i="5"/>
  <c r="M38" i="5"/>
  <c r="L38" i="5"/>
  <c r="L44" i="5"/>
  <c r="M44" i="5"/>
  <c r="M47" i="5"/>
  <c r="L47" i="5"/>
  <c r="L56" i="5"/>
  <c r="M56" i="5"/>
  <c r="L68" i="5"/>
  <c r="M68" i="5"/>
  <c r="M74" i="5"/>
  <c r="L74" i="5"/>
  <c r="M86" i="5"/>
  <c r="L86" i="5"/>
  <c r="M98" i="5"/>
  <c r="L98" i="5"/>
  <c r="M101" i="5"/>
  <c r="L101" i="5"/>
  <c r="M110" i="5"/>
  <c r="L110" i="5"/>
  <c r="K108" i="4"/>
  <c r="K144" i="4"/>
  <c r="K156" i="4"/>
  <c r="K168" i="4"/>
  <c r="K180" i="4"/>
  <c r="K192" i="4"/>
  <c r="K203" i="4"/>
  <c r="K5" i="4"/>
  <c r="R17" i="4"/>
  <c r="Q24" i="4"/>
  <c r="S27" i="4"/>
  <c r="Q31" i="4"/>
  <c r="K58" i="4"/>
  <c r="K152" i="4"/>
  <c r="K164" i="4"/>
  <c r="K176" i="4"/>
  <c r="K188" i="4"/>
  <c r="M20" i="5"/>
  <c r="M28" i="5"/>
  <c r="K205" i="4"/>
  <c r="K193" i="4"/>
  <c r="K181" i="4"/>
  <c r="K169" i="4"/>
  <c r="K157" i="4"/>
  <c r="K145" i="4"/>
  <c r="K133" i="4"/>
  <c r="K121" i="4"/>
  <c r="K196" i="4"/>
  <c r="K199" i="4"/>
  <c r="K187" i="4"/>
  <c r="K175" i="4"/>
  <c r="K163" i="4"/>
  <c r="K151" i="4"/>
  <c r="K139" i="4"/>
  <c r="K127" i="4"/>
  <c r="K115" i="4"/>
  <c r="K103" i="4"/>
  <c r="K91" i="4"/>
  <c r="Q14" i="4"/>
  <c r="S17" i="4"/>
  <c r="K18" i="4"/>
  <c r="Q21" i="4"/>
  <c r="R24" i="4"/>
  <c r="K25" i="4"/>
  <c r="R31" i="4"/>
  <c r="K37" i="4"/>
  <c r="K43" i="4"/>
  <c r="K50" i="4"/>
  <c r="K57" i="4"/>
  <c r="K64" i="4"/>
  <c r="K70" i="4"/>
  <c r="K76" i="4"/>
  <c r="K82" i="4"/>
  <c r="K88" i="4"/>
  <c r="K93" i="4"/>
  <c r="K107" i="4"/>
  <c r="K112" i="4"/>
  <c r="K117" i="4"/>
  <c r="K125" i="4"/>
  <c r="K130" i="4"/>
  <c r="K134" i="4"/>
  <c r="K143" i="4"/>
  <c r="K147" i="4"/>
  <c r="K159" i="4"/>
  <c r="K171" i="4"/>
  <c r="T24" i="4" s="1"/>
  <c r="K183" i="4"/>
  <c r="K195" i="4"/>
  <c r="K206" i="4"/>
  <c r="M111" i="5"/>
  <c r="L111" i="5"/>
  <c r="K42" i="5"/>
  <c r="K119" i="5"/>
  <c r="Q11" i="6"/>
  <c r="M35" i="6"/>
  <c r="L35" i="6"/>
  <c r="L38" i="6"/>
  <c r="M38" i="6"/>
  <c r="M49" i="7"/>
  <c r="L49" i="7"/>
  <c r="K41" i="5"/>
  <c r="K50" i="5"/>
  <c r="K59" i="5"/>
  <c r="K69" i="5"/>
  <c r="K78" i="5"/>
  <c r="K93" i="5"/>
  <c r="K99" i="5"/>
  <c r="K106" i="5"/>
  <c r="K114" i="5"/>
  <c r="K134" i="5"/>
  <c r="K145" i="5"/>
  <c r="K182" i="5"/>
  <c r="K193" i="5"/>
  <c r="R11" i="6"/>
  <c r="M15" i="6"/>
  <c r="L15" i="6"/>
  <c r="M19" i="6"/>
  <c r="L19" i="6"/>
  <c r="M24" i="6"/>
  <c r="L24" i="6"/>
  <c r="Q11" i="7"/>
  <c r="R22" i="7"/>
  <c r="S19" i="7"/>
  <c r="S13" i="7"/>
  <c r="Q21" i="7"/>
  <c r="Q15" i="7"/>
  <c r="R12" i="7"/>
  <c r="S20" i="7"/>
  <c r="Q12" i="7"/>
  <c r="Q23" i="7"/>
  <c r="R20" i="7"/>
  <c r="S17" i="7"/>
  <c r="R17" i="7"/>
  <c r="R18" i="7"/>
  <c r="Q19" i="7"/>
  <c r="Q18" i="7"/>
  <c r="Q20" i="7"/>
  <c r="S21" i="7"/>
  <c r="Q13" i="7"/>
  <c r="R21" i="7"/>
  <c r="S12" i="7"/>
  <c r="S14" i="7"/>
  <c r="R16" i="7"/>
  <c r="S15" i="7"/>
  <c r="M25" i="7"/>
  <c r="L25" i="7"/>
  <c r="L100" i="7"/>
  <c r="M100" i="7"/>
  <c r="K40" i="5"/>
  <c r="K49" i="5"/>
  <c r="K58" i="5"/>
  <c r="K77" i="5"/>
  <c r="K85" i="5"/>
  <c r="K113" i="5"/>
  <c r="K126" i="5"/>
  <c r="K130" i="5"/>
  <c r="K137" i="5"/>
  <c r="K148" i="5"/>
  <c r="K163" i="5"/>
  <c r="K167" i="5"/>
  <c r="K174" i="5"/>
  <c r="K178" i="5"/>
  <c r="K185" i="5"/>
  <c r="K196" i="5"/>
  <c r="M27" i="6"/>
  <c r="L27" i="6"/>
  <c r="M77" i="6"/>
  <c r="L77" i="6"/>
  <c r="M87" i="6"/>
  <c r="L87" i="6"/>
  <c r="M106" i="6"/>
  <c r="L106" i="6"/>
  <c r="R6" i="5"/>
  <c r="R8" i="5"/>
  <c r="R12" i="5"/>
  <c r="R14" i="5"/>
  <c r="R16" i="5"/>
  <c r="R18" i="5"/>
  <c r="R20" i="5"/>
  <c r="R22" i="5"/>
  <c r="R24" i="5"/>
  <c r="R26" i="5"/>
  <c r="R28" i="5"/>
  <c r="R30" i="5"/>
  <c r="K84" i="5"/>
  <c r="K92" i="5"/>
  <c r="S19" i="6"/>
  <c r="L41" i="6"/>
  <c r="L51" i="6"/>
  <c r="M80" i="6"/>
  <c r="L80" i="6"/>
  <c r="M96" i="6"/>
  <c r="L96" i="6"/>
  <c r="M113" i="6"/>
  <c r="L113" i="6"/>
  <c r="Q5" i="7"/>
  <c r="M45" i="7"/>
  <c r="L45" i="7"/>
  <c r="J212" i="5"/>
  <c r="S6" i="5"/>
  <c r="S8" i="5"/>
  <c r="S12" i="5"/>
  <c r="S14" i="5"/>
  <c r="S16" i="5"/>
  <c r="S18" i="5"/>
  <c r="S20" i="5"/>
  <c r="S22" i="5"/>
  <c r="S24" i="5"/>
  <c r="S26" i="5"/>
  <c r="S28" i="5"/>
  <c r="S30" i="5"/>
  <c r="K67" i="5"/>
  <c r="K75" i="5"/>
  <c r="K105" i="5"/>
  <c r="K122" i="5"/>
  <c r="K133" i="5"/>
  <c r="K170" i="5"/>
  <c r="K181" i="5"/>
  <c r="M119" i="6"/>
  <c r="L119" i="6"/>
  <c r="L122" i="6"/>
  <c r="M122" i="6"/>
  <c r="S22" i="7"/>
  <c r="M83" i="7"/>
  <c r="L83" i="7"/>
  <c r="K200" i="5"/>
  <c r="K188" i="5"/>
  <c r="K176" i="5"/>
  <c r="K164" i="5"/>
  <c r="K152" i="5"/>
  <c r="K140" i="5"/>
  <c r="K128" i="5"/>
  <c r="K201" i="5"/>
  <c r="K189" i="5"/>
  <c r="K177" i="5"/>
  <c r="K165" i="5"/>
  <c r="K153" i="5"/>
  <c r="K141" i="5"/>
  <c r="K129" i="5"/>
  <c r="K204" i="5"/>
  <c r="K192" i="5"/>
  <c r="K180" i="5"/>
  <c r="K168" i="5"/>
  <c r="K156" i="5"/>
  <c r="K144" i="5"/>
  <c r="K132" i="5"/>
  <c r="K120" i="5"/>
  <c r="K207" i="5"/>
  <c r="K195" i="5"/>
  <c r="K183" i="5"/>
  <c r="T5" i="5" s="1"/>
  <c r="K171" i="5"/>
  <c r="K159" i="5"/>
  <c r="K147" i="5"/>
  <c r="K135" i="5"/>
  <c r="K123" i="5"/>
  <c r="K5" i="5"/>
  <c r="K7" i="5"/>
  <c r="T16" i="5" s="1"/>
  <c r="K9" i="5"/>
  <c r="T12" i="5"/>
  <c r="K13" i="5"/>
  <c r="K15" i="5"/>
  <c r="K17" i="5"/>
  <c r="K19" i="5"/>
  <c r="K21" i="5"/>
  <c r="K23" i="5"/>
  <c r="K25" i="5"/>
  <c r="K27" i="5"/>
  <c r="K29" i="5"/>
  <c r="K31" i="5"/>
  <c r="K33" i="5"/>
  <c r="K34" i="5"/>
  <c r="K35" i="5"/>
  <c r="K36" i="5"/>
  <c r="T14" i="5" s="1"/>
  <c r="K37" i="5"/>
  <c r="K46" i="5"/>
  <c r="K83" i="5"/>
  <c r="K91" i="5"/>
  <c r="K97" i="5"/>
  <c r="K125" i="5"/>
  <c r="K136" i="5"/>
  <c r="K151" i="5"/>
  <c r="K155" i="5"/>
  <c r="K162" i="5"/>
  <c r="K166" i="5"/>
  <c r="K173" i="5"/>
  <c r="K184" i="5"/>
  <c r="T26" i="5" s="1"/>
  <c r="K199" i="5"/>
  <c r="K203" i="5"/>
  <c r="K210" i="5"/>
  <c r="M22" i="6"/>
  <c r="L22" i="6"/>
  <c r="M44" i="6"/>
  <c r="L44" i="6"/>
  <c r="M47" i="6"/>
  <c r="L47" i="6"/>
  <c r="M70" i="6"/>
  <c r="L70" i="6"/>
  <c r="M128" i="6"/>
  <c r="L128" i="6"/>
  <c r="A3" i="5"/>
  <c r="K66" i="5"/>
  <c r="K96" i="5"/>
  <c r="K104" i="5"/>
  <c r="K117" i="5"/>
  <c r="M116" i="6"/>
  <c r="L116" i="6"/>
  <c r="S5" i="6"/>
  <c r="M29" i="6"/>
  <c r="L29" i="6"/>
  <c r="L40" i="6"/>
  <c r="M73" i="6"/>
  <c r="M76" i="6"/>
  <c r="L76" i="6"/>
  <c r="M79" i="6"/>
  <c r="L79" i="6"/>
  <c r="M73" i="7"/>
  <c r="L73" i="7"/>
  <c r="K45" i="5"/>
  <c r="K55" i="5"/>
  <c r="K65" i="5"/>
  <c r="K90" i="5"/>
  <c r="K121" i="5"/>
  <c r="K158" i="5"/>
  <c r="K169" i="5"/>
  <c r="K206" i="5"/>
  <c r="M9" i="7"/>
  <c r="L9" i="7"/>
  <c r="M63" i="7"/>
  <c r="L63" i="7"/>
  <c r="Q7" i="5"/>
  <c r="Q9" i="5" s="1"/>
  <c r="Q13" i="5"/>
  <c r="Q32" i="5" s="1"/>
  <c r="Q15" i="5"/>
  <c r="Q17" i="5"/>
  <c r="Q19" i="5"/>
  <c r="Q21" i="5"/>
  <c r="Q23" i="5"/>
  <c r="Q25" i="5"/>
  <c r="Q27" i="5"/>
  <c r="Q29" i="5"/>
  <c r="Q31" i="5"/>
  <c r="K64" i="5"/>
  <c r="K73" i="5"/>
  <c r="K81" i="5"/>
  <c r="K89" i="5"/>
  <c r="K95" i="5"/>
  <c r="K103" i="5"/>
  <c r="K109" i="5"/>
  <c r="K124" i="5"/>
  <c r="K139" i="5"/>
  <c r="K143" i="5"/>
  <c r="K150" i="5"/>
  <c r="K154" i="5"/>
  <c r="K161" i="5"/>
  <c r="K172" i="5"/>
  <c r="T29" i="5" s="1"/>
  <c r="K187" i="5"/>
  <c r="K191" i="5"/>
  <c r="K198" i="5"/>
  <c r="K202" i="5"/>
  <c r="K209" i="5"/>
  <c r="M39" i="6"/>
  <c r="L39" i="6"/>
  <c r="M56" i="6"/>
  <c r="L56" i="6"/>
  <c r="M124" i="6"/>
  <c r="L124" i="6"/>
  <c r="R5" i="5"/>
  <c r="R9" i="5" s="1"/>
  <c r="R7" i="5"/>
  <c r="R13" i="5"/>
  <c r="R15" i="5"/>
  <c r="R17" i="5"/>
  <c r="R19" i="5"/>
  <c r="R21" i="5"/>
  <c r="R23" i="5"/>
  <c r="R25" i="5"/>
  <c r="R27" i="5"/>
  <c r="R29" i="5"/>
  <c r="R31" i="5"/>
  <c r="K54" i="5"/>
  <c r="K108" i="5"/>
  <c r="K116" i="5"/>
  <c r="Q22" i="6"/>
  <c r="R17" i="6"/>
  <c r="S12" i="6"/>
  <c r="R22" i="6"/>
  <c r="Q19" i="6"/>
  <c r="S16" i="6"/>
  <c r="R16" i="6"/>
  <c r="S13" i="6"/>
  <c r="S21" i="6"/>
  <c r="Q16" i="6"/>
  <c r="R13" i="6"/>
  <c r="R21" i="6"/>
  <c r="S18" i="6"/>
  <c r="Q13" i="6"/>
  <c r="Q21" i="6"/>
  <c r="R18" i="6"/>
  <c r="T23" i="6"/>
  <c r="Q18" i="6"/>
  <c r="S15" i="6"/>
  <c r="R12" i="6"/>
  <c r="S23" i="6"/>
  <c r="R15" i="6"/>
  <c r="Q12" i="6"/>
  <c r="R23" i="6"/>
  <c r="S20" i="6"/>
  <c r="Q15" i="6"/>
  <c r="Q23" i="6"/>
  <c r="R20" i="6"/>
  <c r="S17" i="6"/>
  <c r="S14" i="6"/>
  <c r="Q20" i="6"/>
  <c r="Q17" i="6"/>
  <c r="R14" i="6"/>
  <c r="S11" i="6"/>
  <c r="M12" i="6"/>
  <c r="L12" i="6"/>
  <c r="M21" i="6"/>
  <c r="L21" i="6"/>
  <c r="M66" i="6"/>
  <c r="L66" i="6"/>
  <c r="M69" i="6"/>
  <c r="L69" i="6"/>
  <c r="S5" i="5"/>
  <c r="S7" i="5"/>
  <c r="S13" i="5"/>
  <c r="S17" i="5"/>
  <c r="S19" i="5"/>
  <c r="S21" i="5"/>
  <c r="S23" i="5"/>
  <c r="S25" i="5"/>
  <c r="S27" i="5"/>
  <c r="S29" i="5"/>
  <c r="S31" i="5"/>
  <c r="K43" i="5"/>
  <c r="K53" i="5"/>
  <c r="K62" i="5"/>
  <c r="K71" i="5"/>
  <c r="K80" i="5"/>
  <c r="K87" i="5"/>
  <c r="K94" i="5"/>
  <c r="T23" i="5" s="1"/>
  <c r="K102" i="5"/>
  <c r="K146" i="5"/>
  <c r="K157" i="5"/>
  <c r="K194" i="5"/>
  <c r="T28" i="5" s="1"/>
  <c r="K205" i="5"/>
  <c r="L85" i="6"/>
  <c r="L91" i="6"/>
  <c r="M91" i="6"/>
  <c r="L94" i="6"/>
  <c r="M94" i="6"/>
  <c r="M101" i="6"/>
  <c r="L101" i="6"/>
  <c r="M104" i="6"/>
  <c r="L104" i="6"/>
  <c r="M136" i="6"/>
  <c r="L16" i="7"/>
  <c r="L56" i="7"/>
  <c r="M56" i="7"/>
  <c r="T19" i="5"/>
  <c r="T21" i="5"/>
  <c r="T25" i="5"/>
  <c r="T27" i="5"/>
  <c r="K79" i="5"/>
  <c r="K107" i="5"/>
  <c r="K115" i="5"/>
  <c r="K127" i="5"/>
  <c r="K131" i="5"/>
  <c r="K138" i="5"/>
  <c r="K142" i="5"/>
  <c r="K149" i="5"/>
  <c r="K160" i="5"/>
  <c r="K175" i="5"/>
  <c r="K179" i="5"/>
  <c r="K186" i="5"/>
  <c r="K190" i="5"/>
  <c r="K197" i="5"/>
  <c r="K208" i="5"/>
  <c r="M107" i="6"/>
  <c r="L107" i="6"/>
  <c r="M114" i="6"/>
  <c r="L114" i="6"/>
  <c r="M15" i="7"/>
  <c r="L15" i="7"/>
  <c r="L22" i="7"/>
  <c r="M22" i="7"/>
  <c r="M143" i="7"/>
  <c r="L143" i="7"/>
  <c r="L10" i="8"/>
  <c r="M10" i="8"/>
  <c r="M24" i="8"/>
  <c r="L24" i="8"/>
  <c r="M43" i="8"/>
  <c r="L43" i="8"/>
  <c r="M62" i="8"/>
  <c r="L62" i="8"/>
  <c r="M184" i="8"/>
  <c r="L184" i="8"/>
  <c r="M106" i="7"/>
  <c r="L106" i="7"/>
  <c r="M113" i="7"/>
  <c r="L113" i="7"/>
  <c r="M120" i="7"/>
  <c r="M133" i="7"/>
  <c r="L133" i="7"/>
  <c r="R22" i="8"/>
  <c r="S17" i="8"/>
  <c r="Q15" i="8"/>
  <c r="S24" i="8"/>
  <c r="Q22" i="8"/>
  <c r="R17" i="8"/>
  <c r="S12" i="8"/>
  <c r="R25" i="8"/>
  <c r="S20" i="8"/>
  <c r="Q18" i="8"/>
  <c r="R13" i="8"/>
  <c r="Q23" i="8"/>
  <c r="S18" i="8"/>
  <c r="S22" i="8"/>
  <c r="R18" i="8"/>
  <c r="Q17" i="8"/>
  <c r="S13" i="8"/>
  <c r="S21" i="8"/>
  <c r="Q13" i="8"/>
  <c r="R12" i="8"/>
  <c r="R21" i="8"/>
  <c r="Q12" i="8"/>
  <c r="S25" i="8"/>
  <c r="Q21" i="8"/>
  <c r="S16" i="8"/>
  <c r="Q25" i="8"/>
  <c r="R24" i="8"/>
  <c r="R16" i="8"/>
  <c r="Q24" i="8"/>
  <c r="R20" i="8"/>
  <c r="S19" i="8"/>
  <c r="Q16" i="8"/>
  <c r="S11" i="8"/>
  <c r="Q20" i="8"/>
  <c r="R19" i="8"/>
  <c r="S15" i="8"/>
  <c r="R11" i="8"/>
  <c r="Q19" i="8"/>
  <c r="R15" i="8"/>
  <c r="S14" i="8"/>
  <c r="Q11" i="8"/>
  <c r="Q26" i="8" s="1"/>
  <c r="S23" i="8"/>
  <c r="R14" i="8"/>
  <c r="M30" i="8"/>
  <c r="L30" i="8"/>
  <c r="M96" i="8"/>
  <c r="L96" i="8"/>
  <c r="R6" i="6"/>
  <c r="K49" i="6"/>
  <c r="K72" i="6"/>
  <c r="K118" i="6"/>
  <c r="L14" i="7"/>
  <c r="M14" i="7"/>
  <c r="M59" i="7"/>
  <c r="L59" i="7"/>
  <c r="L76" i="7"/>
  <c r="M76" i="7"/>
  <c r="M20" i="8"/>
  <c r="L20" i="8"/>
  <c r="S6" i="6"/>
  <c r="K7" i="6"/>
  <c r="T18" i="6" s="1"/>
  <c r="K18" i="6"/>
  <c r="K28" i="6"/>
  <c r="K55" i="6"/>
  <c r="K63" i="6"/>
  <c r="K71" i="6"/>
  <c r="K78" i="6"/>
  <c r="K95" i="6"/>
  <c r="K100" i="6"/>
  <c r="K105" i="6"/>
  <c r="T12" i="6" s="1"/>
  <c r="K111" i="6"/>
  <c r="T14" i="6" s="1"/>
  <c r="K127" i="6"/>
  <c r="K135" i="6"/>
  <c r="K139" i="6"/>
  <c r="M82" i="7"/>
  <c r="L82" i="7"/>
  <c r="M89" i="7"/>
  <c r="L89" i="7"/>
  <c r="M129" i="7"/>
  <c r="L129" i="7"/>
  <c r="M142" i="7"/>
  <c r="L142" i="7"/>
  <c r="M39" i="8"/>
  <c r="L39" i="8"/>
  <c r="H140" i="6"/>
  <c r="K48" i="6"/>
  <c r="K117" i="6"/>
  <c r="H152" i="7"/>
  <c r="L8" i="7"/>
  <c r="M21" i="7"/>
  <c r="L21" i="7"/>
  <c r="L37" i="7"/>
  <c r="M41" i="7"/>
  <c r="L41" i="7"/>
  <c r="M52" i="7"/>
  <c r="M92" i="7"/>
  <c r="M109" i="7"/>
  <c r="M132" i="7"/>
  <c r="L132" i="7"/>
  <c r="L16" i="8"/>
  <c r="M16" i="8"/>
  <c r="R23" i="8"/>
  <c r="M42" i="8"/>
  <c r="L42" i="8"/>
  <c r="M92" i="8"/>
  <c r="L92" i="8"/>
  <c r="K13" i="6"/>
  <c r="K37" i="6"/>
  <c r="K54" i="6"/>
  <c r="K62" i="6"/>
  <c r="K89" i="6"/>
  <c r="K126" i="6"/>
  <c r="K134" i="6"/>
  <c r="Q7" i="7"/>
  <c r="L44" i="7"/>
  <c r="M44" i="7"/>
  <c r="M58" i="7"/>
  <c r="L58" i="7"/>
  <c r="M65" i="7"/>
  <c r="L65" i="7"/>
  <c r="M115" i="7"/>
  <c r="L115" i="7"/>
  <c r="R6" i="8"/>
  <c r="M12" i="8"/>
  <c r="L12" i="8"/>
  <c r="M113" i="8"/>
  <c r="L113" i="8"/>
  <c r="K5" i="6"/>
  <c r="Q7" i="6"/>
  <c r="K16" i="6"/>
  <c r="T16" i="6" s="1"/>
  <c r="K46" i="6"/>
  <c r="K61" i="6"/>
  <c r="K68" i="6"/>
  <c r="K88" i="6"/>
  <c r="K130" i="6"/>
  <c r="K138" i="6"/>
  <c r="J152" i="7"/>
  <c r="M11" i="7"/>
  <c r="L11" i="7"/>
  <c r="L28" i="7"/>
  <c r="M32" i="7"/>
  <c r="M36" i="7"/>
  <c r="M125" i="7"/>
  <c r="L125" i="7"/>
  <c r="M22" i="8"/>
  <c r="L22" i="8"/>
  <c r="L70" i="8"/>
  <c r="M70" i="8"/>
  <c r="K120" i="6"/>
  <c r="K110" i="6"/>
  <c r="K90" i="6"/>
  <c r="K81" i="6"/>
  <c r="K131" i="6"/>
  <c r="K132" i="6"/>
  <c r="K84" i="6"/>
  <c r="K108" i="6"/>
  <c r="T11" i="6" s="1"/>
  <c r="R7" i="6"/>
  <c r="K8" i="6"/>
  <c r="K26" i="6"/>
  <c r="K36" i="6"/>
  <c r="K45" i="6"/>
  <c r="K67" i="6"/>
  <c r="K75" i="6"/>
  <c r="K83" i="6"/>
  <c r="K93" i="6"/>
  <c r="K99" i="6"/>
  <c r="K103" i="6"/>
  <c r="K115" i="6"/>
  <c r="K125" i="6"/>
  <c r="K133" i="6"/>
  <c r="L5" i="7"/>
  <c r="M40" i="7"/>
  <c r="L40" i="7"/>
  <c r="M91" i="7"/>
  <c r="L91" i="7"/>
  <c r="M118" i="7"/>
  <c r="L118" i="7"/>
  <c r="Q5" i="8"/>
  <c r="Q8" i="8" s="1"/>
  <c r="R7" i="8"/>
  <c r="A3" i="6"/>
  <c r="P3" i="6" s="1"/>
  <c r="S7" i="6"/>
  <c r="K25" i="6"/>
  <c r="K53" i="6"/>
  <c r="K60" i="6"/>
  <c r="T19" i="6" s="1"/>
  <c r="M5" i="7"/>
  <c r="M18" i="7"/>
  <c r="L18" i="7"/>
  <c r="L19" i="7"/>
  <c r="M27" i="7"/>
  <c r="L35" i="7"/>
  <c r="M61" i="7"/>
  <c r="M101" i="7"/>
  <c r="L101" i="7"/>
  <c r="M111" i="7"/>
  <c r="L111" i="7"/>
  <c r="S6" i="8"/>
  <c r="M8" i="8"/>
  <c r="L8" i="8"/>
  <c r="M15" i="8"/>
  <c r="L15" i="8"/>
  <c r="Q5" i="6"/>
  <c r="K11" i="6"/>
  <c r="K34" i="6"/>
  <c r="K43" i="6"/>
  <c r="K52" i="6"/>
  <c r="K59" i="6"/>
  <c r="K74" i="6"/>
  <c r="K82" i="6"/>
  <c r="K98" i="6"/>
  <c r="K102" i="6"/>
  <c r="K109" i="6"/>
  <c r="K129" i="6"/>
  <c r="M149" i="7"/>
  <c r="L149" i="7"/>
  <c r="M10" i="7"/>
  <c r="L10" i="7"/>
  <c r="M31" i="7"/>
  <c r="L31" i="7"/>
  <c r="M67" i="7"/>
  <c r="L67" i="7"/>
  <c r="M94" i="7"/>
  <c r="L94" i="7"/>
  <c r="L104" i="7"/>
  <c r="M104" i="7"/>
  <c r="M121" i="7"/>
  <c r="L121" i="7"/>
  <c r="L144" i="7"/>
  <c r="M11" i="8"/>
  <c r="L11" i="8"/>
  <c r="M28" i="8"/>
  <c r="L28" i="8"/>
  <c r="M31" i="8"/>
  <c r="L31" i="8"/>
  <c r="M106" i="8"/>
  <c r="L106" i="8"/>
  <c r="K211" i="5"/>
  <c r="K6" i="6"/>
  <c r="K10" i="6"/>
  <c r="K14" i="6"/>
  <c r="K33" i="6"/>
  <c r="K42" i="6"/>
  <c r="K58" i="6"/>
  <c r="K65" i="6"/>
  <c r="K86" i="6"/>
  <c r="T13" i="6" s="1"/>
  <c r="K123" i="6"/>
  <c r="K137" i="6"/>
  <c r="R5" i="7"/>
  <c r="S7" i="7"/>
  <c r="R6" i="7"/>
  <c r="Q6" i="7"/>
  <c r="M17" i="7"/>
  <c r="L17" i="7"/>
  <c r="M50" i="7"/>
  <c r="L50" i="7"/>
  <c r="M77" i="7"/>
  <c r="L77" i="7"/>
  <c r="M87" i="7"/>
  <c r="L87" i="7"/>
  <c r="M107" i="7"/>
  <c r="L107" i="7"/>
  <c r="L124" i="7"/>
  <c r="M124" i="7"/>
  <c r="M147" i="7"/>
  <c r="L147" i="7"/>
  <c r="M68" i="8"/>
  <c r="L68" i="8"/>
  <c r="L34" i="8"/>
  <c r="M34" i="8"/>
  <c r="M133" i="8"/>
  <c r="L133" i="8"/>
  <c r="T7" i="6"/>
  <c r="R5" i="6"/>
  <c r="K92" i="6"/>
  <c r="T20" i="6" s="1"/>
  <c r="K97" i="6"/>
  <c r="M34" i="7"/>
  <c r="L34" i="7"/>
  <c r="M39" i="7"/>
  <c r="M46" i="7"/>
  <c r="L46" i="7"/>
  <c r="L60" i="7"/>
  <c r="M70" i="7"/>
  <c r="L70" i="7"/>
  <c r="L80" i="7"/>
  <c r="M80" i="7"/>
  <c r="M97" i="7"/>
  <c r="L97" i="7"/>
  <c r="K7" i="7"/>
  <c r="K152" i="7" s="1"/>
  <c r="K75" i="7"/>
  <c r="K99" i="7"/>
  <c r="K123" i="7"/>
  <c r="K137" i="7"/>
  <c r="K33" i="8"/>
  <c r="K47" i="8"/>
  <c r="T20" i="8" s="1"/>
  <c r="K56" i="8"/>
  <c r="K88" i="8"/>
  <c r="K99" i="8"/>
  <c r="K116" i="8"/>
  <c r="K126" i="8"/>
  <c r="K143" i="8"/>
  <c r="K156" i="8"/>
  <c r="K159" i="8"/>
  <c r="K162" i="8"/>
  <c r="K168" i="8"/>
  <c r="O27" i="9"/>
  <c r="N27" i="9"/>
  <c r="M27" i="9"/>
  <c r="O30" i="9"/>
  <c r="N30" i="9"/>
  <c r="M30" i="9"/>
  <c r="O36" i="9"/>
  <c r="N36" i="9"/>
  <c r="M36" i="9"/>
  <c r="O39" i="9"/>
  <c r="N39" i="9"/>
  <c r="M39" i="9"/>
  <c r="O42" i="9"/>
  <c r="N42" i="9"/>
  <c r="M42" i="9"/>
  <c r="O48" i="9"/>
  <c r="N48" i="9"/>
  <c r="M48" i="9"/>
  <c r="S23" i="7"/>
  <c r="K24" i="7"/>
  <c r="K30" i="7"/>
  <c r="K66" i="7"/>
  <c r="K90" i="7"/>
  <c r="K114" i="7"/>
  <c r="Q7" i="8"/>
  <c r="K61" i="8"/>
  <c r="K69" i="8"/>
  <c r="K74" i="8"/>
  <c r="K109" i="8"/>
  <c r="K119" i="8"/>
  <c r="K146" i="8"/>
  <c r="K171" i="8"/>
  <c r="M110" i="9"/>
  <c r="O110" i="9"/>
  <c r="N110" i="9"/>
  <c r="K29" i="7"/>
  <c r="T16" i="7" s="1"/>
  <c r="K38" i="7"/>
  <c r="T15" i="7" s="1"/>
  <c r="K47" i="7"/>
  <c r="K57" i="7"/>
  <c r="K74" i="7"/>
  <c r="K81" i="7"/>
  <c r="K98" i="7"/>
  <c r="K105" i="7"/>
  <c r="K122" i="7"/>
  <c r="K128" i="7"/>
  <c r="K136" i="7"/>
  <c r="K141" i="7"/>
  <c r="K9" i="8"/>
  <c r="K21" i="8"/>
  <c r="K25" i="8"/>
  <c r="T19" i="8" s="1"/>
  <c r="K32" i="8"/>
  <c r="T12" i="8" s="1"/>
  <c r="K38" i="8"/>
  <c r="K46" i="8"/>
  <c r="K55" i="8"/>
  <c r="T22" i="8" s="1"/>
  <c r="K65" i="8"/>
  <c r="K77" i="8"/>
  <c r="K84" i="8"/>
  <c r="K91" i="8"/>
  <c r="K122" i="8"/>
  <c r="K149" i="8"/>
  <c r="K174" i="8"/>
  <c r="O23" i="9"/>
  <c r="M23" i="9"/>
  <c r="N23" i="9"/>
  <c r="K135" i="7"/>
  <c r="H185" i="8"/>
  <c r="S7" i="8"/>
  <c r="K45" i="8"/>
  <c r="K115" i="8"/>
  <c r="K132" i="8"/>
  <c r="K142" i="8"/>
  <c r="K127" i="7"/>
  <c r="T14" i="7" s="1"/>
  <c r="J185" i="8"/>
  <c r="K37" i="8"/>
  <c r="K54" i="8"/>
  <c r="K64" i="8"/>
  <c r="K73" i="8"/>
  <c r="K80" i="8"/>
  <c r="K98" i="8"/>
  <c r="K108" i="8"/>
  <c r="K125" i="8"/>
  <c r="K135" i="8"/>
  <c r="K145" i="8"/>
  <c r="K158" i="8"/>
  <c r="K170" i="8"/>
  <c r="K150" i="7"/>
  <c r="T7" i="7" s="1"/>
  <c r="K138" i="7"/>
  <c r="K126" i="7"/>
  <c r="K55" i="7"/>
  <c r="T21" i="7" s="1"/>
  <c r="K64" i="7"/>
  <c r="K71" i="7"/>
  <c r="K79" i="7"/>
  <c r="K88" i="7"/>
  <c r="K95" i="7"/>
  <c r="K103" i="7"/>
  <c r="K112" i="7"/>
  <c r="K119" i="7"/>
  <c r="K134" i="7"/>
  <c r="K140" i="7"/>
  <c r="K148" i="7"/>
  <c r="K5" i="8"/>
  <c r="K13" i="8"/>
  <c r="K17" i="8"/>
  <c r="K26" i="8"/>
  <c r="K29" i="8"/>
  <c r="K44" i="8"/>
  <c r="K50" i="8"/>
  <c r="K76" i="8"/>
  <c r="K90" i="8"/>
  <c r="K101" i="8"/>
  <c r="K128" i="8"/>
  <c r="O6" i="9"/>
  <c r="N6" i="9"/>
  <c r="M6" i="9"/>
  <c r="K176" i="8"/>
  <c r="K164" i="8"/>
  <c r="K152" i="8"/>
  <c r="K140" i="8"/>
  <c r="K179" i="8"/>
  <c r="K172" i="8"/>
  <c r="K167" i="8"/>
  <c r="K161" i="8"/>
  <c r="T23" i="8" s="1"/>
  <c r="K150" i="8"/>
  <c r="K136" i="8"/>
  <c r="K120" i="8"/>
  <c r="K111" i="8"/>
  <c r="K102" i="8"/>
  <c r="K93" i="8"/>
  <c r="K83" i="8"/>
  <c r="K72" i="8"/>
  <c r="K60" i="8"/>
  <c r="K48" i="8"/>
  <c r="K36" i="8"/>
  <c r="K18" i="8"/>
  <c r="K6" i="8"/>
  <c r="K112" i="8"/>
  <c r="K103" i="8"/>
  <c r="K175" i="8"/>
  <c r="K163" i="8"/>
  <c r="K138" i="8"/>
  <c r="K180" i="8"/>
  <c r="K169" i="8"/>
  <c r="K151" i="8"/>
  <c r="K144" i="8"/>
  <c r="K121" i="8"/>
  <c r="K114" i="8"/>
  <c r="K105" i="8"/>
  <c r="K95" i="8"/>
  <c r="K75" i="8"/>
  <c r="K63" i="8"/>
  <c r="K51" i="8"/>
  <c r="K181" i="8"/>
  <c r="K147" i="8"/>
  <c r="K131" i="8"/>
  <c r="K123" i="8"/>
  <c r="K117" i="8"/>
  <c r="K107" i="8"/>
  <c r="K87" i="8"/>
  <c r="K78" i="8"/>
  <c r="K66" i="8"/>
  <c r="K183" i="8"/>
  <c r="K178" i="8"/>
  <c r="K166" i="8"/>
  <c r="K81" i="8"/>
  <c r="K59" i="8"/>
  <c r="O12" i="9"/>
  <c r="N12" i="9"/>
  <c r="M12" i="9"/>
  <c r="R13" i="7"/>
  <c r="S16" i="7"/>
  <c r="R19" i="7"/>
  <c r="Q22" i="7"/>
  <c r="K54" i="7"/>
  <c r="K78" i="7"/>
  <c r="K102" i="7"/>
  <c r="K139" i="7"/>
  <c r="A3" i="8"/>
  <c r="P3" i="8" s="1"/>
  <c r="K49" i="8"/>
  <c r="K67" i="8"/>
  <c r="K79" i="8"/>
  <c r="K86" i="8"/>
  <c r="K97" i="8"/>
  <c r="K104" i="8"/>
  <c r="K124" i="8"/>
  <c r="K182" i="8"/>
  <c r="M15" i="9"/>
  <c r="N15" i="9"/>
  <c r="O15" i="9"/>
  <c r="K121" i="6"/>
  <c r="K20" i="7"/>
  <c r="K33" i="7"/>
  <c r="K43" i="7"/>
  <c r="K53" i="7"/>
  <c r="K62" i="7"/>
  <c r="K69" i="7"/>
  <c r="T6" i="7" s="1"/>
  <c r="K86" i="7"/>
  <c r="K93" i="7"/>
  <c r="T20" i="7" s="1"/>
  <c r="K110" i="7"/>
  <c r="K117" i="7"/>
  <c r="K131" i="7"/>
  <c r="K146" i="7"/>
  <c r="K14" i="8"/>
  <c r="K23" i="8"/>
  <c r="K27" i="8"/>
  <c r="K41" i="8"/>
  <c r="K53" i="8"/>
  <c r="T16" i="8" s="1"/>
  <c r="K58" i="8"/>
  <c r="K82" i="8"/>
  <c r="K134" i="8"/>
  <c r="K154" i="8"/>
  <c r="K157" i="8"/>
  <c r="K160" i="8"/>
  <c r="O18" i="9"/>
  <c r="N18" i="9"/>
  <c r="M18" i="9"/>
  <c r="O28" i="9"/>
  <c r="N28" i="9"/>
  <c r="M28" i="9"/>
  <c r="O31" i="9"/>
  <c r="N31" i="9"/>
  <c r="M31" i="9"/>
  <c r="O34" i="9"/>
  <c r="M34" i="9"/>
  <c r="N34" i="9"/>
  <c r="O37" i="9"/>
  <c r="N37" i="9"/>
  <c r="M37" i="9"/>
  <c r="O40" i="9"/>
  <c r="N40" i="9"/>
  <c r="M40" i="9"/>
  <c r="O43" i="9"/>
  <c r="N43" i="9"/>
  <c r="M43" i="9"/>
  <c r="O46" i="9"/>
  <c r="M46" i="9"/>
  <c r="N46" i="9"/>
  <c r="O49" i="9"/>
  <c r="N49" i="9"/>
  <c r="M49" i="9"/>
  <c r="S6" i="7"/>
  <c r="S5" i="7"/>
  <c r="Q14" i="7"/>
  <c r="T19" i="7"/>
  <c r="K35" i="8"/>
  <c r="K57" i="8"/>
  <c r="K71" i="8"/>
  <c r="K89" i="8"/>
  <c r="K100" i="8"/>
  <c r="K110" i="8"/>
  <c r="K127" i="8"/>
  <c r="M21" i="9"/>
  <c r="N21" i="9"/>
  <c r="O21" i="9"/>
  <c r="R23" i="7"/>
  <c r="S18" i="7"/>
  <c r="Q16" i="7"/>
  <c r="T13" i="7"/>
  <c r="R11" i="7"/>
  <c r="S11" i="7"/>
  <c r="S24" i="7" s="1"/>
  <c r="K12" i="7"/>
  <c r="R14" i="7"/>
  <c r="Q17" i="7"/>
  <c r="K42" i="7"/>
  <c r="K151" i="7"/>
  <c r="S5" i="8"/>
  <c r="S8" i="8" s="1"/>
  <c r="K52" i="8"/>
  <c r="T11" i="8" s="1"/>
  <c r="K85" i="8"/>
  <c r="K137" i="8"/>
  <c r="O24" i="9"/>
  <c r="N24" i="9"/>
  <c r="M24" i="9"/>
  <c r="Q6" i="8"/>
  <c r="K141" i="8"/>
  <c r="K173" i="8"/>
  <c r="L32" i="9"/>
  <c r="L44" i="9"/>
  <c r="L53" i="9"/>
  <c r="L85" i="9"/>
  <c r="L98" i="9"/>
  <c r="K118" i="8"/>
  <c r="K148" i="8"/>
  <c r="K153" i="8"/>
  <c r="H190" i="9"/>
  <c r="T12" i="9"/>
  <c r="S13" i="9"/>
  <c r="T18" i="9"/>
  <c r="S19" i="9"/>
  <c r="U24" i="9"/>
  <c r="L26" i="9"/>
  <c r="W21" i="9" s="1"/>
  <c r="L66" i="9"/>
  <c r="L132" i="9"/>
  <c r="L138" i="9"/>
  <c r="L150" i="9"/>
  <c r="K177" i="8"/>
  <c r="U12" i="9"/>
  <c r="T13" i="9"/>
  <c r="U18" i="9"/>
  <c r="T19" i="9"/>
  <c r="V25" i="9"/>
  <c r="L56" i="9"/>
  <c r="L59" i="9"/>
  <c r="L75" i="9"/>
  <c r="L88" i="9"/>
  <c r="L104" i="9"/>
  <c r="L107" i="9"/>
  <c r="S7" i="9"/>
  <c r="U13" i="9"/>
  <c r="S16" i="9"/>
  <c r="U19" i="9"/>
  <c r="S22" i="9"/>
  <c r="L29" i="9"/>
  <c r="L41" i="9"/>
  <c r="L52" i="9"/>
  <c r="L62" i="9"/>
  <c r="W18" i="9" s="1"/>
  <c r="L91" i="9"/>
  <c r="L97" i="9"/>
  <c r="L16" i="9"/>
  <c r="L13" i="9"/>
  <c r="L8" i="9"/>
  <c r="L5" i="9"/>
  <c r="L188" i="9"/>
  <c r="L182" i="9"/>
  <c r="L176" i="9"/>
  <c r="L170" i="9"/>
  <c r="L164" i="9"/>
  <c r="L189" i="9"/>
  <c r="L183" i="9"/>
  <c r="L177" i="9"/>
  <c r="L171" i="9"/>
  <c r="L165" i="9"/>
  <c r="L184" i="9"/>
  <c r="L178" i="9"/>
  <c r="L172" i="9"/>
  <c r="L166" i="9"/>
  <c r="L185" i="9"/>
  <c r="L179" i="9"/>
  <c r="L173" i="9"/>
  <c r="L167" i="9"/>
  <c r="L187" i="9"/>
  <c r="L181" i="9"/>
  <c r="L175" i="9"/>
  <c r="L169" i="9"/>
  <c r="L163" i="9"/>
  <c r="L144" i="9"/>
  <c r="L180" i="9"/>
  <c r="L156" i="9"/>
  <c r="L140" i="9"/>
  <c r="L124" i="9"/>
  <c r="L118" i="9"/>
  <c r="L108" i="9"/>
  <c r="L96" i="9"/>
  <c r="L84" i="9"/>
  <c r="L72" i="9"/>
  <c r="L60" i="9"/>
  <c r="L131" i="9"/>
  <c r="L126" i="9"/>
  <c r="L174" i="9"/>
  <c r="L120" i="9"/>
  <c r="L137" i="9"/>
  <c r="L113" i="9"/>
  <c r="L101" i="9"/>
  <c r="L89" i="9"/>
  <c r="L77" i="9"/>
  <c r="L65" i="9"/>
  <c r="L168" i="9"/>
  <c r="L114" i="9"/>
  <c r="L102" i="9"/>
  <c r="L90" i="9"/>
  <c r="L79" i="9"/>
  <c r="L67" i="9"/>
  <c r="L55" i="9"/>
  <c r="L186" i="9"/>
  <c r="L162" i="9"/>
  <c r="L143" i="9"/>
  <c r="L134" i="9"/>
  <c r="L105" i="9"/>
  <c r="L93" i="9"/>
  <c r="L81" i="9"/>
  <c r="L69" i="9"/>
  <c r="L57" i="9"/>
  <c r="L123" i="9"/>
  <c r="L117" i="9"/>
  <c r="L106" i="9"/>
  <c r="L94" i="9"/>
  <c r="L82" i="9"/>
  <c r="L70" i="9"/>
  <c r="L58" i="9"/>
  <c r="L9" i="9"/>
  <c r="W14" i="9" s="1"/>
  <c r="L7" i="9"/>
  <c r="T7" i="9"/>
  <c r="T8" i="9" s="1"/>
  <c r="L11" i="9"/>
  <c r="V13" i="9"/>
  <c r="L14" i="9"/>
  <c r="T16" i="9"/>
  <c r="L17" i="9"/>
  <c r="W6" i="9" s="1"/>
  <c r="V19" i="9"/>
  <c r="L20" i="9"/>
  <c r="T22" i="9"/>
  <c r="L51" i="9"/>
  <c r="W11" i="9" s="1"/>
  <c r="L78" i="9"/>
  <c r="K139" i="8"/>
  <c r="A3" i="9"/>
  <c r="R3" i="9" s="1"/>
  <c r="S5" i="9"/>
  <c r="U7" i="9"/>
  <c r="T11" i="9"/>
  <c r="U16" i="9"/>
  <c r="T17" i="9"/>
  <c r="U22" i="9"/>
  <c r="T23" i="9"/>
  <c r="L68" i="9"/>
  <c r="L71" i="9"/>
  <c r="L87" i="9"/>
  <c r="L100" i="9"/>
  <c r="L116" i="9"/>
  <c r="L119" i="9"/>
  <c r="L122" i="9"/>
  <c r="L125" i="9"/>
  <c r="L128" i="9"/>
  <c r="L146" i="9"/>
  <c r="L149" i="9"/>
  <c r="K130" i="8"/>
  <c r="L10" i="9"/>
  <c r="U11" i="9"/>
  <c r="V16" i="9"/>
  <c r="U17" i="9"/>
  <c r="V22" i="9"/>
  <c r="L38" i="9"/>
  <c r="L50" i="9"/>
  <c r="L61" i="9"/>
  <c r="L74" i="9"/>
  <c r="L103" i="9"/>
  <c r="L109" i="9"/>
  <c r="K94" i="8"/>
  <c r="K155" i="8"/>
  <c r="U5" i="9"/>
  <c r="U8" i="9" s="1"/>
  <c r="V11" i="9"/>
  <c r="T14" i="9"/>
  <c r="V17" i="9"/>
  <c r="T20" i="9"/>
  <c r="R5" i="8"/>
  <c r="R8" i="8" s="1"/>
  <c r="T7" i="8"/>
  <c r="S6" i="9"/>
  <c r="V7" i="9"/>
  <c r="V6" i="9"/>
  <c r="V5" i="9"/>
  <c r="V8" i="9" s="1"/>
  <c r="U14" i="9"/>
  <c r="L64" i="9"/>
  <c r="L80" i="9"/>
  <c r="L83" i="9"/>
  <c r="L99" i="9"/>
  <c r="L112" i="9"/>
  <c r="W24" i="9"/>
  <c r="S23" i="9"/>
  <c r="S20" i="9"/>
  <c r="S17" i="9"/>
  <c r="S14" i="9"/>
  <c r="S11" i="9"/>
  <c r="V24" i="9"/>
  <c r="V21" i="9"/>
  <c r="V18" i="9"/>
  <c r="V15" i="9"/>
  <c r="V12" i="9"/>
  <c r="W25" i="9"/>
  <c r="T25" i="9"/>
  <c r="U23" i="9"/>
  <c r="V14" i="9"/>
  <c r="V20" i="9"/>
  <c r="L35" i="9"/>
  <c r="L47" i="9"/>
  <c r="L54" i="9"/>
  <c r="L73" i="9"/>
  <c r="L86" i="9"/>
  <c r="L115" i="9"/>
  <c r="S15" i="9"/>
  <c r="S21" i="9"/>
  <c r="L25" i="9"/>
  <c r="T15" i="9"/>
  <c r="L19" i="9"/>
  <c r="T21" i="9"/>
  <c r="L22" i="9"/>
  <c r="W22" i="9" s="1"/>
  <c r="S24" i="9"/>
  <c r="L33" i="9"/>
  <c r="L45" i="9"/>
  <c r="L63" i="9"/>
  <c r="L76" i="9"/>
  <c r="L92" i="9"/>
  <c r="L95" i="9"/>
  <c r="L111" i="9"/>
  <c r="K129" i="8"/>
  <c r="L139" i="9"/>
  <c r="L148" i="9"/>
  <c r="L152" i="9"/>
  <c r="L159" i="9"/>
  <c r="L129" i="9"/>
  <c r="L155" i="9"/>
  <c r="R21" i="10"/>
  <c r="S22" i="10"/>
  <c r="Q21" i="10"/>
  <c r="L133" i="9"/>
  <c r="L147" i="9"/>
  <c r="L151" i="9"/>
  <c r="L158" i="9"/>
  <c r="L20" i="10"/>
  <c r="M20" i="10"/>
  <c r="L121" i="9"/>
  <c r="L142" i="9"/>
  <c r="L161" i="9"/>
  <c r="L154" i="9"/>
  <c r="S13" i="10"/>
  <c r="L127" i="9"/>
  <c r="L157" i="9"/>
  <c r="M22" i="10"/>
  <c r="L22" i="10"/>
  <c r="L136" i="9"/>
  <c r="L141" i="9"/>
  <c r="L19" i="10"/>
  <c r="M19" i="10"/>
  <c r="L145" i="9"/>
  <c r="L160" i="9"/>
  <c r="Q6" i="10"/>
  <c r="R22" i="10"/>
  <c r="L153" i="9"/>
  <c r="L130" i="9"/>
  <c r="L135" i="9"/>
  <c r="M11" i="10"/>
  <c r="L11" i="10"/>
  <c r="K165" i="8"/>
  <c r="K190" i="9"/>
  <c r="R11" i="10"/>
  <c r="R18" i="10"/>
  <c r="L17" i="10"/>
  <c r="M17" i="10"/>
  <c r="M44" i="10"/>
  <c r="L44" i="10"/>
  <c r="P5" i="11"/>
  <c r="P8" i="11" s="1"/>
  <c r="O6" i="11"/>
  <c r="P7" i="11"/>
  <c r="O5" i="11"/>
  <c r="O8" i="11" s="1"/>
  <c r="O7" i="11"/>
  <c r="P6" i="11"/>
  <c r="T7" i="10"/>
  <c r="R5" i="10"/>
  <c r="S6" i="10"/>
  <c r="R6" i="10"/>
  <c r="Q7" i="10"/>
  <c r="Q5" i="10"/>
  <c r="Q8" i="10" s="1"/>
  <c r="S5" i="10"/>
  <c r="M28" i="10"/>
  <c r="L28" i="10"/>
  <c r="M31" i="10"/>
  <c r="L31" i="10"/>
  <c r="Q22" i="10"/>
  <c r="R17" i="10"/>
  <c r="S12" i="10"/>
  <c r="S23" i="10"/>
  <c r="R15" i="10"/>
  <c r="Q12" i="10"/>
  <c r="R23" i="10"/>
  <c r="S20" i="10"/>
  <c r="Q23" i="10"/>
  <c r="R20" i="10"/>
  <c r="S17" i="10"/>
  <c r="S14" i="10"/>
  <c r="Q20" i="10"/>
  <c r="Q17" i="10"/>
  <c r="R14" i="10"/>
  <c r="S11" i="10"/>
  <c r="S19" i="10"/>
  <c r="S21" i="10"/>
  <c r="Q16" i="10"/>
  <c r="T23" i="10"/>
  <c r="Q18" i="10"/>
  <c r="S15" i="10"/>
  <c r="R12" i="10"/>
  <c r="Q19" i="10"/>
  <c r="S16" i="10"/>
  <c r="Q14" i="10"/>
  <c r="S18" i="10"/>
  <c r="R16" i="10"/>
  <c r="Q13" i="10"/>
  <c r="Q11" i="10"/>
  <c r="R19" i="10"/>
  <c r="T14" i="10"/>
  <c r="M10" i="10"/>
  <c r="L10" i="10"/>
  <c r="L16" i="10"/>
  <c r="M34" i="10"/>
  <c r="M116" i="10"/>
  <c r="L116" i="10"/>
  <c r="M15" i="10"/>
  <c r="L15" i="10"/>
  <c r="Q15" i="10"/>
  <c r="M55" i="10"/>
  <c r="L55" i="10"/>
  <c r="M61" i="10"/>
  <c r="L61" i="10"/>
  <c r="M64" i="10"/>
  <c r="L64" i="10"/>
  <c r="M67" i="10"/>
  <c r="L67" i="10"/>
  <c r="H134" i="10"/>
  <c r="J134" i="10"/>
  <c r="R7" i="10"/>
  <c r="R13" i="10"/>
  <c r="L14" i="10"/>
  <c r="M23" i="10"/>
  <c r="L23" i="10"/>
  <c r="K6" i="10"/>
  <c r="K7" i="10"/>
  <c r="K32" i="10"/>
  <c r="K46" i="10"/>
  <c r="K118" i="10"/>
  <c r="K42" i="11"/>
  <c r="K25" i="10"/>
  <c r="K83" i="10"/>
  <c r="K89" i="10"/>
  <c r="K102" i="10"/>
  <c r="K105" i="10"/>
  <c r="K111" i="10"/>
  <c r="K127" i="10"/>
  <c r="K133" i="10"/>
  <c r="K92" i="10"/>
  <c r="K12" i="10"/>
  <c r="K70" i="10"/>
  <c r="O17" i="11"/>
  <c r="P16" i="11"/>
  <c r="O11" i="11"/>
  <c r="O25" i="11"/>
  <c r="Q24" i="11"/>
  <c r="R24" i="11" s="1"/>
  <c r="O24" i="11"/>
  <c r="Q23" i="11"/>
  <c r="O20" i="11"/>
  <c r="P19" i="11"/>
  <c r="K9" i="10"/>
  <c r="K35" i="10"/>
  <c r="K21" i="10"/>
  <c r="K30" i="10"/>
  <c r="K38" i="10"/>
  <c r="K41" i="10"/>
  <c r="K54" i="10"/>
  <c r="K57" i="10"/>
  <c r="K63" i="10"/>
  <c r="K79" i="10"/>
  <c r="K85" i="10"/>
  <c r="K88" i="10"/>
  <c r="K91" i="10"/>
  <c r="K107" i="10"/>
  <c r="K113" i="10"/>
  <c r="K126" i="10"/>
  <c r="K129" i="10"/>
  <c r="K94" i="10"/>
  <c r="O23" i="11"/>
  <c r="K125" i="10"/>
  <c r="K119" i="10"/>
  <c r="K101" i="10"/>
  <c r="K95" i="10"/>
  <c r="K77" i="10"/>
  <c r="K71" i="10"/>
  <c r="K53" i="10"/>
  <c r="K47" i="10"/>
  <c r="K27" i="10"/>
  <c r="K24" i="10"/>
  <c r="K120" i="10"/>
  <c r="K96" i="10"/>
  <c r="K72" i="10"/>
  <c r="K48" i="10"/>
  <c r="K18" i="10"/>
  <c r="K128" i="10"/>
  <c r="T22" i="10" s="1"/>
  <c r="K104" i="10"/>
  <c r="K80" i="10"/>
  <c r="K56" i="10"/>
  <c r="K39" i="10"/>
  <c r="K29" i="10"/>
  <c r="K130" i="10"/>
  <c r="K106" i="10"/>
  <c r="K82" i="10"/>
  <c r="K58" i="10"/>
  <c r="K132" i="10"/>
  <c r="K123" i="10"/>
  <c r="K114" i="10"/>
  <c r="K108" i="10"/>
  <c r="K99" i="10"/>
  <c r="K90" i="10"/>
  <c r="K84" i="10"/>
  <c r="K75" i="10"/>
  <c r="K66" i="10"/>
  <c r="K60" i="10"/>
  <c r="K51" i="10"/>
  <c r="K42" i="10"/>
  <c r="K33" i="10"/>
  <c r="K124" i="10"/>
  <c r="K117" i="10"/>
  <c r="K100" i="10"/>
  <c r="K93" i="10"/>
  <c r="K76" i="10"/>
  <c r="K69" i="10"/>
  <c r="K52" i="10"/>
  <c r="K45" i="10"/>
  <c r="K36" i="10"/>
  <c r="K26" i="10"/>
  <c r="K40" i="10"/>
  <c r="K43" i="10"/>
  <c r="K59" i="10"/>
  <c r="K65" i="10"/>
  <c r="K78" i="10"/>
  <c r="K81" i="10"/>
  <c r="K87" i="10"/>
  <c r="K103" i="10"/>
  <c r="K109" i="10"/>
  <c r="K112" i="10"/>
  <c r="K115" i="10"/>
  <c r="K131" i="10"/>
  <c r="P18" i="11"/>
  <c r="K90" i="11"/>
  <c r="K114" i="11"/>
  <c r="A3" i="10"/>
  <c r="P3" i="10" s="1"/>
  <c r="K68" i="10"/>
  <c r="P22" i="11"/>
  <c r="K66" i="11"/>
  <c r="K5" i="10"/>
  <c r="T12" i="10" s="1"/>
  <c r="K62" i="10"/>
  <c r="K86" i="10"/>
  <c r="K110" i="10"/>
  <c r="Q12" i="11"/>
  <c r="R12" i="11" s="1"/>
  <c r="O13" i="11"/>
  <c r="O15" i="11"/>
  <c r="Q16" i="11"/>
  <c r="R16" i="11" s="1"/>
  <c r="P17" i="11"/>
  <c r="P13" i="11"/>
  <c r="O14" i="11"/>
  <c r="K22" i="11"/>
  <c r="K34" i="11"/>
  <c r="K58" i="11"/>
  <c r="K82" i="11"/>
  <c r="K106" i="11"/>
  <c r="K130" i="11"/>
  <c r="P21" i="11"/>
  <c r="P15" i="11"/>
  <c r="P26" i="11"/>
  <c r="P20" i="11"/>
  <c r="P14" i="11"/>
  <c r="O22" i="11"/>
  <c r="O16" i="11"/>
  <c r="O19" i="11"/>
  <c r="O21" i="11"/>
  <c r="P23" i="11"/>
  <c r="K28" i="11"/>
  <c r="K47" i="11"/>
  <c r="K52" i="11"/>
  <c r="K71" i="11"/>
  <c r="K76" i="11"/>
  <c r="K95" i="11"/>
  <c r="K100" i="11"/>
  <c r="K119" i="11"/>
  <c r="K124" i="11"/>
  <c r="P24" i="11"/>
  <c r="K50" i="10"/>
  <c r="K74" i="10"/>
  <c r="K98" i="10"/>
  <c r="K122" i="10"/>
  <c r="H229" i="11"/>
  <c r="P25" i="11"/>
  <c r="O26" i="11"/>
  <c r="K46" i="11"/>
  <c r="K70" i="11"/>
  <c r="K94" i="11"/>
  <c r="K118" i="11"/>
  <c r="K49" i="10"/>
  <c r="K73" i="10"/>
  <c r="K97" i="10"/>
  <c r="K121" i="10"/>
  <c r="I229" i="11"/>
  <c r="J5" i="11"/>
  <c r="P11" i="11"/>
  <c r="O12" i="11"/>
  <c r="K16" i="11"/>
  <c r="K40" i="11"/>
  <c r="K64" i="11"/>
  <c r="K88" i="11"/>
  <c r="K112" i="11"/>
  <c r="K13" i="10"/>
  <c r="K37" i="10"/>
  <c r="P12" i="11"/>
  <c r="J141" i="11"/>
  <c r="K141" i="11" s="1"/>
  <c r="J147" i="11"/>
  <c r="K147" i="11" s="1"/>
  <c r="J153" i="11"/>
  <c r="K153" i="11" s="1"/>
  <c r="J159" i="11"/>
  <c r="K159" i="11" s="1"/>
  <c r="J165" i="11"/>
  <c r="K165" i="11" s="1"/>
  <c r="J171" i="11"/>
  <c r="K171" i="11" s="1"/>
  <c r="J177" i="11"/>
  <c r="K177" i="11" s="1"/>
  <c r="J183" i="11"/>
  <c r="K183" i="11" s="1"/>
  <c r="J189" i="11"/>
  <c r="K189" i="11" s="1"/>
  <c r="J195" i="11"/>
  <c r="K195" i="11" s="1"/>
  <c r="J201" i="11"/>
  <c r="K201" i="11" s="1"/>
  <c r="J207" i="11"/>
  <c r="K207" i="11" s="1"/>
  <c r="J213" i="11"/>
  <c r="K213" i="11" s="1"/>
  <c r="J219" i="11"/>
  <c r="K219" i="11" s="1"/>
  <c r="J225" i="11"/>
  <c r="K225" i="11" s="1"/>
  <c r="J140" i="11"/>
  <c r="K140" i="11" s="1"/>
  <c r="J146" i="11"/>
  <c r="K146" i="11" s="1"/>
  <c r="J152" i="11"/>
  <c r="K152" i="11" s="1"/>
  <c r="J158" i="11"/>
  <c r="K158" i="11" s="1"/>
  <c r="J164" i="11"/>
  <c r="K164" i="11" s="1"/>
  <c r="J170" i="11"/>
  <c r="K170" i="11" s="1"/>
  <c r="J176" i="11"/>
  <c r="K176" i="11" s="1"/>
  <c r="J182" i="11"/>
  <c r="K182" i="11" s="1"/>
  <c r="J188" i="11"/>
  <c r="K188" i="11" s="1"/>
  <c r="J194" i="11"/>
  <c r="K194" i="11" s="1"/>
  <c r="J200" i="11"/>
  <c r="K200" i="11" s="1"/>
  <c r="J206" i="11"/>
  <c r="K206" i="11" s="1"/>
  <c r="J212" i="11"/>
  <c r="K212" i="11" s="1"/>
  <c r="J218" i="11"/>
  <c r="K218" i="11" s="1"/>
  <c r="J224" i="11"/>
  <c r="K224" i="11" s="1"/>
  <c r="J139" i="11"/>
  <c r="K139" i="11" s="1"/>
  <c r="J145" i="11"/>
  <c r="K145" i="11" s="1"/>
  <c r="J151" i="11"/>
  <c r="K151" i="11" s="1"/>
  <c r="J157" i="11"/>
  <c r="K157" i="11" s="1"/>
  <c r="J163" i="11"/>
  <c r="K163" i="11" s="1"/>
  <c r="J169" i="11"/>
  <c r="K169" i="11" s="1"/>
  <c r="J175" i="11"/>
  <c r="K175" i="11" s="1"/>
  <c r="J181" i="11"/>
  <c r="K181" i="11" s="1"/>
  <c r="J187" i="11"/>
  <c r="K187" i="11" s="1"/>
  <c r="J193" i="11"/>
  <c r="K193" i="11" s="1"/>
  <c r="J199" i="11"/>
  <c r="K199" i="11" s="1"/>
  <c r="J205" i="11"/>
  <c r="K205" i="11" s="1"/>
  <c r="J211" i="11"/>
  <c r="K211" i="11" s="1"/>
  <c r="J217" i="11"/>
  <c r="K217" i="11" s="1"/>
  <c r="J223" i="11"/>
  <c r="K223" i="11" s="1"/>
  <c r="J144" i="11"/>
  <c r="K144" i="11" s="1"/>
  <c r="J150" i="11"/>
  <c r="K150" i="11" s="1"/>
  <c r="J156" i="11"/>
  <c r="K156" i="11" s="1"/>
  <c r="J162" i="11"/>
  <c r="K162" i="11" s="1"/>
  <c r="J168" i="11"/>
  <c r="K168" i="11" s="1"/>
  <c r="J174" i="11"/>
  <c r="K174" i="11" s="1"/>
  <c r="J180" i="11"/>
  <c r="K180" i="11" s="1"/>
  <c r="J186" i="11"/>
  <c r="K186" i="11" s="1"/>
  <c r="J192" i="11"/>
  <c r="K192" i="11" s="1"/>
  <c r="J198" i="11"/>
  <c r="K198" i="11" s="1"/>
  <c r="J204" i="11"/>
  <c r="K204" i="11" s="1"/>
  <c r="J210" i="11"/>
  <c r="K210" i="11" s="1"/>
  <c r="J216" i="11"/>
  <c r="K216" i="11" s="1"/>
  <c r="J222" i="11"/>
  <c r="K222" i="11" s="1"/>
  <c r="J143" i="11"/>
  <c r="K143" i="11" s="1"/>
  <c r="J149" i="11"/>
  <c r="K149" i="11" s="1"/>
  <c r="J155" i="11"/>
  <c r="K155" i="11" s="1"/>
  <c r="J161" i="11"/>
  <c r="K161" i="11" s="1"/>
  <c r="J167" i="11"/>
  <c r="K167" i="11" s="1"/>
  <c r="J173" i="11"/>
  <c r="K173" i="11" s="1"/>
  <c r="J179" i="11"/>
  <c r="K179" i="11" s="1"/>
  <c r="J185" i="11"/>
  <c r="K185" i="11" s="1"/>
  <c r="J191" i="11"/>
  <c r="K191" i="11" s="1"/>
  <c r="J197" i="11"/>
  <c r="K197" i="11" s="1"/>
  <c r="J203" i="11"/>
  <c r="K203" i="11" s="1"/>
  <c r="J209" i="11"/>
  <c r="K209" i="11" s="1"/>
  <c r="J215" i="11"/>
  <c r="K215" i="11" s="1"/>
  <c r="J221" i="11"/>
  <c r="K221" i="11" s="1"/>
  <c r="J227" i="11"/>
  <c r="K227" i="11" s="1"/>
  <c r="J142" i="11"/>
  <c r="K142" i="11" s="1"/>
  <c r="J148" i="11"/>
  <c r="K148" i="11" s="1"/>
  <c r="J154" i="11"/>
  <c r="K154" i="11" s="1"/>
  <c r="J160" i="11"/>
  <c r="K160" i="11" s="1"/>
  <c r="J166" i="11"/>
  <c r="K166" i="11" s="1"/>
  <c r="J172" i="11"/>
  <c r="K172" i="11" s="1"/>
  <c r="J178" i="11"/>
  <c r="K178" i="11" s="1"/>
  <c r="J184" i="11"/>
  <c r="K184" i="11" s="1"/>
  <c r="J190" i="11"/>
  <c r="K190" i="11" s="1"/>
  <c r="J196" i="11"/>
  <c r="K196" i="11" s="1"/>
  <c r="J202" i="11"/>
  <c r="K202" i="11" s="1"/>
  <c r="J208" i="11"/>
  <c r="K208" i="11" s="1"/>
  <c r="J214" i="11"/>
  <c r="K214" i="11" s="1"/>
  <c r="J220" i="11"/>
  <c r="K220" i="11" s="1"/>
  <c r="Z22" i="9" l="1"/>
  <c r="X22" i="9"/>
  <c r="Y22" i="9"/>
  <c r="V22" i="10"/>
  <c r="U22" i="10"/>
  <c r="M152" i="7"/>
  <c r="L152" i="7"/>
  <c r="U14" i="6"/>
  <c r="V14" i="6"/>
  <c r="V14" i="4"/>
  <c r="U14" i="4"/>
  <c r="V12" i="6"/>
  <c r="U12" i="6"/>
  <c r="V26" i="5"/>
  <c r="U26" i="5"/>
  <c r="U5" i="5"/>
  <c r="V5" i="5"/>
  <c r="V31" i="4"/>
  <c r="U31" i="4"/>
  <c r="V5" i="2"/>
  <c r="U5" i="2"/>
  <c r="V16" i="6"/>
  <c r="U16" i="6"/>
  <c r="U22" i="8"/>
  <c r="V22" i="8"/>
  <c r="V20" i="6"/>
  <c r="U20" i="6"/>
  <c r="V14" i="5"/>
  <c r="U14" i="5"/>
  <c r="V12" i="2"/>
  <c r="U12" i="2"/>
  <c r="U20" i="7"/>
  <c r="V20" i="7"/>
  <c r="V21" i="7"/>
  <c r="U21" i="7"/>
  <c r="U23" i="5"/>
  <c r="V23" i="5"/>
  <c r="V8" i="4"/>
  <c r="U8" i="4"/>
  <c r="V23" i="3"/>
  <c r="U23" i="3"/>
  <c r="X14" i="9"/>
  <c r="Y14" i="9"/>
  <c r="Z14" i="9"/>
  <c r="V27" i="4"/>
  <c r="U27" i="4"/>
  <c r="Z11" i="9"/>
  <c r="Y11" i="9"/>
  <c r="X11" i="9"/>
  <c r="V6" i="7"/>
  <c r="U6" i="7"/>
  <c r="V12" i="8"/>
  <c r="U12" i="8"/>
  <c r="U29" i="5"/>
  <c r="V29" i="5"/>
  <c r="V11" i="8"/>
  <c r="U11" i="8"/>
  <c r="V16" i="8"/>
  <c r="U16" i="8"/>
  <c r="V23" i="8"/>
  <c r="U23" i="8"/>
  <c r="V7" i="7"/>
  <c r="U7" i="7"/>
  <c r="U19" i="8"/>
  <c r="V19" i="8"/>
  <c r="V20" i="8"/>
  <c r="U20" i="8"/>
  <c r="V16" i="5"/>
  <c r="U16" i="5"/>
  <c r="V29" i="3"/>
  <c r="U29" i="3"/>
  <c r="V26" i="3"/>
  <c r="U26" i="3"/>
  <c r="M37" i="1"/>
  <c r="L37" i="1"/>
  <c r="V15" i="7"/>
  <c r="U15" i="7"/>
  <c r="V13" i="6"/>
  <c r="U13" i="6"/>
  <c r="V19" i="6"/>
  <c r="U19" i="6"/>
  <c r="U6" i="1"/>
  <c r="V6" i="1"/>
  <c r="V31" i="3"/>
  <c r="U31" i="3"/>
  <c r="V12" i="1"/>
  <c r="U12" i="1"/>
  <c r="Z21" i="9"/>
  <c r="Y21" i="9"/>
  <c r="X21" i="9"/>
  <c r="V14" i="7"/>
  <c r="U14" i="7"/>
  <c r="Z6" i="9"/>
  <c r="Y6" i="9"/>
  <c r="X6" i="9"/>
  <c r="V24" i="4"/>
  <c r="U24" i="4"/>
  <c r="U24" i="3"/>
  <c r="V24" i="3"/>
  <c r="U12" i="10"/>
  <c r="V12" i="10"/>
  <c r="V18" i="6"/>
  <c r="U18" i="6"/>
  <c r="X18" i="9"/>
  <c r="Y18" i="9"/>
  <c r="Z18" i="9"/>
  <c r="V16" i="7"/>
  <c r="U16" i="7"/>
  <c r="V11" i="6"/>
  <c r="U11" i="6"/>
  <c r="V28" i="5"/>
  <c r="U28" i="5"/>
  <c r="V22" i="3"/>
  <c r="U22" i="3"/>
  <c r="L26" i="10"/>
  <c r="M26" i="10"/>
  <c r="M112" i="10"/>
  <c r="L112" i="10"/>
  <c r="M45" i="10"/>
  <c r="L45" i="10"/>
  <c r="M66" i="10"/>
  <c r="L66" i="10"/>
  <c r="M130" i="10"/>
  <c r="L130" i="10"/>
  <c r="M24" i="10"/>
  <c r="L24" i="10"/>
  <c r="M129" i="10"/>
  <c r="L129" i="10"/>
  <c r="L38" i="10"/>
  <c r="M38" i="10"/>
  <c r="O130" i="9"/>
  <c r="N130" i="9"/>
  <c r="M130" i="9"/>
  <c r="O151" i="9"/>
  <c r="N151" i="9"/>
  <c r="M151" i="9"/>
  <c r="M129" i="8"/>
  <c r="L129" i="8"/>
  <c r="L58" i="8"/>
  <c r="M58" i="8"/>
  <c r="J229" i="11"/>
  <c r="K229" i="11" s="1"/>
  <c r="K5" i="11"/>
  <c r="M73" i="10"/>
  <c r="L73" i="10"/>
  <c r="L50" i="10"/>
  <c r="M50" i="10"/>
  <c r="M68" i="10"/>
  <c r="L68" i="10"/>
  <c r="L78" i="10"/>
  <c r="M78" i="10"/>
  <c r="M100" i="10"/>
  <c r="L100" i="10"/>
  <c r="M108" i="10"/>
  <c r="L108" i="10"/>
  <c r="M104" i="10"/>
  <c r="L104" i="10"/>
  <c r="M77" i="10"/>
  <c r="L77" i="10"/>
  <c r="M88" i="10"/>
  <c r="L88" i="10"/>
  <c r="L12" i="10"/>
  <c r="M12" i="10"/>
  <c r="L46" i="10"/>
  <c r="M46" i="10"/>
  <c r="O160" i="9"/>
  <c r="N160" i="9"/>
  <c r="M160" i="9"/>
  <c r="O161" i="9"/>
  <c r="N161" i="9"/>
  <c r="M161" i="9"/>
  <c r="M63" i="9"/>
  <c r="O63" i="9"/>
  <c r="N63" i="9"/>
  <c r="M100" i="9"/>
  <c r="N100" i="9"/>
  <c r="O100" i="9"/>
  <c r="S8" i="9"/>
  <c r="O11" i="9"/>
  <c r="M11" i="9"/>
  <c r="N11" i="9"/>
  <c r="M69" i="9"/>
  <c r="O69" i="9"/>
  <c r="N69" i="9"/>
  <c r="M102" i="9"/>
  <c r="O102" i="9"/>
  <c r="N102" i="9"/>
  <c r="O131" i="9"/>
  <c r="N131" i="9"/>
  <c r="M131" i="9"/>
  <c r="O163" i="9"/>
  <c r="N163" i="9"/>
  <c r="M163" i="9"/>
  <c r="O184" i="9"/>
  <c r="N184" i="9"/>
  <c r="M184" i="9"/>
  <c r="O8" i="9"/>
  <c r="N8" i="9"/>
  <c r="M8" i="9"/>
  <c r="M12" i="7"/>
  <c r="L12" i="7"/>
  <c r="M110" i="8"/>
  <c r="L110" i="8"/>
  <c r="M14" i="8"/>
  <c r="L14" i="8"/>
  <c r="M20" i="7"/>
  <c r="L20" i="7"/>
  <c r="L49" i="8"/>
  <c r="M49" i="8"/>
  <c r="M131" i="8"/>
  <c r="L131" i="8"/>
  <c r="M169" i="8"/>
  <c r="L169" i="8"/>
  <c r="M72" i="8"/>
  <c r="L72" i="8"/>
  <c r="L140" i="8"/>
  <c r="M140" i="8"/>
  <c r="M44" i="8"/>
  <c r="L44" i="8"/>
  <c r="M95" i="7"/>
  <c r="L95" i="7"/>
  <c r="M135" i="8"/>
  <c r="L135" i="8"/>
  <c r="M132" i="8"/>
  <c r="L132" i="8"/>
  <c r="M91" i="8"/>
  <c r="L91" i="8"/>
  <c r="L136" i="7"/>
  <c r="M136" i="7"/>
  <c r="M66" i="7"/>
  <c r="L66" i="7"/>
  <c r="M159" i="8"/>
  <c r="L159" i="8"/>
  <c r="M99" i="7"/>
  <c r="L99" i="7"/>
  <c r="M65" i="6"/>
  <c r="L65" i="6"/>
  <c r="L74" i="6"/>
  <c r="M74" i="6"/>
  <c r="L53" i="6"/>
  <c r="M53" i="6"/>
  <c r="M45" i="6"/>
  <c r="L45" i="6"/>
  <c r="M120" i="6"/>
  <c r="L120" i="6"/>
  <c r="L134" i="6"/>
  <c r="M134" i="6"/>
  <c r="M71" i="6"/>
  <c r="L71" i="6"/>
  <c r="M208" i="5"/>
  <c r="L208" i="5"/>
  <c r="M115" i="5"/>
  <c r="L115" i="5"/>
  <c r="L53" i="5"/>
  <c r="M53" i="5"/>
  <c r="S9" i="5"/>
  <c r="M139" i="5"/>
  <c r="L139" i="5"/>
  <c r="T22" i="6"/>
  <c r="M96" i="5"/>
  <c r="L96" i="5"/>
  <c r="L97" i="5"/>
  <c r="M97" i="5"/>
  <c r="M147" i="5"/>
  <c r="L147" i="5"/>
  <c r="M192" i="5"/>
  <c r="L192" i="5"/>
  <c r="L164" i="5"/>
  <c r="M164" i="5"/>
  <c r="M170" i="5"/>
  <c r="L170" i="5"/>
  <c r="M137" i="5"/>
  <c r="L137" i="5"/>
  <c r="M93" i="5"/>
  <c r="L93" i="5"/>
  <c r="Q24" i="6"/>
  <c r="M134" i="4"/>
  <c r="L134" i="4"/>
  <c r="M57" i="4"/>
  <c r="L57" i="4"/>
  <c r="M91" i="4"/>
  <c r="L91" i="4"/>
  <c r="L133" i="4"/>
  <c r="M133" i="4"/>
  <c r="L164" i="4"/>
  <c r="M164" i="4"/>
  <c r="L192" i="4"/>
  <c r="M192" i="4"/>
  <c r="M94" i="4"/>
  <c r="L94" i="4"/>
  <c r="L114" i="4"/>
  <c r="M114" i="4"/>
  <c r="M185" i="4"/>
  <c r="L185" i="4"/>
  <c r="M61" i="4"/>
  <c r="L61" i="4"/>
  <c r="M199" i="3"/>
  <c r="L199" i="3"/>
  <c r="L197" i="4"/>
  <c r="M197" i="4"/>
  <c r="T7" i="5"/>
  <c r="M101" i="4"/>
  <c r="L101" i="4"/>
  <c r="M19" i="4"/>
  <c r="L19" i="4"/>
  <c r="L138" i="4"/>
  <c r="M138" i="4"/>
  <c r="M155" i="4"/>
  <c r="L155" i="4"/>
  <c r="P3" i="4"/>
  <c r="Y3" i="4"/>
  <c r="M147" i="3"/>
  <c r="L147" i="3"/>
  <c r="M36" i="3"/>
  <c r="L36" i="3"/>
  <c r="R9" i="4"/>
  <c r="L176" i="3"/>
  <c r="M176" i="3"/>
  <c r="L22" i="3"/>
  <c r="M22" i="3"/>
  <c r="M125" i="3"/>
  <c r="L125" i="3"/>
  <c r="L96" i="3"/>
  <c r="M96" i="3"/>
  <c r="M192" i="3"/>
  <c r="L192" i="3"/>
  <c r="M80" i="3"/>
  <c r="L80" i="3"/>
  <c r="M204" i="3"/>
  <c r="L204" i="3"/>
  <c r="M113" i="3"/>
  <c r="L113" i="3"/>
  <c r="L197" i="3"/>
  <c r="M197" i="3"/>
  <c r="M31" i="3"/>
  <c r="L31" i="3"/>
  <c r="M201" i="3"/>
  <c r="L201" i="3"/>
  <c r="M52" i="2"/>
  <c r="L52" i="2"/>
  <c r="V11" i="2"/>
  <c r="U11" i="2"/>
  <c r="M64" i="2"/>
  <c r="L64" i="2"/>
  <c r="M48" i="2"/>
  <c r="L48" i="2"/>
  <c r="M54" i="2"/>
  <c r="L54" i="2"/>
  <c r="T7" i="3"/>
  <c r="M5" i="2"/>
  <c r="L5" i="2"/>
  <c r="K69" i="2"/>
  <c r="M66" i="2"/>
  <c r="L66" i="2"/>
  <c r="V20" i="1"/>
  <c r="U20" i="1"/>
  <c r="M25" i="1"/>
  <c r="L25" i="1"/>
  <c r="M51" i="2"/>
  <c r="L51" i="2"/>
  <c r="M56" i="2"/>
  <c r="L56" i="2"/>
  <c r="L20" i="1"/>
  <c r="M20" i="1"/>
  <c r="M92" i="10"/>
  <c r="L92" i="10"/>
  <c r="M32" i="10"/>
  <c r="L32" i="10"/>
  <c r="R24" i="10"/>
  <c r="O145" i="9"/>
  <c r="N145" i="9"/>
  <c r="M145" i="9"/>
  <c r="O142" i="9"/>
  <c r="N142" i="9"/>
  <c r="M142" i="9"/>
  <c r="O155" i="9"/>
  <c r="N155" i="9"/>
  <c r="M155" i="9"/>
  <c r="O45" i="9"/>
  <c r="N45" i="9"/>
  <c r="M45" i="9"/>
  <c r="M115" i="9"/>
  <c r="O115" i="9"/>
  <c r="N115" i="9"/>
  <c r="Z25" i="9"/>
  <c r="Y25" i="9"/>
  <c r="X25" i="9"/>
  <c r="V26" i="9"/>
  <c r="M87" i="9"/>
  <c r="O87" i="9"/>
  <c r="N87" i="9"/>
  <c r="M81" i="9"/>
  <c r="O81" i="9"/>
  <c r="N81" i="9"/>
  <c r="M114" i="9"/>
  <c r="O114" i="9"/>
  <c r="N114" i="9"/>
  <c r="M60" i="9"/>
  <c r="N60" i="9"/>
  <c r="O60" i="9"/>
  <c r="O169" i="9"/>
  <c r="N169" i="9"/>
  <c r="M169" i="9"/>
  <c r="O165" i="9"/>
  <c r="N165" i="9"/>
  <c r="M165" i="9"/>
  <c r="N13" i="9"/>
  <c r="O13" i="9"/>
  <c r="M13" i="9"/>
  <c r="L177" i="8"/>
  <c r="M177" i="8"/>
  <c r="L153" i="8"/>
  <c r="M153" i="8"/>
  <c r="M100" i="8"/>
  <c r="L100" i="8"/>
  <c r="M146" i="7"/>
  <c r="L146" i="7"/>
  <c r="M121" i="6"/>
  <c r="L121" i="6"/>
  <c r="M59" i="8"/>
  <c r="L59" i="8"/>
  <c r="M147" i="8"/>
  <c r="L147" i="8"/>
  <c r="L180" i="8"/>
  <c r="M180" i="8"/>
  <c r="L83" i="8"/>
  <c r="M83" i="8"/>
  <c r="M152" i="8"/>
  <c r="L152" i="8"/>
  <c r="M29" i="8"/>
  <c r="L29" i="8"/>
  <c r="L88" i="7"/>
  <c r="M88" i="7"/>
  <c r="M125" i="8"/>
  <c r="L125" i="8"/>
  <c r="M115" i="8"/>
  <c r="L115" i="8"/>
  <c r="M84" i="8"/>
  <c r="L84" i="8"/>
  <c r="M128" i="7"/>
  <c r="L128" i="7"/>
  <c r="L30" i="7"/>
  <c r="M30" i="7"/>
  <c r="L156" i="8"/>
  <c r="M156" i="8"/>
  <c r="M75" i="7"/>
  <c r="L75" i="7"/>
  <c r="L58" i="6"/>
  <c r="M58" i="6"/>
  <c r="M59" i="6"/>
  <c r="L59" i="6"/>
  <c r="M25" i="6"/>
  <c r="L25" i="6"/>
  <c r="M36" i="6"/>
  <c r="L36" i="6"/>
  <c r="M138" i="6"/>
  <c r="L138" i="6"/>
  <c r="M126" i="6"/>
  <c r="L126" i="6"/>
  <c r="M63" i="6"/>
  <c r="L63" i="6"/>
  <c r="M197" i="5"/>
  <c r="L197" i="5"/>
  <c r="M107" i="5"/>
  <c r="L107" i="5"/>
  <c r="L43" i="5"/>
  <c r="M43" i="5"/>
  <c r="M124" i="5"/>
  <c r="L124" i="5"/>
  <c r="M206" i="5"/>
  <c r="L206" i="5"/>
  <c r="M66" i="5"/>
  <c r="L66" i="5"/>
  <c r="M210" i="5"/>
  <c r="L210" i="5"/>
  <c r="M91" i="5"/>
  <c r="L91" i="5"/>
  <c r="M27" i="5"/>
  <c r="L27" i="5"/>
  <c r="M15" i="5"/>
  <c r="L15" i="5"/>
  <c r="M159" i="5"/>
  <c r="L159" i="5"/>
  <c r="M204" i="5"/>
  <c r="L204" i="5"/>
  <c r="L176" i="5"/>
  <c r="M176" i="5"/>
  <c r="L133" i="5"/>
  <c r="M133" i="5"/>
  <c r="M130" i="5"/>
  <c r="L130" i="5"/>
  <c r="M78" i="5"/>
  <c r="L78" i="5"/>
  <c r="M119" i="5"/>
  <c r="L119" i="5"/>
  <c r="M130" i="4"/>
  <c r="L130" i="4"/>
  <c r="M50" i="4"/>
  <c r="L50" i="4"/>
  <c r="M103" i="4"/>
  <c r="L103" i="4"/>
  <c r="L145" i="4"/>
  <c r="M145" i="4"/>
  <c r="L152" i="4"/>
  <c r="M152" i="4"/>
  <c r="L180" i="4"/>
  <c r="M180" i="4"/>
  <c r="M89" i="4"/>
  <c r="L89" i="4"/>
  <c r="M24" i="4"/>
  <c r="L24" i="4"/>
  <c r="L109" i="4"/>
  <c r="M109" i="4"/>
  <c r="M173" i="4"/>
  <c r="L173" i="4"/>
  <c r="M53" i="4"/>
  <c r="L53" i="4"/>
  <c r="M178" i="3"/>
  <c r="L178" i="3"/>
  <c r="M190" i="4"/>
  <c r="L190" i="4"/>
  <c r="T25" i="4"/>
  <c r="M198" i="4"/>
  <c r="L198" i="4"/>
  <c r="M86" i="4"/>
  <c r="L86" i="4"/>
  <c r="L116" i="4"/>
  <c r="M116" i="4"/>
  <c r="M56" i="4"/>
  <c r="L56" i="4"/>
  <c r="M138" i="3"/>
  <c r="L138" i="3"/>
  <c r="M35" i="3"/>
  <c r="L35" i="3"/>
  <c r="L161" i="3"/>
  <c r="M161" i="3"/>
  <c r="U21" i="3"/>
  <c r="V21" i="3"/>
  <c r="M110" i="3"/>
  <c r="L110" i="3"/>
  <c r="M92" i="3"/>
  <c r="L92" i="3"/>
  <c r="M181" i="3"/>
  <c r="L181" i="3"/>
  <c r="M71" i="3"/>
  <c r="L71" i="3"/>
  <c r="M193" i="3"/>
  <c r="L193" i="3"/>
  <c r="M98" i="3"/>
  <c r="L98" i="3"/>
  <c r="L179" i="3"/>
  <c r="M179" i="3"/>
  <c r="M18" i="3"/>
  <c r="L18" i="3"/>
  <c r="L159" i="3"/>
  <c r="M159" i="3"/>
  <c r="M46" i="2"/>
  <c r="L46" i="2"/>
  <c r="V10" i="2"/>
  <c r="U10" i="2"/>
  <c r="M58" i="2"/>
  <c r="L58" i="2"/>
  <c r="V11" i="1"/>
  <c r="U11" i="1"/>
  <c r="M42" i="2"/>
  <c r="L42" i="2"/>
  <c r="M37" i="2"/>
  <c r="L37" i="2"/>
  <c r="M43" i="2"/>
  <c r="L43" i="2"/>
  <c r="M31" i="1"/>
  <c r="L31" i="1"/>
  <c r="V13" i="1"/>
  <c r="U13" i="1"/>
  <c r="M55" i="2"/>
  <c r="L55" i="2"/>
  <c r="M45" i="2"/>
  <c r="L45" i="2"/>
  <c r="M40" i="2"/>
  <c r="L40" i="2"/>
  <c r="K208" i="3"/>
  <c r="M5" i="3"/>
  <c r="L5" i="3"/>
  <c r="T17" i="3"/>
  <c r="T6" i="3"/>
  <c r="M65" i="10"/>
  <c r="L65" i="10"/>
  <c r="M114" i="10"/>
  <c r="L114" i="10"/>
  <c r="M85" i="10"/>
  <c r="L85" i="10"/>
  <c r="Q20" i="11"/>
  <c r="R20" i="11" s="1"/>
  <c r="Q22" i="11"/>
  <c r="R22" i="11" s="1"/>
  <c r="M59" i="10"/>
  <c r="L59" i="10"/>
  <c r="M124" i="10"/>
  <c r="L124" i="10"/>
  <c r="L123" i="10"/>
  <c r="M123" i="10"/>
  <c r="M18" i="10"/>
  <c r="L18" i="10"/>
  <c r="M101" i="10"/>
  <c r="L101" i="10"/>
  <c r="M79" i="10"/>
  <c r="L79" i="10"/>
  <c r="R23" i="11"/>
  <c r="M133" i="10"/>
  <c r="L133" i="10"/>
  <c r="M7" i="10"/>
  <c r="L7" i="10"/>
  <c r="S24" i="10"/>
  <c r="S8" i="10"/>
  <c r="Q6" i="11"/>
  <c r="R6" i="11" s="1"/>
  <c r="O121" i="9"/>
  <c r="N121" i="9"/>
  <c r="M121" i="9"/>
  <c r="O129" i="9"/>
  <c r="N129" i="9"/>
  <c r="M129" i="9"/>
  <c r="O33" i="9"/>
  <c r="N33" i="9"/>
  <c r="M33" i="9"/>
  <c r="M86" i="9"/>
  <c r="O86" i="9"/>
  <c r="N86" i="9"/>
  <c r="U26" i="9"/>
  <c r="M71" i="9"/>
  <c r="O71" i="9"/>
  <c r="N71" i="9"/>
  <c r="M139" i="8"/>
  <c r="L139" i="8"/>
  <c r="W5" i="9"/>
  <c r="O7" i="9"/>
  <c r="N7" i="9"/>
  <c r="M7" i="9"/>
  <c r="M93" i="9"/>
  <c r="O93" i="9"/>
  <c r="N93" i="9"/>
  <c r="O168" i="9"/>
  <c r="N168" i="9"/>
  <c r="M168" i="9"/>
  <c r="M72" i="9"/>
  <c r="N72" i="9"/>
  <c r="O72" i="9"/>
  <c r="O175" i="9"/>
  <c r="N175" i="9"/>
  <c r="M175" i="9"/>
  <c r="O171" i="9"/>
  <c r="N171" i="9"/>
  <c r="M171" i="9"/>
  <c r="O16" i="9"/>
  <c r="N16" i="9"/>
  <c r="M16" i="9"/>
  <c r="M107" i="9"/>
  <c r="O107" i="9"/>
  <c r="N107" i="9"/>
  <c r="O150" i="9"/>
  <c r="N150" i="9"/>
  <c r="M150" i="9"/>
  <c r="M148" i="8"/>
  <c r="L148" i="8"/>
  <c r="T5" i="7"/>
  <c r="M89" i="8"/>
  <c r="L89" i="8"/>
  <c r="L160" i="8"/>
  <c r="M160" i="8"/>
  <c r="M131" i="7"/>
  <c r="L131" i="7"/>
  <c r="L139" i="7"/>
  <c r="M139" i="7"/>
  <c r="M81" i="8"/>
  <c r="L81" i="8"/>
  <c r="M181" i="8"/>
  <c r="L181" i="8"/>
  <c r="M138" i="8"/>
  <c r="L138" i="8"/>
  <c r="M93" i="8"/>
  <c r="L93" i="8"/>
  <c r="M164" i="8"/>
  <c r="L164" i="8"/>
  <c r="M26" i="8"/>
  <c r="L26" i="8"/>
  <c r="M79" i="7"/>
  <c r="L79" i="7"/>
  <c r="M108" i="8"/>
  <c r="L108" i="8"/>
  <c r="M45" i="8"/>
  <c r="L45" i="8"/>
  <c r="M77" i="8"/>
  <c r="L77" i="8"/>
  <c r="M122" i="7"/>
  <c r="L122" i="7"/>
  <c r="M171" i="8"/>
  <c r="L171" i="8"/>
  <c r="L24" i="7"/>
  <c r="M24" i="7"/>
  <c r="M143" i="8"/>
  <c r="L143" i="8"/>
  <c r="M7" i="7"/>
  <c r="L7" i="7"/>
  <c r="L42" i="6"/>
  <c r="M42" i="6"/>
  <c r="M52" i="6"/>
  <c r="L52" i="6"/>
  <c r="T18" i="7"/>
  <c r="L26" i="6"/>
  <c r="M26" i="6"/>
  <c r="L130" i="6"/>
  <c r="M130" i="6"/>
  <c r="M89" i="6"/>
  <c r="L89" i="6"/>
  <c r="M117" i="6"/>
  <c r="L117" i="6"/>
  <c r="L55" i="6"/>
  <c r="M55" i="6"/>
  <c r="M190" i="5"/>
  <c r="L190" i="5"/>
  <c r="M79" i="5"/>
  <c r="L79" i="5"/>
  <c r="L205" i="5"/>
  <c r="M205" i="5"/>
  <c r="M209" i="5"/>
  <c r="L209" i="5"/>
  <c r="L109" i="5"/>
  <c r="M109" i="5"/>
  <c r="L169" i="5"/>
  <c r="M169" i="5"/>
  <c r="P3" i="5"/>
  <c r="Y3" i="5"/>
  <c r="M203" i="5"/>
  <c r="L203" i="5"/>
  <c r="M83" i="5"/>
  <c r="L83" i="5"/>
  <c r="M171" i="5"/>
  <c r="L171" i="5"/>
  <c r="M129" i="5"/>
  <c r="L129" i="5"/>
  <c r="L188" i="5"/>
  <c r="M188" i="5"/>
  <c r="M122" i="5"/>
  <c r="L122" i="5"/>
  <c r="M126" i="5"/>
  <c r="L126" i="5"/>
  <c r="T23" i="7"/>
  <c r="M69" i="5"/>
  <c r="L69" i="5"/>
  <c r="M42" i="5"/>
  <c r="L42" i="5"/>
  <c r="M125" i="4"/>
  <c r="L125" i="4"/>
  <c r="M43" i="4"/>
  <c r="L43" i="4"/>
  <c r="M115" i="4"/>
  <c r="L115" i="4"/>
  <c r="L157" i="4"/>
  <c r="M157" i="4"/>
  <c r="L58" i="4"/>
  <c r="M58" i="4"/>
  <c r="L168" i="4"/>
  <c r="M168" i="4"/>
  <c r="M83" i="4"/>
  <c r="L83" i="4"/>
  <c r="L104" i="4"/>
  <c r="M104" i="4"/>
  <c r="L204" i="4"/>
  <c r="M204" i="4"/>
  <c r="M161" i="4"/>
  <c r="L161" i="4"/>
  <c r="M47" i="4"/>
  <c r="L47" i="4"/>
  <c r="M172" i="3"/>
  <c r="L172" i="3"/>
  <c r="L186" i="4"/>
  <c r="M186" i="4"/>
  <c r="M23" i="4"/>
  <c r="L23" i="4"/>
  <c r="M194" i="4"/>
  <c r="L194" i="4"/>
  <c r="M80" i="4"/>
  <c r="L80" i="4"/>
  <c r="L102" i="4"/>
  <c r="M102" i="4"/>
  <c r="M36" i="4"/>
  <c r="L36" i="4"/>
  <c r="M123" i="3"/>
  <c r="L123" i="3"/>
  <c r="M34" i="3"/>
  <c r="L34" i="3"/>
  <c r="L157" i="3"/>
  <c r="M157" i="3"/>
  <c r="M106" i="3"/>
  <c r="L106" i="3"/>
  <c r="L79" i="3"/>
  <c r="M79" i="3"/>
  <c r="M170" i="3"/>
  <c r="L170" i="3"/>
  <c r="T23" i="4"/>
  <c r="L200" i="3"/>
  <c r="M200" i="3"/>
  <c r="M62" i="3"/>
  <c r="L62" i="3"/>
  <c r="M182" i="3"/>
  <c r="L182" i="3"/>
  <c r="T18" i="4"/>
  <c r="M94" i="3"/>
  <c r="L94" i="3"/>
  <c r="L132" i="3"/>
  <c r="M132" i="3"/>
  <c r="L16" i="3"/>
  <c r="M16" i="3"/>
  <c r="L195" i="3"/>
  <c r="M195" i="3"/>
  <c r="M207" i="3"/>
  <c r="L207" i="3"/>
  <c r="M35" i="2"/>
  <c r="L35" i="2"/>
  <c r="M47" i="2"/>
  <c r="L47" i="2"/>
  <c r="M31" i="2"/>
  <c r="L31" i="2"/>
  <c r="M25" i="2"/>
  <c r="L25" i="2"/>
  <c r="V20" i="2"/>
  <c r="U20" i="2"/>
  <c r="T8" i="3"/>
  <c r="M22" i="1"/>
  <c r="L22" i="1"/>
  <c r="M39" i="2"/>
  <c r="L39" i="2"/>
  <c r="R22" i="1"/>
  <c r="M34" i="2"/>
  <c r="L34" i="2"/>
  <c r="M10" i="1"/>
  <c r="L10" i="1"/>
  <c r="M49" i="10"/>
  <c r="L49" i="10"/>
  <c r="M117" i="10"/>
  <c r="L117" i="10"/>
  <c r="M128" i="10"/>
  <c r="L128" i="10"/>
  <c r="M95" i="10"/>
  <c r="L95" i="10"/>
  <c r="Q19" i="11"/>
  <c r="R19" i="11" s="1"/>
  <c r="M43" i="10"/>
  <c r="L43" i="10"/>
  <c r="M33" i="10"/>
  <c r="L33" i="10"/>
  <c r="M132" i="10"/>
  <c r="L132" i="10"/>
  <c r="L48" i="10"/>
  <c r="M48" i="10"/>
  <c r="M119" i="10"/>
  <c r="L119" i="10"/>
  <c r="L63" i="10"/>
  <c r="M63" i="10"/>
  <c r="M127" i="10"/>
  <c r="L127" i="10"/>
  <c r="L6" i="10"/>
  <c r="M6" i="10"/>
  <c r="T6" i="10"/>
  <c r="L165" i="8"/>
  <c r="M165" i="8"/>
  <c r="O159" i="9"/>
  <c r="N159" i="9"/>
  <c r="M159" i="9"/>
  <c r="M73" i="9"/>
  <c r="O73" i="9"/>
  <c r="N73" i="9"/>
  <c r="M155" i="8"/>
  <c r="L155" i="8"/>
  <c r="O10" i="9"/>
  <c r="M10" i="9"/>
  <c r="N10" i="9"/>
  <c r="M68" i="9"/>
  <c r="O68" i="9"/>
  <c r="N68" i="9"/>
  <c r="M78" i="9"/>
  <c r="O78" i="9"/>
  <c r="N78" i="9"/>
  <c r="O9" i="9"/>
  <c r="N9" i="9"/>
  <c r="M9" i="9"/>
  <c r="M105" i="9"/>
  <c r="O105" i="9"/>
  <c r="N105" i="9"/>
  <c r="M65" i="9"/>
  <c r="O65" i="9"/>
  <c r="N65" i="9"/>
  <c r="M84" i="9"/>
  <c r="N84" i="9"/>
  <c r="O84" i="9"/>
  <c r="O181" i="9"/>
  <c r="N181" i="9"/>
  <c r="M181" i="9"/>
  <c r="O177" i="9"/>
  <c r="N177" i="9"/>
  <c r="M177" i="9"/>
  <c r="M97" i="9"/>
  <c r="O97" i="9"/>
  <c r="N97" i="9"/>
  <c r="M104" i="9"/>
  <c r="O104" i="9"/>
  <c r="N104" i="9"/>
  <c r="O138" i="9"/>
  <c r="N138" i="9"/>
  <c r="M138" i="9"/>
  <c r="M118" i="8"/>
  <c r="L118" i="8"/>
  <c r="M137" i="8"/>
  <c r="L137" i="8"/>
  <c r="R24" i="7"/>
  <c r="M71" i="8"/>
  <c r="L71" i="8"/>
  <c r="M157" i="8"/>
  <c r="L157" i="8"/>
  <c r="M117" i="7"/>
  <c r="L117" i="7"/>
  <c r="M102" i="7"/>
  <c r="L102" i="7"/>
  <c r="M166" i="8"/>
  <c r="L166" i="8"/>
  <c r="M51" i="8"/>
  <c r="L51" i="8"/>
  <c r="M163" i="8"/>
  <c r="L163" i="8"/>
  <c r="L102" i="8"/>
  <c r="M102" i="8"/>
  <c r="M176" i="8"/>
  <c r="L176" i="8"/>
  <c r="M17" i="8"/>
  <c r="L17" i="8"/>
  <c r="M71" i="7"/>
  <c r="L71" i="7"/>
  <c r="M98" i="8"/>
  <c r="L98" i="8"/>
  <c r="M65" i="8"/>
  <c r="L65" i="8"/>
  <c r="M105" i="7"/>
  <c r="L105" i="7"/>
  <c r="M146" i="8"/>
  <c r="L146" i="8"/>
  <c r="M126" i="8"/>
  <c r="L126" i="8"/>
  <c r="M97" i="6"/>
  <c r="L97" i="6"/>
  <c r="L33" i="6"/>
  <c r="M33" i="6"/>
  <c r="M43" i="6"/>
  <c r="L43" i="6"/>
  <c r="M133" i="6"/>
  <c r="L133" i="6"/>
  <c r="L8" i="6"/>
  <c r="M8" i="6"/>
  <c r="M88" i="6"/>
  <c r="L88" i="6"/>
  <c r="L62" i="6"/>
  <c r="M62" i="6"/>
  <c r="M48" i="6"/>
  <c r="L48" i="6"/>
  <c r="M28" i="6"/>
  <c r="L28" i="6"/>
  <c r="L118" i="6"/>
  <c r="M118" i="6"/>
  <c r="T25" i="8"/>
  <c r="M186" i="5"/>
  <c r="L186" i="5"/>
  <c r="M194" i="5"/>
  <c r="L194" i="5"/>
  <c r="M202" i="5"/>
  <c r="L202" i="5"/>
  <c r="M103" i="5"/>
  <c r="L103" i="5"/>
  <c r="M158" i="5"/>
  <c r="L158" i="5"/>
  <c r="M199" i="5"/>
  <c r="L199" i="5"/>
  <c r="M46" i="5"/>
  <c r="L46" i="5"/>
  <c r="M25" i="5"/>
  <c r="L25" i="5"/>
  <c r="M13" i="5"/>
  <c r="L13" i="5"/>
  <c r="M183" i="5"/>
  <c r="L183" i="5"/>
  <c r="M141" i="5"/>
  <c r="L141" i="5"/>
  <c r="L200" i="5"/>
  <c r="M200" i="5"/>
  <c r="M105" i="5"/>
  <c r="L105" i="5"/>
  <c r="S32" i="5"/>
  <c r="M113" i="5"/>
  <c r="L113" i="5"/>
  <c r="M59" i="5"/>
  <c r="L59" i="5"/>
  <c r="M117" i="4"/>
  <c r="L117" i="4"/>
  <c r="M37" i="4"/>
  <c r="L37" i="4"/>
  <c r="M127" i="4"/>
  <c r="L127" i="4"/>
  <c r="L169" i="4"/>
  <c r="M169" i="4"/>
  <c r="L156" i="4"/>
  <c r="M156" i="4"/>
  <c r="M207" i="4"/>
  <c r="L207" i="4"/>
  <c r="M77" i="4"/>
  <c r="L77" i="4"/>
  <c r="L90" i="4"/>
  <c r="M90" i="4"/>
  <c r="L132" i="4"/>
  <c r="M132" i="4"/>
  <c r="M149" i="4"/>
  <c r="L149" i="4"/>
  <c r="M40" i="4"/>
  <c r="L40" i="4"/>
  <c r="M151" i="3"/>
  <c r="L151" i="3"/>
  <c r="M178" i="4"/>
  <c r="L178" i="4"/>
  <c r="M182" i="4"/>
  <c r="L182" i="4"/>
  <c r="M74" i="4"/>
  <c r="L74" i="4"/>
  <c r="M12" i="4"/>
  <c r="L12" i="4"/>
  <c r="L97" i="4"/>
  <c r="M97" i="4"/>
  <c r="M32" i="4"/>
  <c r="L32" i="4"/>
  <c r="M114" i="3"/>
  <c r="L114" i="3"/>
  <c r="M33" i="3"/>
  <c r="L33" i="3"/>
  <c r="T12" i="3"/>
  <c r="L148" i="3"/>
  <c r="M148" i="3"/>
  <c r="M101" i="3"/>
  <c r="L101" i="3"/>
  <c r="L59" i="3"/>
  <c r="M59" i="3"/>
  <c r="M30" i="3"/>
  <c r="L30" i="3"/>
  <c r="M189" i="3"/>
  <c r="L189" i="3"/>
  <c r="M53" i="3"/>
  <c r="L53" i="3"/>
  <c r="M163" i="3"/>
  <c r="L163" i="3"/>
  <c r="M55" i="3"/>
  <c r="L55" i="3"/>
  <c r="M128" i="3"/>
  <c r="L128" i="3"/>
  <c r="T15" i="3"/>
  <c r="M95" i="3"/>
  <c r="L95" i="3"/>
  <c r="M165" i="3"/>
  <c r="L165" i="3"/>
  <c r="T15" i="2"/>
  <c r="M30" i="2"/>
  <c r="L30" i="2"/>
  <c r="M24" i="2"/>
  <c r="L24" i="2"/>
  <c r="M22" i="2"/>
  <c r="L22" i="2"/>
  <c r="M38" i="2"/>
  <c r="L38" i="2"/>
  <c r="M33" i="2"/>
  <c r="L33" i="2"/>
  <c r="M11" i="1"/>
  <c r="L11" i="1"/>
  <c r="M28" i="2"/>
  <c r="L28" i="2"/>
  <c r="L111" i="10"/>
  <c r="M111" i="10"/>
  <c r="T20" i="10"/>
  <c r="O141" i="9"/>
  <c r="N141" i="9"/>
  <c r="M141" i="9"/>
  <c r="O152" i="9"/>
  <c r="N152" i="9"/>
  <c r="M152" i="9"/>
  <c r="O22" i="9"/>
  <c r="N22" i="9"/>
  <c r="M22" i="9"/>
  <c r="M54" i="9"/>
  <c r="N54" i="9"/>
  <c r="O54" i="9"/>
  <c r="X24" i="9"/>
  <c r="Y24" i="9"/>
  <c r="Z24" i="9"/>
  <c r="M94" i="8"/>
  <c r="L94" i="8"/>
  <c r="L130" i="8"/>
  <c r="M130" i="8"/>
  <c r="M51" i="9"/>
  <c r="O51" i="9"/>
  <c r="N51" i="9"/>
  <c r="M58" i="9"/>
  <c r="O58" i="9"/>
  <c r="N58" i="9"/>
  <c r="O134" i="9"/>
  <c r="N134" i="9"/>
  <c r="M134" i="9"/>
  <c r="M77" i="9"/>
  <c r="O77" i="9"/>
  <c r="N77" i="9"/>
  <c r="M96" i="9"/>
  <c r="N96" i="9"/>
  <c r="O96" i="9"/>
  <c r="O187" i="9"/>
  <c r="N187" i="9"/>
  <c r="M187" i="9"/>
  <c r="O183" i="9"/>
  <c r="N183" i="9"/>
  <c r="M183" i="9"/>
  <c r="M91" i="9"/>
  <c r="O91" i="9"/>
  <c r="N91" i="9"/>
  <c r="M88" i="9"/>
  <c r="N88" i="9"/>
  <c r="O88" i="9"/>
  <c r="O132" i="9"/>
  <c r="N132" i="9"/>
  <c r="M132" i="9"/>
  <c r="M98" i="9"/>
  <c r="O98" i="9"/>
  <c r="N98" i="9"/>
  <c r="M85" i="8"/>
  <c r="L85" i="8"/>
  <c r="V13" i="7"/>
  <c r="U13" i="7"/>
  <c r="L57" i="8"/>
  <c r="M57" i="8"/>
  <c r="M154" i="8"/>
  <c r="L154" i="8"/>
  <c r="M110" i="7"/>
  <c r="L110" i="7"/>
  <c r="M78" i="7"/>
  <c r="L78" i="7"/>
  <c r="M178" i="8"/>
  <c r="L178" i="8"/>
  <c r="M63" i="8"/>
  <c r="L63" i="8"/>
  <c r="M175" i="8"/>
  <c r="L175" i="8"/>
  <c r="L111" i="8"/>
  <c r="M111" i="8"/>
  <c r="L13" i="8"/>
  <c r="M13" i="8"/>
  <c r="T6" i="8"/>
  <c r="L64" i="7"/>
  <c r="M64" i="7"/>
  <c r="M80" i="8"/>
  <c r="L80" i="8"/>
  <c r="L55" i="8"/>
  <c r="M55" i="8"/>
  <c r="M98" i="7"/>
  <c r="L98" i="7"/>
  <c r="L119" i="8"/>
  <c r="M119" i="8"/>
  <c r="M116" i="8"/>
  <c r="L116" i="8"/>
  <c r="M92" i="6"/>
  <c r="L92" i="6"/>
  <c r="L14" i="6"/>
  <c r="M14" i="6"/>
  <c r="M34" i="6"/>
  <c r="L34" i="6"/>
  <c r="M125" i="6"/>
  <c r="L125" i="6"/>
  <c r="M68" i="6"/>
  <c r="L68" i="6"/>
  <c r="M54" i="6"/>
  <c r="L54" i="6"/>
  <c r="T6" i="6"/>
  <c r="L139" i="6"/>
  <c r="M139" i="6"/>
  <c r="M18" i="6"/>
  <c r="L18" i="6"/>
  <c r="M72" i="6"/>
  <c r="L72" i="6"/>
  <c r="M179" i="5"/>
  <c r="L179" i="5"/>
  <c r="U27" i="5"/>
  <c r="V27" i="5"/>
  <c r="L157" i="5"/>
  <c r="M157" i="5"/>
  <c r="M198" i="5"/>
  <c r="L198" i="5"/>
  <c r="M95" i="5"/>
  <c r="L95" i="5"/>
  <c r="L121" i="5"/>
  <c r="M121" i="5"/>
  <c r="M184" i="5"/>
  <c r="L184" i="5"/>
  <c r="M37" i="5"/>
  <c r="L37" i="5"/>
  <c r="T24" i="5"/>
  <c r="V12" i="5"/>
  <c r="U12" i="5"/>
  <c r="M195" i="5"/>
  <c r="L195" i="5"/>
  <c r="M153" i="5"/>
  <c r="L153" i="5"/>
  <c r="M75" i="5"/>
  <c r="L75" i="5"/>
  <c r="L85" i="5"/>
  <c r="M85" i="5"/>
  <c r="R24" i="6"/>
  <c r="M50" i="5"/>
  <c r="L50" i="5"/>
  <c r="M112" i="4"/>
  <c r="L112" i="4"/>
  <c r="M139" i="4"/>
  <c r="L139" i="4"/>
  <c r="L181" i="4"/>
  <c r="M181" i="4"/>
  <c r="L144" i="4"/>
  <c r="M144" i="4"/>
  <c r="M184" i="4"/>
  <c r="L184" i="4"/>
  <c r="M71" i="4"/>
  <c r="L71" i="4"/>
  <c r="T16" i="4"/>
  <c r="L46" i="4"/>
  <c r="M46" i="4"/>
  <c r="T29" i="4"/>
  <c r="M136" i="4"/>
  <c r="L136" i="4"/>
  <c r="L174" i="4"/>
  <c r="M174" i="4"/>
  <c r="M170" i="4"/>
  <c r="L170" i="4"/>
  <c r="M68" i="4"/>
  <c r="L68" i="4"/>
  <c r="M6" i="4"/>
  <c r="L6" i="4"/>
  <c r="L92" i="4"/>
  <c r="M92" i="4"/>
  <c r="M109" i="3"/>
  <c r="L109" i="3"/>
  <c r="L139" i="3"/>
  <c r="M139" i="3"/>
  <c r="M78" i="3"/>
  <c r="L78" i="3"/>
  <c r="L50" i="3"/>
  <c r="M50" i="3"/>
  <c r="L141" i="3"/>
  <c r="M141" i="3"/>
  <c r="L87" i="3"/>
  <c r="M87" i="3"/>
  <c r="M175" i="3"/>
  <c r="L175" i="3"/>
  <c r="L108" i="3"/>
  <c r="M108" i="3"/>
  <c r="M107" i="3"/>
  <c r="L107" i="3"/>
  <c r="M186" i="3"/>
  <c r="L186" i="3"/>
  <c r="M11" i="2"/>
  <c r="L11" i="2"/>
  <c r="M32" i="2"/>
  <c r="L32" i="2"/>
  <c r="M18" i="1"/>
  <c r="L18" i="1"/>
  <c r="M27" i="2"/>
  <c r="L27" i="2"/>
  <c r="S22" i="1"/>
  <c r="M10" i="2"/>
  <c r="L10" i="2"/>
  <c r="M20" i="2"/>
  <c r="L20" i="2"/>
  <c r="T18" i="2"/>
  <c r="M125" i="10"/>
  <c r="L125" i="10"/>
  <c r="T16" i="10"/>
  <c r="Q5" i="11"/>
  <c r="O136" i="9"/>
  <c r="N136" i="9"/>
  <c r="M136" i="9"/>
  <c r="T5" i="10"/>
  <c r="O148" i="9"/>
  <c r="N148" i="9"/>
  <c r="M148" i="9"/>
  <c r="O47" i="9"/>
  <c r="N47" i="9"/>
  <c r="M47" i="9"/>
  <c r="M112" i="9"/>
  <c r="N112" i="9"/>
  <c r="O112" i="9"/>
  <c r="M109" i="9"/>
  <c r="O109" i="9"/>
  <c r="N109" i="9"/>
  <c r="O149" i="9"/>
  <c r="N149" i="9"/>
  <c r="M149" i="9"/>
  <c r="M70" i="9"/>
  <c r="O70" i="9"/>
  <c r="N70" i="9"/>
  <c r="O143" i="9"/>
  <c r="N143" i="9"/>
  <c r="M143" i="9"/>
  <c r="M89" i="9"/>
  <c r="O89" i="9"/>
  <c r="N89" i="9"/>
  <c r="M108" i="9"/>
  <c r="N108" i="9"/>
  <c r="O108" i="9"/>
  <c r="O167" i="9"/>
  <c r="N167" i="9"/>
  <c r="M167" i="9"/>
  <c r="O189" i="9"/>
  <c r="N189" i="9"/>
  <c r="M189" i="9"/>
  <c r="M62" i="9"/>
  <c r="O62" i="9"/>
  <c r="N62" i="9"/>
  <c r="M75" i="9"/>
  <c r="O75" i="9"/>
  <c r="N75" i="9"/>
  <c r="M66" i="9"/>
  <c r="O66" i="9"/>
  <c r="N66" i="9"/>
  <c r="M85" i="9"/>
  <c r="O85" i="9"/>
  <c r="N85" i="9"/>
  <c r="L52" i="8"/>
  <c r="M52" i="8"/>
  <c r="M35" i="8"/>
  <c r="L35" i="8"/>
  <c r="M134" i="8"/>
  <c r="L134" i="8"/>
  <c r="M93" i="7"/>
  <c r="L93" i="7"/>
  <c r="M182" i="8"/>
  <c r="L182" i="8"/>
  <c r="M54" i="7"/>
  <c r="L54" i="7"/>
  <c r="M183" i="8"/>
  <c r="L183" i="8"/>
  <c r="M75" i="8"/>
  <c r="L75" i="8"/>
  <c r="M103" i="8"/>
  <c r="L103" i="8"/>
  <c r="L120" i="8"/>
  <c r="M120" i="8"/>
  <c r="K185" i="8"/>
  <c r="T5" i="8"/>
  <c r="M5" i="8"/>
  <c r="L5" i="8"/>
  <c r="M55" i="7"/>
  <c r="L55" i="7"/>
  <c r="L73" i="8"/>
  <c r="M73" i="8"/>
  <c r="M135" i="7"/>
  <c r="L135" i="7"/>
  <c r="L46" i="8"/>
  <c r="M46" i="8"/>
  <c r="M81" i="7"/>
  <c r="L81" i="7"/>
  <c r="M109" i="8"/>
  <c r="L109" i="8"/>
  <c r="M99" i="8"/>
  <c r="L99" i="8"/>
  <c r="T5" i="6"/>
  <c r="L10" i="6"/>
  <c r="M10" i="6"/>
  <c r="M11" i="6"/>
  <c r="L11" i="6"/>
  <c r="M115" i="6"/>
  <c r="L115" i="6"/>
  <c r="M108" i="6"/>
  <c r="L108" i="6"/>
  <c r="M61" i="6"/>
  <c r="L61" i="6"/>
  <c r="M37" i="6"/>
  <c r="L37" i="6"/>
  <c r="M135" i="6"/>
  <c r="L135" i="6"/>
  <c r="M7" i="6"/>
  <c r="L7" i="6"/>
  <c r="M49" i="6"/>
  <c r="L49" i="6"/>
  <c r="M175" i="5"/>
  <c r="L175" i="5"/>
  <c r="U25" i="5"/>
  <c r="V25" i="5"/>
  <c r="M146" i="5"/>
  <c r="L146" i="5"/>
  <c r="L116" i="5"/>
  <c r="M116" i="5"/>
  <c r="M191" i="5"/>
  <c r="L191" i="5"/>
  <c r="M89" i="5"/>
  <c r="L89" i="5"/>
  <c r="M90" i="5"/>
  <c r="L90" i="5"/>
  <c r="M173" i="5"/>
  <c r="L173" i="5"/>
  <c r="M36" i="5"/>
  <c r="L36" i="5"/>
  <c r="M23" i="5"/>
  <c r="L23" i="5"/>
  <c r="M9" i="5"/>
  <c r="L9" i="5"/>
  <c r="M207" i="5"/>
  <c r="L207" i="5"/>
  <c r="M165" i="5"/>
  <c r="L165" i="5"/>
  <c r="M67" i="5"/>
  <c r="L67" i="5"/>
  <c r="M196" i="5"/>
  <c r="L196" i="5"/>
  <c r="M77" i="5"/>
  <c r="L77" i="5"/>
  <c r="L193" i="5"/>
  <c r="M193" i="5"/>
  <c r="M41" i="5"/>
  <c r="L41" i="5"/>
  <c r="M206" i="4"/>
  <c r="L206" i="4"/>
  <c r="M107" i="4"/>
  <c r="L107" i="4"/>
  <c r="M151" i="4"/>
  <c r="L151" i="4"/>
  <c r="L193" i="4"/>
  <c r="M193" i="4"/>
  <c r="L108" i="4"/>
  <c r="M108" i="4"/>
  <c r="M172" i="4"/>
  <c r="L172" i="4"/>
  <c r="M65" i="4"/>
  <c r="L65" i="4"/>
  <c r="M27" i="4"/>
  <c r="L27" i="4"/>
  <c r="M119" i="4"/>
  <c r="L119" i="4"/>
  <c r="M166" i="4"/>
  <c r="L166" i="4"/>
  <c r="M158" i="4"/>
  <c r="L158" i="4"/>
  <c r="M62" i="4"/>
  <c r="L62" i="4"/>
  <c r="M187" i="3"/>
  <c r="L187" i="3"/>
  <c r="M35" i="4"/>
  <c r="L35" i="4"/>
  <c r="M99" i="3"/>
  <c r="L99" i="3"/>
  <c r="T6" i="4"/>
  <c r="L129" i="3"/>
  <c r="M129" i="3"/>
  <c r="M26" i="3"/>
  <c r="L26" i="3"/>
  <c r="L188" i="3"/>
  <c r="M188" i="3"/>
  <c r="L41" i="3"/>
  <c r="M41" i="3"/>
  <c r="L136" i="3"/>
  <c r="M136" i="3"/>
  <c r="L72" i="3"/>
  <c r="M72" i="3"/>
  <c r="L167" i="3"/>
  <c r="M167" i="3"/>
  <c r="M104" i="3"/>
  <c r="L104" i="3"/>
  <c r="P3" i="3"/>
  <c r="Y3" i="3"/>
  <c r="M119" i="3"/>
  <c r="L119" i="3"/>
  <c r="M150" i="3"/>
  <c r="L150" i="3"/>
  <c r="M15" i="2"/>
  <c r="L15" i="2"/>
  <c r="M18" i="2"/>
  <c r="L18" i="2"/>
  <c r="R22" i="2"/>
  <c r="M26" i="2"/>
  <c r="L26" i="2"/>
  <c r="M6" i="1"/>
  <c r="L6" i="1"/>
  <c r="M61" i="2"/>
  <c r="L61" i="2"/>
  <c r="T6" i="2"/>
  <c r="T7" i="2" s="1"/>
  <c r="Q15" i="11"/>
  <c r="R15" i="11" s="1"/>
  <c r="L86" i="10"/>
  <c r="M86" i="10"/>
  <c r="M115" i="10"/>
  <c r="L115" i="10"/>
  <c r="M36" i="10"/>
  <c r="L36" i="10"/>
  <c r="M60" i="10"/>
  <c r="L60" i="10"/>
  <c r="M106" i="10"/>
  <c r="L106" i="10"/>
  <c r="L120" i="10"/>
  <c r="M120" i="10"/>
  <c r="L94" i="10"/>
  <c r="M94" i="10"/>
  <c r="M41" i="10"/>
  <c r="L41" i="10"/>
  <c r="O27" i="11"/>
  <c r="L102" i="10"/>
  <c r="M102" i="10"/>
  <c r="T11" i="10"/>
  <c r="O135" i="9"/>
  <c r="N135" i="9"/>
  <c r="M135" i="9"/>
  <c r="O158" i="9"/>
  <c r="N158" i="9"/>
  <c r="M158" i="9"/>
  <c r="O139" i="9"/>
  <c r="N139" i="9"/>
  <c r="M139" i="9"/>
  <c r="N19" i="9"/>
  <c r="O19" i="9"/>
  <c r="M19" i="9"/>
  <c r="O35" i="9"/>
  <c r="N35" i="9"/>
  <c r="M35" i="9"/>
  <c r="M99" i="9"/>
  <c r="O99" i="9"/>
  <c r="N99" i="9"/>
  <c r="W7" i="9"/>
  <c r="M103" i="9"/>
  <c r="O103" i="9"/>
  <c r="N103" i="9"/>
  <c r="O146" i="9"/>
  <c r="N146" i="9"/>
  <c r="M146" i="9"/>
  <c r="W19" i="9"/>
  <c r="O20" i="9"/>
  <c r="N20" i="9"/>
  <c r="M20" i="9"/>
  <c r="M82" i="9"/>
  <c r="O82" i="9"/>
  <c r="N82" i="9"/>
  <c r="O162" i="9"/>
  <c r="N162" i="9"/>
  <c r="M162" i="9"/>
  <c r="M101" i="9"/>
  <c r="O101" i="9"/>
  <c r="N101" i="9"/>
  <c r="O118" i="9"/>
  <c r="M118" i="9"/>
  <c r="N118" i="9"/>
  <c r="O173" i="9"/>
  <c r="N173" i="9"/>
  <c r="M173" i="9"/>
  <c r="O164" i="9"/>
  <c r="N164" i="9"/>
  <c r="M164" i="9"/>
  <c r="M52" i="9"/>
  <c r="N52" i="9"/>
  <c r="O52" i="9"/>
  <c r="M59" i="9"/>
  <c r="O59" i="9"/>
  <c r="N59" i="9"/>
  <c r="O26" i="9"/>
  <c r="M26" i="9"/>
  <c r="N26" i="9"/>
  <c r="M53" i="9"/>
  <c r="O53" i="9"/>
  <c r="N53" i="9"/>
  <c r="U19" i="7"/>
  <c r="V19" i="7"/>
  <c r="M82" i="8"/>
  <c r="L82" i="8"/>
  <c r="M86" i="7"/>
  <c r="L86" i="7"/>
  <c r="L124" i="8"/>
  <c r="M124" i="8"/>
  <c r="M66" i="8"/>
  <c r="L66" i="8"/>
  <c r="L95" i="8"/>
  <c r="M95" i="8"/>
  <c r="M112" i="8"/>
  <c r="L112" i="8"/>
  <c r="L136" i="8"/>
  <c r="M136" i="8"/>
  <c r="L148" i="7"/>
  <c r="M148" i="7"/>
  <c r="M126" i="7"/>
  <c r="L126" i="7"/>
  <c r="L64" i="8"/>
  <c r="M64" i="8"/>
  <c r="M38" i="8"/>
  <c r="L38" i="8"/>
  <c r="M74" i="7"/>
  <c r="L74" i="7"/>
  <c r="M74" i="8"/>
  <c r="L74" i="8"/>
  <c r="L88" i="8"/>
  <c r="M88" i="8"/>
  <c r="R8" i="6"/>
  <c r="L6" i="6"/>
  <c r="M6" i="6"/>
  <c r="Q8" i="6"/>
  <c r="L103" i="6"/>
  <c r="M103" i="6"/>
  <c r="M84" i="6"/>
  <c r="L84" i="6"/>
  <c r="M46" i="6"/>
  <c r="L46" i="6"/>
  <c r="M13" i="6"/>
  <c r="L13" i="6"/>
  <c r="L127" i="6"/>
  <c r="M127" i="6"/>
  <c r="R26" i="8"/>
  <c r="T15" i="8"/>
  <c r="M160" i="5"/>
  <c r="L160" i="5"/>
  <c r="L102" i="5"/>
  <c r="M102" i="5"/>
  <c r="V23" i="6"/>
  <c r="U23" i="6"/>
  <c r="M108" i="5"/>
  <c r="L108" i="5"/>
  <c r="M187" i="5"/>
  <c r="L187" i="5"/>
  <c r="M81" i="5"/>
  <c r="L81" i="5"/>
  <c r="M65" i="5"/>
  <c r="L65" i="5"/>
  <c r="M166" i="5"/>
  <c r="L166" i="5"/>
  <c r="M35" i="5"/>
  <c r="L35" i="5"/>
  <c r="T22" i="5"/>
  <c r="T8" i="5"/>
  <c r="M120" i="5"/>
  <c r="L120" i="5"/>
  <c r="M177" i="5"/>
  <c r="L177" i="5"/>
  <c r="R32" i="5"/>
  <c r="M185" i="5"/>
  <c r="L185" i="5"/>
  <c r="M58" i="5"/>
  <c r="L58" i="5"/>
  <c r="T12" i="7"/>
  <c r="M182" i="5"/>
  <c r="L182" i="5"/>
  <c r="M195" i="4"/>
  <c r="L195" i="4"/>
  <c r="M93" i="4"/>
  <c r="L93" i="4"/>
  <c r="M25" i="4"/>
  <c r="L25" i="4"/>
  <c r="M163" i="4"/>
  <c r="L163" i="4"/>
  <c r="L205" i="4"/>
  <c r="M205" i="4"/>
  <c r="T20" i="4"/>
  <c r="M160" i="4"/>
  <c r="L160" i="4"/>
  <c r="M59" i="4"/>
  <c r="L59" i="4"/>
  <c r="L200" i="4"/>
  <c r="M200" i="4"/>
  <c r="V26" i="4"/>
  <c r="U26" i="4"/>
  <c r="M100" i="4"/>
  <c r="L100" i="4"/>
  <c r="T22" i="4"/>
  <c r="L162" i="4"/>
  <c r="M162" i="4"/>
  <c r="Q32" i="4"/>
  <c r="M146" i="4"/>
  <c r="L146" i="4"/>
  <c r="M55" i="4"/>
  <c r="L55" i="4"/>
  <c r="M166" i="3"/>
  <c r="L166" i="3"/>
  <c r="M90" i="3"/>
  <c r="L90" i="3"/>
  <c r="L115" i="3"/>
  <c r="M115" i="3"/>
  <c r="M206" i="3"/>
  <c r="L206" i="3"/>
  <c r="V25" i="3"/>
  <c r="U25" i="3"/>
  <c r="M162" i="3"/>
  <c r="L162" i="3"/>
  <c r="L28" i="3"/>
  <c r="M28" i="3"/>
  <c r="L127" i="3"/>
  <c r="M127" i="3"/>
  <c r="L63" i="3"/>
  <c r="M63" i="3"/>
  <c r="L155" i="3"/>
  <c r="M155" i="3"/>
  <c r="M89" i="3"/>
  <c r="L89" i="3"/>
  <c r="L205" i="3"/>
  <c r="M205" i="3"/>
  <c r="M131" i="3"/>
  <c r="L131" i="3"/>
  <c r="L171" i="3"/>
  <c r="M171" i="3"/>
  <c r="V15" i="1"/>
  <c r="U15" i="1"/>
  <c r="T16" i="2"/>
  <c r="M29" i="1"/>
  <c r="L29" i="1"/>
  <c r="M41" i="2"/>
  <c r="L41" i="2"/>
  <c r="M21" i="2"/>
  <c r="L21" i="2"/>
  <c r="M17" i="2"/>
  <c r="L17" i="2"/>
  <c r="M50" i="2"/>
  <c r="L50" i="2"/>
  <c r="L26" i="1"/>
  <c r="M26" i="1"/>
  <c r="U14" i="10"/>
  <c r="V14" i="10"/>
  <c r="L54" i="10"/>
  <c r="M54" i="10"/>
  <c r="U23" i="10"/>
  <c r="V23" i="10"/>
  <c r="O124" i="9"/>
  <c r="M124" i="9"/>
  <c r="N124" i="9"/>
  <c r="M78" i="8"/>
  <c r="L78" i="8"/>
  <c r="M105" i="8"/>
  <c r="L105" i="8"/>
  <c r="M6" i="8"/>
  <c r="L6" i="8"/>
  <c r="T18" i="8"/>
  <c r="L150" i="8"/>
  <c r="M150" i="8"/>
  <c r="M128" i="8"/>
  <c r="L128" i="8"/>
  <c r="M140" i="7"/>
  <c r="L140" i="7"/>
  <c r="L138" i="7"/>
  <c r="M138" i="7"/>
  <c r="M54" i="8"/>
  <c r="L54" i="8"/>
  <c r="M32" i="8"/>
  <c r="L32" i="8"/>
  <c r="M57" i="7"/>
  <c r="L57" i="7"/>
  <c r="M69" i="8"/>
  <c r="L69" i="8"/>
  <c r="M56" i="8"/>
  <c r="L56" i="8"/>
  <c r="V7" i="6"/>
  <c r="U7" i="6"/>
  <c r="L211" i="5"/>
  <c r="M211" i="5"/>
  <c r="M129" i="6"/>
  <c r="L129" i="6"/>
  <c r="M99" i="6"/>
  <c r="L99" i="6"/>
  <c r="M132" i="6"/>
  <c r="L132" i="6"/>
  <c r="M16" i="6"/>
  <c r="L16" i="6"/>
  <c r="M111" i="6"/>
  <c r="L111" i="6"/>
  <c r="T14" i="8"/>
  <c r="T24" i="8"/>
  <c r="M149" i="5"/>
  <c r="L149" i="5"/>
  <c r="U21" i="5"/>
  <c r="V21" i="5"/>
  <c r="M94" i="5"/>
  <c r="L94" i="5"/>
  <c r="M54" i="5"/>
  <c r="L54" i="5"/>
  <c r="M172" i="5"/>
  <c r="L172" i="5"/>
  <c r="L73" i="5"/>
  <c r="M73" i="5"/>
  <c r="M55" i="5"/>
  <c r="L55" i="5"/>
  <c r="S8" i="6"/>
  <c r="M162" i="5"/>
  <c r="L162" i="5"/>
  <c r="M34" i="5"/>
  <c r="L34" i="5"/>
  <c r="M21" i="5"/>
  <c r="L21" i="5"/>
  <c r="M7" i="5"/>
  <c r="L7" i="5"/>
  <c r="M132" i="5"/>
  <c r="L132" i="5"/>
  <c r="M189" i="5"/>
  <c r="L189" i="5"/>
  <c r="L92" i="5"/>
  <c r="M92" i="5"/>
  <c r="M178" i="5"/>
  <c r="L178" i="5"/>
  <c r="M49" i="5"/>
  <c r="L49" i="5"/>
  <c r="L145" i="5"/>
  <c r="M145" i="5"/>
  <c r="M183" i="4"/>
  <c r="L183" i="4"/>
  <c r="M88" i="4"/>
  <c r="L88" i="4"/>
  <c r="M175" i="4"/>
  <c r="L175" i="4"/>
  <c r="M148" i="4"/>
  <c r="L148" i="4"/>
  <c r="M52" i="4"/>
  <c r="L52" i="4"/>
  <c r="M189" i="4"/>
  <c r="L189" i="4"/>
  <c r="M95" i="4"/>
  <c r="L95" i="4"/>
  <c r="M154" i="4"/>
  <c r="L154" i="4"/>
  <c r="S32" i="4"/>
  <c r="T31" i="5"/>
  <c r="M142" i="4"/>
  <c r="L142" i="4"/>
  <c r="M49" i="4"/>
  <c r="L49" i="4"/>
  <c r="M160" i="3"/>
  <c r="L160" i="3"/>
  <c r="M29" i="4"/>
  <c r="L29" i="4"/>
  <c r="M82" i="3"/>
  <c r="L82" i="3"/>
  <c r="M20" i="3"/>
  <c r="L20" i="3"/>
  <c r="L105" i="3"/>
  <c r="M105" i="3"/>
  <c r="M202" i="3"/>
  <c r="L202" i="3"/>
  <c r="M184" i="3"/>
  <c r="L184" i="3"/>
  <c r="M158" i="3"/>
  <c r="L158" i="3"/>
  <c r="T27" i="3"/>
  <c r="T18" i="3"/>
  <c r="L117" i="3"/>
  <c r="M117" i="3"/>
  <c r="L54" i="3"/>
  <c r="M54" i="3"/>
  <c r="M146" i="3"/>
  <c r="L146" i="3"/>
  <c r="L81" i="3"/>
  <c r="M81" i="3"/>
  <c r="M190" i="3"/>
  <c r="L190" i="3"/>
  <c r="M143" i="3"/>
  <c r="L143" i="3"/>
  <c r="M183" i="3"/>
  <c r="L183" i="3"/>
  <c r="M13" i="1"/>
  <c r="L13" i="1"/>
  <c r="L23" i="1"/>
  <c r="M23" i="1"/>
  <c r="T20" i="3"/>
  <c r="T30" i="3"/>
  <c r="M53" i="2"/>
  <c r="L53" i="2"/>
  <c r="T10" i="1"/>
  <c r="M44" i="2"/>
  <c r="L44" i="2"/>
  <c r="Q24" i="10"/>
  <c r="L75" i="10"/>
  <c r="M75" i="10"/>
  <c r="M30" i="10"/>
  <c r="L30" i="10"/>
  <c r="O157" i="9"/>
  <c r="N157" i="9"/>
  <c r="M157" i="9"/>
  <c r="N25" i="9"/>
  <c r="O25" i="9"/>
  <c r="M25" i="9"/>
  <c r="O17" i="9"/>
  <c r="M17" i="9"/>
  <c r="N17" i="9"/>
  <c r="M106" i="9"/>
  <c r="O106" i="9"/>
  <c r="N106" i="9"/>
  <c r="M55" i="9"/>
  <c r="O55" i="9"/>
  <c r="N55" i="9"/>
  <c r="O137" i="9"/>
  <c r="N137" i="9"/>
  <c r="M137" i="9"/>
  <c r="O140" i="9"/>
  <c r="N140" i="9"/>
  <c r="M140" i="9"/>
  <c r="O185" i="9"/>
  <c r="N185" i="9"/>
  <c r="M185" i="9"/>
  <c r="O176" i="9"/>
  <c r="N176" i="9"/>
  <c r="M176" i="9"/>
  <c r="O29" i="9"/>
  <c r="N29" i="9"/>
  <c r="M29" i="9"/>
  <c r="S8" i="7"/>
  <c r="M53" i="8"/>
  <c r="L53" i="8"/>
  <c r="M62" i="7"/>
  <c r="L62" i="7"/>
  <c r="L97" i="8"/>
  <c r="M97" i="8"/>
  <c r="M87" i="8"/>
  <c r="L87" i="8"/>
  <c r="M114" i="8"/>
  <c r="L114" i="8"/>
  <c r="M18" i="8"/>
  <c r="L18" i="8"/>
  <c r="M161" i="8"/>
  <c r="L161" i="8"/>
  <c r="M101" i="8"/>
  <c r="L101" i="8"/>
  <c r="M134" i="7"/>
  <c r="L134" i="7"/>
  <c r="M150" i="7"/>
  <c r="L150" i="7"/>
  <c r="L37" i="8"/>
  <c r="M37" i="8"/>
  <c r="L25" i="8"/>
  <c r="M25" i="8"/>
  <c r="M47" i="7"/>
  <c r="L47" i="7"/>
  <c r="L61" i="8"/>
  <c r="M61" i="8"/>
  <c r="M47" i="8"/>
  <c r="L47" i="8"/>
  <c r="R8" i="7"/>
  <c r="M109" i="6"/>
  <c r="L109" i="6"/>
  <c r="M93" i="6"/>
  <c r="L93" i="6"/>
  <c r="M131" i="6"/>
  <c r="L131" i="6"/>
  <c r="M105" i="6"/>
  <c r="L105" i="6"/>
  <c r="M142" i="5"/>
  <c r="L142" i="5"/>
  <c r="U19" i="5"/>
  <c r="V19" i="5"/>
  <c r="L87" i="5"/>
  <c r="M87" i="5"/>
  <c r="T17" i="6"/>
  <c r="T15" i="6"/>
  <c r="T21" i="6"/>
  <c r="M161" i="5"/>
  <c r="L161" i="5"/>
  <c r="M64" i="5"/>
  <c r="L64" i="5"/>
  <c r="M45" i="5"/>
  <c r="L45" i="5"/>
  <c r="M155" i="5"/>
  <c r="L155" i="5"/>
  <c r="M33" i="5"/>
  <c r="L33" i="5"/>
  <c r="T20" i="5"/>
  <c r="T6" i="5"/>
  <c r="M144" i="5"/>
  <c r="L144" i="5"/>
  <c r="M201" i="5"/>
  <c r="L201" i="5"/>
  <c r="M84" i="5"/>
  <c r="L84" i="5"/>
  <c r="M174" i="5"/>
  <c r="L174" i="5"/>
  <c r="M40" i="5"/>
  <c r="L40" i="5"/>
  <c r="T17" i="7"/>
  <c r="M134" i="5"/>
  <c r="L134" i="5"/>
  <c r="M171" i="4"/>
  <c r="L171" i="4"/>
  <c r="M82" i="4"/>
  <c r="L82" i="4"/>
  <c r="M187" i="4"/>
  <c r="L187" i="4"/>
  <c r="T13" i="4"/>
  <c r="M131" i="4"/>
  <c r="L131" i="4"/>
  <c r="M45" i="4"/>
  <c r="L45" i="4"/>
  <c r="M177" i="4"/>
  <c r="L177" i="4"/>
  <c r="V19" i="4"/>
  <c r="U19" i="4"/>
  <c r="M20" i="4"/>
  <c r="L20" i="4"/>
  <c r="M85" i="4"/>
  <c r="L85" i="4"/>
  <c r="V15" i="4"/>
  <c r="U15" i="4"/>
  <c r="L150" i="4"/>
  <c r="M150" i="4"/>
  <c r="L120" i="4"/>
  <c r="M120" i="4"/>
  <c r="M137" i="4"/>
  <c r="L137" i="4"/>
  <c r="M41" i="4"/>
  <c r="L41" i="4"/>
  <c r="V17" i="4"/>
  <c r="U17" i="4"/>
  <c r="M76" i="3"/>
  <c r="L76" i="3"/>
  <c r="T7" i="4"/>
  <c r="L91" i="3"/>
  <c r="M91" i="3"/>
  <c r="L191" i="3"/>
  <c r="M191" i="3"/>
  <c r="M177" i="3"/>
  <c r="L177" i="3"/>
  <c r="L144" i="3"/>
  <c r="M144" i="3"/>
  <c r="L112" i="3"/>
  <c r="M112" i="3"/>
  <c r="M142" i="3"/>
  <c r="L142" i="3"/>
  <c r="M14" i="3"/>
  <c r="L14" i="3"/>
  <c r="M74" i="3"/>
  <c r="L74" i="3"/>
  <c r="L164" i="3"/>
  <c r="M164" i="3"/>
  <c r="M153" i="3"/>
  <c r="L153" i="3"/>
  <c r="V21" i="2"/>
  <c r="U21" i="2"/>
  <c r="M19" i="1"/>
  <c r="L19" i="1"/>
  <c r="S22" i="2"/>
  <c r="R32" i="3"/>
  <c r="M65" i="2"/>
  <c r="L65" i="2"/>
  <c r="Q22" i="1"/>
  <c r="T16" i="1"/>
  <c r="M13" i="2"/>
  <c r="L13" i="2"/>
  <c r="T5" i="1"/>
  <c r="M40" i="10"/>
  <c r="L40" i="10"/>
  <c r="M58" i="10"/>
  <c r="L58" i="10"/>
  <c r="L72" i="10"/>
  <c r="M72" i="10"/>
  <c r="Q18" i="11"/>
  <c r="R18" i="11" s="1"/>
  <c r="L110" i="10"/>
  <c r="M110" i="10"/>
  <c r="L51" i="10"/>
  <c r="M51" i="10"/>
  <c r="L96" i="10"/>
  <c r="M96" i="10"/>
  <c r="M105" i="10"/>
  <c r="L105" i="10"/>
  <c r="P27" i="11"/>
  <c r="L62" i="10"/>
  <c r="M62" i="10"/>
  <c r="U7" i="8"/>
  <c r="V7" i="8"/>
  <c r="M74" i="9"/>
  <c r="O74" i="9"/>
  <c r="N74" i="9"/>
  <c r="M69" i="7"/>
  <c r="L69" i="7"/>
  <c r="Q26" i="11"/>
  <c r="R26" i="11" s="1"/>
  <c r="M83" i="10"/>
  <c r="L83" i="10"/>
  <c r="O125" i="9"/>
  <c r="N125" i="9"/>
  <c r="M125" i="9"/>
  <c r="M42" i="7"/>
  <c r="L42" i="7"/>
  <c r="L122" i="10"/>
  <c r="M122" i="10"/>
  <c r="Q17" i="11"/>
  <c r="R17" i="11" s="1"/>
  <c r="M103" i="10"/>
  <c r="L103" i="10"/>
  <c r="M69" i="10"/>
  <c r="L69" i="10"/>
  <c r="M84" i="10"/>
  <c r="L84" i="10"/>
  <c r="M39" i="10"/>
  <c r="L39" i="10"/>
  <c r="M47" i="10"/>
  <c r="L47" i="10"/>
  <c r="M113" i="10"/>
  <c r="L113" i="10"/>
  <c r="L21" i="10"/>
  <c r="M21" i="10"/>
  <c r="M25" i="10"/>
  <c r="L25" i="10"/>
  <c r="T18" i="10"/>
  <c r="V7" i="10"/>
  <c r="U7" i="10"/>
  <c r="O153" i="9"/>
  <c r="N153" i="9"/>
  <c r="M153" i="9"/>
  <c r="O127" i="9"/>
  <c r="N127" i="9"/>
  <c r="M127" i="9"/>
  <c r="O133" i="9"/>
  <c r="N133" i="9"/>
  <c r="M133" i="9"/>
  <c r="M95" i="9"/>
  <c r="O95" i="9"/>
  <c r="N95" i="9"/>
  <c r="M64" i="9"/>
  <c r="N64" i="9"/>
  <c r="O64" i="9"/>
  <c r="W23" i="9"/>
  <c r="M50" i="9"/>
  <c r="O50" i="9"/>
  <c r="N50" i="9"/>
  <c r="O122" i="9"/>
  <c r="M122" i="9"/>
  <c r="N122" i="9"/>
  <c r="W13" i="9"/>
  <c r="O117" i="9"/>
  <c r="N117" i="9"/>
  <c r="M117" i="9"/>
  <c r="M67" i="9"/>
  <c r="O67" i="9"/>
  <c r="N67" i="9"/>
  <c r="O120" i="9"/>
  <c r="M120" i="9"/>
  <c r="N120" i="9"/>
  <c r="O156" i="9"/>
  <c r="N156" i="9"/>
  <c r="M156" i="9"/>
  <c r="O166" i="9"/>
  <c r="N166" i="9"/>
  <c r="M166" i="9"/>
  <c r="O182" i="9"/>
  <c r="N182" i="9"/>
  <c r="M182" i="9"/>
  <c r="L173" i="8"/>
  <c r="M173" i="8"/>
  <c r="T22" i="7"/>
  <c r="M41" i="8"/>
  <c r="L41" i="8"/>
  <c r="M53" i="7"/>
  <c r="L53" i="7"/>
  <c r="M86" i="8"/>
  <c r="L86" i="8"/>
  <c r="L107" i="8"/>
  <c r="M107" i="8"/>
  <c r="M121" i="8"/>
  <c r="L121" i="8"/>
  <c r="M36" i="8"/>
  <c r="L36" i="8"/>
  <c r="M167" i="8"/>
  <c r="L167" i="8"/>
  <c r="M90" i="8"/>
  <c r="L90" i="8"/>
  <c r="M119" i="7"/>
  <c r="L119" i="7"/>
  <c r="M170" i="8"/>
  <c r="L170" i="8"/>
  <c r="L174" i="8"/>
  <c r="M174" i="8"/>
  <c r="M21" i="8"/>
  <c r="L21" i="8"/>
  <c r="M38" i="7"/>
  <c r="L38" i="7"/>
  <c r="M33" i="8"/>
  <c r="L33" i="8"/>
  <c r="M137" i="6"/>
  <c r="L137" i="6"/>
  <c r="M102" i="6"/>
  <c r="L102" i="6"/>
  <c r="M83" i="6"/>
  <c r="L83" i="6"/>
  <c r="M81" i="6"/>
  <c r="L81" i="6"/>
  <c r="K140" i="6"/>
  <c r="M5" i="6"/>
  <c r="L5" i="6"/>
  <c r="L100" i="6"/>
  <c r="M100" i="6"/>
  <c r="T21" i="8"/>
  <c r="M138" i="5"/>
  <c r="L138" i="5"/>
  <c r="T17" i="5"/>
  <c r="L80" i="5"/>
  <c r="M80" i="5"/>
  <c r="S24" i="6"/>
  <c r="M154" i="5"/>
  <c r="L154" i="5"/>
  <c r="M151" i="5"/>
  <c r="L151" i="5"/>
  <c r="M31" i="5"/>
  <c r="L31" i="5"/>
  <c r="M19" i="5"/>
  <c r="L19" i="5"/>
  <c r="K212" i="5"/>
  <c r="M5" i="5"/>
  <c r="L5" i="5"/>
  <c r="M156" i="5"/>
  <c r="L156" i="5"/>
  <c r="L128" i="5"/>
  <c r="M128" i="5"/>
  <c r="Q8" i="7"/>
  <c r="M167" i="5"/>
  <c r="L167" i="5"/>
  <c r="T11" i="7"/>
  <c r="Q24" i="7"/>
  <c r="M114" i="5"/>
  <c r="L114" i="5"/>
  <c r="M159" i="4"/>
  <c r="L159" i="4"/>
  <c r="M76" i="4"/>
  <c r="L76" i="4"/>
  <c r="M18" i="4"/>
  <c r="L18" i="4"/>
  <c r="M199" i="4"/>
  <c r="L199" i="4"/>
  <c r="K208" i="4"/>
  <c r="M5" i="4"/>
  <c r="L5" i="4"/>
  <c r="M122" i="4"/>
  <c r="L122" i="4"/>
  <c r="M38" i="4"/>
  <c r="L38" i="4"/>
  <c r="M165" i="4"/>
  <c r="L165" i="4"/>
  <c r="M17" i="4"/>
  <c r="L17" i="4"/>
  <c r="M79" i="4"/>
  <c r="L79" i="4"/>
  <c r="M13" i="4"/>
  <c r="L13" i="4"/>
  <c r="L128" i="4"/>
  <c r="M128" i="4"/>
  <c r="M110" i="4"/>
  <c r="L110" i="4"/>
  <c r="M129" i="4"/>
  <c r="L129" i="4"/>
  <c r="M34" i="4"/>
  <c r="L34" i="4"/>
  <c r="M191" i="4"/>
  <c r="L191" i="4"/>
  <c r="M15" i="4"/>
  <c r="L15" i="4"/>
  <c r="T28" i="4"/>
  <c r="M67" i="3"/>
  <c r="L67" i="3"/>
  <c r="L77" i="3"/>
  <c r="M77" i="3"/>
  <c r="L173" i="3"/>
  <c r="M173" i="3"/>
  <c r="M149" i="3"/>
  <c r="L149" i="3"/>
  <c r="T14" i="3"/>
  <c r="M140" i="3"/>
  <c r="L140" i="3"/>
  <c r="L103" i="3"/>
  <c r="M103" i="3"/>
  <c r="M8" i="3"/>
  <c r="L8" i="3"/>
  <c r="M137" i="3"/>
  <c r="L137" i="3"/>
  <c r="T13" i="3"/>
  <c r="M65" i="3"/>
  <c r="L65" i="3"/>
  <c r="M156" i="3"/>
  <c r="L156" i="3"/>
  <c r="M174" i="3"/>
  <c r="L174" i="3"/>
  <c r="M23" i="2"/>
  <c r="L23" i="2"/>
  <c r="T19" i="2"/>
  <c r="M24" i="1"/>
  <c r="L24" i="1"/>
  <c r="T17" i="2"/>
  <c r="M8" i="2"/>
  <c r="L8" i="2"/>
  <c r="T5" i="3"/>
  <c r="M57" i="10"/>
  <c r="L57" i="10"/>
  <c r="Q11" i="11"/>
  <c r="Q25" i="11"/>
  <c r="R25" i="11" s="1"/>
  <c r="M89" i="10"/>
  <c r="L89" i="10"/>
  <c r="M94" i="9"/>
  <c r="O94" i="9"/>
  <c r="N94" i="9"/>
  <c r="O186" i="9"/>
  <c r="N186" i="9"/>
  <c r="M186" i="9"/>
  <c r="M113" i="9"/>
  <c r="O113" i="9"/>
  <c r="N113" i="9"/>
  <c r="O179" i="9"/>
  <c r="N179" i="9"/>
  <c r="M179" i="9"/>
  <c r="O170" i="9"/>
  <c r="N170" i="9"/>
  <c r="M170" i="9"/>
  <c r="O41" i="9"/>
  <c r="N41" i="9"/>
  <c r="M41" i="9"/>
  <c r="M56" i="9"/>
  <c r="O56" i="9"/>
  <c r="N56" i="9"/>
  <c r="O44" i="9"/>
  <c r="N44" i="9"/>
  <c r="M44" i="9"/>
  <c r="Q21" i="11"/>
  <c r="R21" i="11" s="1"/>
  <c r="M109" i="10"/>
  <c r="L109" i="10"/>
  <c r="L126" i="10"/>
  <c r="M126" i="10"/>
  <c r="T19" i="10"/>
  <c r="M80" i="9"/>
  <c r="O80" i="9"/>
  <c r="N80" i="9"/>
  <c r="O32" i="9"/>
  <c r="N32" i="9"/>
  <c r="M32" i="9"/>
  <c r="M37" i="10"/>
  <c r="L37" i="10"/>
  <c r="M121" i="10"/>
  <c r="L121" i="10"/>
  <c r="L98" i="10"/>
  <c r="M98" i="10"/>
  <c r="L87" i="10"/>
  <c r="M87" i="10"/>
  <c r="M76" i="10"/>
  <c r="L76" i="10"/>
  <c r="M90" i="10"/>
  <c r="L90" i="10"/>
  <c r="M56" i="10"/>
  <c r="L56" i="10"/>
  <c r="M53" i="10"/>
  <c r="L53" i="10"/>
  <c r="M107" i="10"/>
  <c r="L107" i="10"/>
  <c r="M35" i="10"/>
  <c r="L35" i="10"/>
  <c r="T15" i="10"/>
  <c r="Q14" i="11"/>
  <c r="R14" i="11" s="1"/>
  <c r="M92" i="9"/>
  <c r="O92" i="9"/>
  <c r="N92" i="9"/>
  <c r="W20" i="9"/>
  <c r="W15" i="9"/>
  <c r="W17" i="9"/>
  <c r="O38" i="9"/>
  <c r="N38" i="9"/>
  <c r="M38" i="9"/>
  <c r="O119" i="9"/>
  <c r="N119" i="9"/>
  <c r="M119" i="9"/>
  <c r="T26" i="9"/>
  <c r="O14" i="9"/>
  <c r="N14" i="9"/>
  <c r="M14" i="9"/>
  <c r="O123" i="9"/>
  <c r="N123" i="9"/>
  <c r="M123" i="9"/>
  <c r="M79" i="9"/>
  <c r="O79" i="9"/>
  <c r="N79" i="9"/>
  <c r="O174" i="9"/>
  <c r="N174" i="9"/>
  <c r="M174" i="9"/>
  <c r="O180" i="9"/>
  <c r="N180" i="9"/>
  <c r="M180" i="9"/>
  <c r="O172" i="9"/>
  <c r="N172" i="9"/>
  <c r="M172" i="9"/>
  <c r="O188" i="9"/>
  <c r="N188" i="9"/>
  <c r="M188" i="9"/>
  <c r="M141" i="8"/>
  <c r="L141" i="8"/>
  <c r="M27" i="8"/>
  <c r="L27" i="8"/>
  <c r="M43" i="7"/>
  <c r="L43" i="7"/>
  <c r="L79" i="8"/>
  <c r="M79" i="8"/>
  <c r="M117" i="8"/>
  <c r="L117" i="8"/>
  <c r="M144" i="8"/>
  <c r="L144" i="8"/>
  <c r="L48" i="8"/>
  <c r="M48" i="8"/>
  <c r="L172" i="8"/>
  <c r="M172" i="8"/>
  <c r="M76" i="8"/>
  <c r="L76" i="8"/>
  <c r="L112" i="7"/>
  <c r="M112" i="7"/>
  <c r="M158" i="8"/>
  <c r="L158" i="8"/>
  <c r="L127" i="7"/>
  <c r="M127" i="7"/>
  <c r="L149" i="8"/>
  <c r="M149" i="8"/>
  <c r="M9" i="8"/>
  <c r="L9" i="8"/>
  <c r="M29" i="7"/>
  <c r="L29" i="7"/>
  <c r="M114" i="7"/>
  <c r="L114" i="7"/>
  <c r="M168" i="8"/>
  <c r="L168" i="8"/>
  <c r="M137" i="7"/>
  <c r="L137" i="7"/>
  <c r="M123" i="6"/>
  <c r="L123" i="6"/>
  <c r="L98" i="6"/>
  <c r="M98" i="6"/>
  <c r="M75" i="6"/>
  <c r="L75" i="6"/>
  <c r="M90" i="6"/>
  <c r="L90" i="6"/>
  <c r="M95" i="6"/>
  <c r="L95" i="6"/>
  <c r="T13" i="8"/>
  <c r="M131" i="5"/>
  <c r="L131" i="5"/>
  <c r="T15" i="5"/>
  <c r="L71" i="5"/>
  <c r="M71" i="5"/>
  <c r="M150" i="5"/>
  <c r="L150" i="5"/>
  <c r="M117" i="5"/>
  <c r="L117" i="5"/>
  <c r="M136" i="5"/>
  <c r="L136" i="5"/>
  <c r="T30" i="5"/>
  <c r="T18" i="5"/>
  <c r="M123" i="5"/>
  <c r="L123" i="5"/>
  <c r="M168" i="5"/>
  <c r="L168" i="5"/>
  <c r="L140" i="5"/>
  <c r="M140" i="5"/>
  <c r="M163" i="5"/>
  <c r="L163" i="5"/>
  <c r="M106" i="5"/>
  <c r="L106" i="5"/>
  <c r="M147" i="4"/>
  <c r="L147" i="4"/>
  <c r="M70" i="4"/>
  <c r="L70" i="4"/>
  <c r="M196" i="4"/>
  <c r="L196" i="4"/>
  <c r="L188" i="4"/>
  <c r="M188" i="4"/>
  <c r="M118" i="4"/>
  <c r="L118" i="4"/>
  <c r="M31" i="4"/>
  <c r="L31" i="4"/>
  <c r="M153" i="4"/>
  <c r="L153" i="4"/>
  <c r="M73" i="4"/>
  <c r="L73" i="4"/>
  <c r="R32" i="4"/>
  <c r="L54" i="4"/>
  <c r="M54" i="4"/>
  <c r="L96" i="4"/>
  <c r="M96" i="4"/>
  <c r="M124" i="4"/>
  <c r="L124" i="4"/>
  <c r="M179" i="4"/>
  <c r="L179" i="4"/>
  <c r="M198" i="3"/>
  <c r="L198" i="3"/>
  <c r="L57" i="3"/>
  <c r="M57" i="3"/>
  <c r="Q9" i="4"/>
  <c r="M134" i="3"/>
  <c r="L134" i="3"/>
  <c r="S32" i="3"/>
  <c r="L120" i="3"/>
  <c r="M120" i="3"/>
  <c r="L17" i="3"/>
  <c r="M17" i="3"/>
  <c r="Q32" i="3"/>
  <c r="L93" i="3"/>
  <c r="M93" i="3"/>
  <c r="T30" i="4"/>
  <c r="M122" i="3"/>
  <c r="L122" i="3"/>
  <c r="T28" i="3"/>
  <c r="L152" i="3"/>
  <c r="M152" i="3"/>
  <c r="M180" i="3"/>
  <c r="L180" i="3"/>
  <c r="L36" i="1"/>
  <c r="M36" i="1"/>
  <c r="R7" i="2"/>
  <c r="T14" i="1"/>
  <c r="M30" i="1"/>
  <c r="L30" i="1"/>
  <c r="T19" i="3"/>
  <c r="V17" i="1"/>
  <c r="U17" i="1"/>
  <c r="T13" i="2"/>
  <c r="T22" i="2" s="1"/>
  <c r="M9" i="2"/>
  <c r="L9" i="2"/>
  <c r="Q7" i="1"/>
  <c r="Q9" i="3"/>
  <c r="M7" i="2"/>
  <c r="L7" i="2"/>
  <c r="M34" i="1"/>
  <c r="L34" i="1"/>
  <c r="M42" i="10"/>
  <c r="L42" i="10"/>
  <c r="Q7" i="11"/>
  <c r="R7" i="11" s="1"/>
  <c r="M131" i="10"/>
  <c r="L131" i="10"/>
  <c r="M82" i="10"/>
  <c r="L82" i="10"/>
  <c r="S26" i="9"/>
  <c r="M83" i="9"/>
  <c r="O83" i="9"/>
  <c r="N83" i="9"/>
  <c r="O128" i="9"/>
  <c r="N128" i="9"/>
  <c r="M128" i="9"/>
  <c r="L151" i="7"/>
  <c r="M151" i="7"/>
  <c r="M104" i="8"/>
  <c r="L104" i="8"/>
  <c r="K134" i="10"/>
  <c r="M5" i="10"/>
  <c r="L5" i="10"/>
  <c r="M52" i="10"/>
  <c r="L52" i="10"/>
  <c r="M29" i="10"/>
  <c r="L29" i="10"/>
  <c r="M27" i="10"/>
  <c r="L27" i="10"/>
  <c r="R8" i="10"/>
  <c r="T13" i="10"/>
  <c r="O147" i="9"/>
  <c r="N147" i="9"/>
  <c r="M147" i="9"/>
  <c r="M111" i="9"/>
  <c r="O111" i="9"/>
  <c r="N111" i="9"/>
  <c r="W12" i="9"/>
  <c r="M61" i="9"/>
  <c r="O61" i="9"/>
  <c r="N61" i="9"/>
  <c r="L13" i="10"/>
  <c r="M13" i="10"/>
  <c r="M97" i="10"/>
  <c r="L97" i="10"/>
  <c r="L74" i="10"/>
  <c r="M74" i="10"/>
  <c r="Q13" i="11"/>
  <c r="R13" i="11" s="1"/>
  <c r="M81" i="10"/>
  <c r="L81" i="10"/>
  <c r="M93" i="10"/>
  <c r="L93" i="10"/>
  <c r="L99" i="10"/>
  <c r="M99" i="10"/>
  <c r="M80" i="10"/>
  <c r="L80" i="10"/>
  <c r="M71" i="10"/>
  <c r="L71" i="10"/>
  <c r="M91" i="10"/>
  <c r="L91" i="10"/>
  <c r="L9" i="10"/>
  <c r="M9" i="10"/>
  <c r="L70" i="10"/>
  <c r="M70" i="10"/>
  <c r="L118" i="10"/>
  <c r="M118" i="10"/>
  <c r="T21" i="10"/>
  <c r="T17" i="10"/>
  <c r="O154" i="9"/>
  <c r="N154" i="9"/>
  <c r="M154" i="9"/>
  <c r="M76" i="9"/>
  <c r="N76" i="9"/>
  <c r="O76" i="9"/>
  <c r="W16" i="9"/>
  <c r="O116" i="9"/>
  <c r="M116" i="9"/>
  <c r="N116" i="9"/>
  <c r="M57" i="9"/>
  <c r="O57" i="9"/>
  <c r="N57" i="9"/>
  <c r="M90" i="9"/>
  <c r="O90" i="9"/>
  <c r="N90" i="9"/>
  <c r="O126" i="9"/>
  <c r="N126" i="9"/>
  <c r="M126" i="9"/>
  <c r="O144" i="9"/>
  <c r="N144" i="9"/>
  <c r="M144" i="9"/>
  <c r="O178" i="9"/>
  <c r="N178" i="9"/>
  <c r="M178" i="9"/>
  <c r="L190" i="9"/>
  <c r="M5" i="9"/>
  <c r="O5" i="9"/>
  <c r="N5" i="9"/>
  <c r="M127" i="8"/>
  <c r="L127" i="8"/>
  <c r="M23" i="8"/>
  <c r="L23" i="8"/>
  <c r="M33" i="7"/>
  <c r="L33" i="7"/>
  <c r="L67" i="8"/>
  <c r="M67" i="8"/>
  <c r="M123" i="8"/>
  <c r="L123" i="8"/>
  <c r="M151" i="8"/>
  <c r="L151" i="8"/>
  <c r="M60" i="8"/>
  <c r="L60" i="8"/>
  <c r="M179" i="8"/>
  <c r="L179" i="8"/>
  <c r="M50" i="8"/>
  <c r="L50" i="8"/>
  <c r="M103" i="7"/>
  <c r="L103" i="7"/>
  <c r="M145" i="8"/>
  <c r="L145" i="8"/>
  <c r="L142" i="8"/>
  <c r="M142" i="8"/>
  <c r="M122" i="8"/>
  <c r="L122" i="8"/>
  <c r="M141" i="7"/>
  <c r="L141" i="7"/>
  <c r="M90" i="7"/>
  <c r="L90" i="7"/>
  <c r="M162" i="8"/>
  <c r="L162" i="8"/>
  <c r="M123" i="7"/>
  <c r="L123" i="7"/>
  <c r="L86" i="6"/>
  <c r="M86" i="6"/>
  <c r="L82" i="6"/>
  <c r="M82" i="6"/>
  <c r="M60" i="6"/>
  <c r="L60" i="6"/>
  <c r="M67" i="6"/>
  <c r="L67" i="6"/>
  <c r="L110" i="6"/>
  <c r="M110" i="6"/>
  <c r="M78" i="6"/>
  <c r="L78" i="6"/>
  <c r="S26" i="8"/>
  <c r="T17" i="8"/>
  <c r="M127" i="5"/>
  <c r="L127" i="5"/>
  <c r="T13" i="5"/>
  <c r="L62" i="5"/>
  <c r="M62" i="5"/>
  <c r="M143" i="5"/>
  <c r="L143" i="5"/>
  <c r="L104" i="5"/>
  <c r="M104" i="5"/>
  <c r="M125" i="5"/>
  <c r="L125" i="5"/>
  <c r="M29" i="5"/>
  <c r="L29" i="5"/>
  <c r="M17" i="5"/>
  <c r="L17" i="5"/>
  <c r="M135" i="5"/>
  <c r="L135" i="5"/>
  <c r="M180" i="5"/>
  <c r="L180" i="5"/>
  <c r="L152" i="5"/>
  <c r="M152" i="5"/>
  <c r="L181" i="5"/>
  <c r="M181" i="5"/>
  <c r="M148" i="5"/>
  <c r="L148" i="5"/>
  <c r="M99" i="5"/>
  <c r="L99" i="5"/>
  <c r="M143" i="4"/>
  <c r="L143" i="4"/>
  <c r="M64" i="4"/>
  <c r="L64" i="4"/>
  <c r="L121" i="4"/>
  <c r="M121" i="4"/>
  <c r="L176" i="4"/>
  <c r="M176" i="4"/>
  <c r="M203" i="4"/>
  <c r="L203" i="4"/>
  <c r="M113" i="4"/>
  <c r="L113" i="4"/>
  <c r="L140" i="4"/>
  <c r="M140" i="4"/>
  <c r="T12" i="4"/>
  <c r="M67" i="4"/>
  <c r="L67" i="4"/>
  <c r="M7" i="4"/>
  <c r="L7" i="4"/>
  <c r="M201" i="4"/>
  <c r="L201" i="4"/>
  <c r="L48" i="4"/>
  <c r="M48" i="4"/>
  <c r="M33" i="4"/>
  <c r="L33" i="4"/>
  <c r="M106" i="4"/>
  <c r="L106" i="4"/>
  <c r="T21" i="4"/>
  <c r="M202" i="4"/>
  <c r="L202" i="4"/>
  <c r="M167" i="4"/>
  <c r="L167" i="4"/>
  <c r="M9" i="4"/>
  <c r="L9" i="4"/>
  <c r="T5" i="4"/>
  <c r="M168" i="3"/>
  <c r="L168" i="3"/>
  <c r="M37" i="3"/>
  <c r="L37" i="3"/>
  <c r="M130" i="3"/>
  <c r="L130" i="3"/>
  <c r="M116" i="3"/>
  <c r="L116" i="3"/>
  <c r="U16" i="3"/>
  <c r="V16" i="3"/>
  <c r="M86" i="3"/>
  <c r="L86" i="3"/>
  <c r="M118" i="3"/>
  <c r="L118" i="3"/>
  <c r="M56" i="3"/>
  <c r="L56" i="3"/>
  <c r="M194" i="3"/>
  <c r="L194" i="3"/>
  <c r="M68" i="2"/>
  <c r="L68" i="2"/>
  <c r="T14" i="2"/>
  <c r="T18" i="1"/>
  <c r="M12" i="1"/>
  <c r="L12" i="1"/>
  <c r="M59" i="2"/>
  <c r="L59" i="2"/>
  <c r="V21" i="1"/>
  <c r="U21" i="1"/>
  <c r="M15" i="1"/>
  <c r="L15" i="1"/>
  <c r="R9" i="3"/>
  <c r="Q22" i="2"/>
  <c r="T19" i="1"/>
  <c r="L32" i="1"/>
  <c r="M32" i="1"/>
  <c r="M67" i="2"/>
  <c r="L67" i="2"/>
  <c r="M62" i="2"/>
  <c r="L62" i="2"/>
  <c r="M27" i="1"/>
  <c r="L27" i="1"/>
  <c r="V22" i="2" l="1"/>
  <c r="U22" i="2"/>
  <c r="V7" i="2"/>
  <c r="U7" i="2"/>
  <c r="Z15" i="9"/>
  <c r="Y15" i="9"/>
  <c r="X15" i="9"/>
  <c r="Z13" i="9"/>
  <c r="Y13" i="9"/>
  <c r="X13" i="9"/>
  <c r="V5" i="4"/>
  <c r="T9" i="4"/>
  <c r="U5" i="4"/>
  <c r="X12" i="9"/>
  <c r="Y12" i="9"/>
  <c r="Z12" i="9"/>
  <c r="V19" i="2"/>
  <c r="U19" i="2"/>
  <c r="M140" i="6"/>
  <c r="L140" i="6"/>
  <c r="V6" i="5"/>
  <c r="U6" i="5"/>
  <c r="V21" i="6"/>
  <c r="U21" i="6"/>
  <c r="V5" i="8"/>
  <c r="U5" i="8"/>
  <c r="T8" i="8"/>
  <c r="V16" i="10"/>
  <c r="U16" i="10"/>
  <c r="N190" i="9"/>
  <c r="O190" i="9"/>
  <c r="M190" i="9"/>
  <c r="U13" i="5"/>
  <c r="V13" i="5"/>
  <c r="U28" i="3"/>
  <c r="V28" i="3"/>
  <c r="X20" i="9"/>
  <c r="Y20" i="9"/>
  <c r="Z20" i="9"/>
  <c r="U18" i="1"/>
  <c r="V18" i="1"/>
  <c r="V17" i="8"/>
  <c r="U17" i="8"/>
  <c r="V30" i="4"/>
  <c r="U30" i="4"/>
  <c r="V22" i="7"/>
  <c r="U22" i="7"/>
  <c r="V7" i="4"/>
  <c r="U7" i="4"/>
  <c r="U17" i="7"/>
  <c r="V17" i="7"/>
  <c r="V20" i="5"/>
  <c r="U20" i="5"/>
  <c r="V15" i="6"/>
  <c r="U15" i="6"/>
  <c r="V18" i="3"/>
  <c r="U18" i="3"/>
  <c r="M185" i="8"/>
  <c r="L185" i="8"/>
  <c r="V29" i="4"/>
  <c r="U29" i="4"/>
  <c r="V22" i="6"/>
  <c r="U22" i="6"/>
  <c r="M212" i="5"/>
  <c r="L212" i="5"/>
  <c r="V19" i="1"/>
  <c r="U19" i="1"/>
  <c r="V14" i="2"/>
  <c r="U14" i="2"/>
  <c r="U14" i="1"/>
  <c r="V14" i="1"/>
  <c r="U15" i="5"/>
  <c r="V15" i="5"/>
  <c r="V17" i="6"/>
  <c r="U17" i="6"/>
  <c r="T22" i="1"/>
  <c r="V10" i="1"/>
  <c r="U10" i="1"/>
  <c r="U27" i="3"/>
  <c r="V27" i="3"/>
  <c r="V18" i="8"/>
  <c r="U18" i="8"/>
  <c r="V15" i="8"/>
  <c r="U15" i="8"/>
  <c r="V23" i="4"/>
  <c r="U23" i="4"/>
  <c r="M208" i="3"/>
  <c r="L208" i="3"/>
  <c r="V25" i="4"/>
  <c r="U25" i="4"/>
  <c r="V18" i="2"/>
  <c r="U18" i="2"/>
  <c r="V15" i="2"/>
  <c r="U15" i="2"/>
  <c r="T32" i="3"/>
  <c r="U12" i="3"/>
  <c r="V12" i="3"/>
  <c r="V25" i="8"/>
  <c r="U25" i="8"/>
  <c r="V15" i="10"/>
  <c r="U15" i="10"/>
  <c r="V18" i="5"/>
  <c r="U18" i="5"/>
  <c r="V24" i="8"/>
  <c r="U24" i="8"/>
  <c r="Z7" i="9"/>
  <c r="Y7" i="9"/>
  <c r="X7" i="9"/>
  <c r="V16" i="4"/>
  <c r="U16" i="4"/>
  <c r="T32" i="5"/>
  <c r="L69" i="2"/>
  <c r="M69" i="2"/>
  <c r="Q27" i="11"/>
  <c r="R27" i="11" s="1"/>
  <c r="R11" i="11"/>
  <c r="V13" i="4"/>
  <c r="U13" i="4"/>
  <c r="M134" i="10"/>
  <c r="L134" i="10"/>
  <c r="V30" i="5"/>
  <c r="U30" i="5"/>
  <c r="U13" i="8"/>
  <c r="V13" i="8"/>
  <c r="Z23" i="9"/>
  <c r="Y23" i="9"/>
  <c r="X23" i="9"/>
  <c r="V30" i="3"/>
  <c r="U30" i="3"/>
  <c r="V14" i="8"/>
  <c r="U14" i="8"/>
  <c r="V5" i="7"/>
  <c r="U5" i="7"/>
  <c r="T8" i="7"/>
  <c r="V21" i="4"/>
  <c r="U21" i="4"/>
  <c r="U17" i="10"/>
  <c r="V17" i="10"/>
  <c r="V19" i="10"/>
  <c r="U19" i="10"/>
  <c r="V5" i="3"/>
  <c r="U5" i="3"/>
  <c r="T9" i="3"/>
  <c r="V14" i="3"/>
  <c r="U14" i="3"/>
  <c r="M208" i="4"/>
  <c r="L208" i="4"/>
  <c r="T24" i="7"/>
  <c r="V11" i="7"/>
  <c r="U11" i="7"/>
  <c r="V20" i="3"/>
  <c r="U20" i="3"/>
  <c r="V16" i="2"/>
  <c r="U16" i="2"/>
  <c r="V8" i="5"/>
  <c r="U8" i="5"/>
  <c r="V6" i="4"/>
  <c r="U6" i="4"/>
  <c r="V6" i="6"/>
  <c r="U6" i="6"/>
  <c r="V5" i="1"/>
  <c r="U5" i="1"/>
  <c r="T7" i="1"/>
  <c r="V12" i="4"/>
  <c r="U12" i="4"/>
  <c r="T32" i="4"/>
  <c r="V21" i="10"/>
  <c r="U21" i="10"/>
  <c r="V13" i="10"/>
  <c r="U13" i="10"/>
  <c r="V21" i="8"/>
  <c r="U21" i="8"/>
  <c r="V16" i="1"/>
  <c r="U16" i="1"/>
  <c r="V20" i="4"/>
  <c r="U20" i="4"/>
  <c r="V22" i="5"/>
  <c r="U22" i="5"/>
  <c r="T8" i="6"/>
  <c r="V5" i="6"/>
  <c r="U5" i="6"/>
  <c r="T8" i="10"/>
  <c r="U5" i="10"/>
  <c r="V5" i="10"/>
  <c r="V24" i="5"/>
  <c r="U24" i="5"/>
  <c r="V6" i="8"/>
  <c r="U6" i="8"/>
  <c r="V18" i="4"/>
  <c r="U18" i="4"/>
  <c r="V23" i="7"/>
  <c r="U23" i="7"/>
  <c r="V7" i="3"/>
  <c r="U7" i="3"/>
  <c r="U7" i="5"/>
  <c r="V7" i="5"/>
  <c r="T24" i="6"/>
  <c r="V13" i="2"/>
  <c r="U13" i="2"/>
  <c r="Z17" i="9"/>
  <c r="Y17" i="9"/>
  <c r="X17" i="9"/>
  <c r="V22" i="4"/>
  <c r="U22" i="4"/>
  <c r="U12" i="7"/>
  <c r="V12" i="7"/>
  <c r="V6" i="2"/>
  <c r="U6" i="2"/>
  <c r="U15" i="3"/>
  <c r="V15" i="3"/>
  <c r="W26" i="9"/>
  <c r="T9" i="5"/>
  <c r="Z19" i="9"/>
  <c r="Y19" i="9"/>
  <c r="X19" i="9"/>
  <c r="V28" i="4"/>
  <c r="U28" i="4"/>
  <c r="U17" i="5"/>
  <c r="V17" i="5"/>
  <c r="V13" i="3"/>
  <c r="U13" i="3"/>
  <c r="U20" i="10"/>
  <c r="V20" i="10"/>
  <c r="V8" i="3"/>
  <c r="U8" i="3"/>
  <c r="V18" i="7"/>
  <c r="U18" i="7"/>
  <c r="V6" i="3"/>
  <c r="U6" i="3"/>
  <c r="V17" i="2"/>
  <c r="U17" i="2"/>
  <c r="Z16" i="9"/>
  <c r="X16" i="9"/>
  <c r="Y16" i="9"/>
  <c r="V19" i="3"/>
  <c r="U19" i="3"/>
  <c r="U18" i="10"/>
  <c r="V18" i="10"/>
  <c r="U31" i="5"/>
  <c r="V31" i="5"/>
  <c r="V11" i="10"/>
  <c r="T24" i="10"/>
  <c r="U11" i="10"/>
  <c r="R5" i="11"/>
  <c r="Q8" i="11"/>
  <c r="R8" i="11" s="1"/>
  <c r="U6" i="10"/>
  <c r="V6" i="10"/>
  <c r="Z5" i="9"/>
  <c r="Y5" i="9"/>
  <c r="W8" i="9"/>
  <c r="X5" i="9"/>
  <c r="V17" i="3"/>
  <c r="U17" i="3"/>
  <c r="T26" i="8"/>
  <c r="V9" i="4" l="1"/>
  <c r="U9" i="4"/>
  <c r="V32" i="3"/>
  <c r="U32" i="3"/>
  <c r="V8" i="6"/>
  <c r="U8" i="6"/>
  <c r="U9" i="3"/>
  <c r="V9" i="3"/>
  <c r="Z8" i="9"/>
  <c r="X8" i="9"/>
  <c r="Y8" i="9"/>
  <c r="V32" i="4"/>
  <c r="U32" i="4"/>
  <c r="U9" i="5"/>
  <c r="V9" i="5"/>
  <c r="V7" i="1"/>
  <c r="U7" i="1"/>
  <c r="Z26" i="9"/>
  <c r="Y26" i="9"/>
  <c r="X26" i="9"/>
  <c r="V22" i="1"/>
  <c r="U22" i="1"/>
  <c r="V24" i="7"/>
  <c r="U24" i="7"/>
  <c r="V32" i="5"/>
  <c r="U32" i="5"/>
  <c r="V8" i="8"/>
  <c r="U8" i="8"/>
  <c r="U24" i="6"/>
  <c r="V24" i="6"/>
  <c r="V26" i="8"/>
  <c r="U26" i="8"/>
  <c r="V24" i="10"/>
  <c r="U24" i="10"/>
  <c r="V8" i="10"/>
  <c r="U8" i="10"/>
  <c r="U8" i="7"/>
  <c r="V8" i="7"/>
</calcChain>
</file>

<file path=xl/sharedStrings.xml><?xml version="1.0" encoding="utf-8"?>
<sst xmlns="http://schemas.openxmlformats.org/spreadsheetml/2006/main" count="12522" uniqueCount="633">
  <si>
    <t>Site Code</t>
  </si>
  <si>
    <t>Site Desc</t>
  </si>
  <si>
    <t>LOB</t>
  </si>
  <si>
    <t>TSH</t>
  </si>
  <si>
    <t>BU</t>
  </si>
  <si>
    <t>Status</t>
  </si>
  <si>
    <t>Territory</t>
  </si>
  <si>
    <t>April</t>
  </si>
  <si>
    <t>Target</t>
  </si>
  <si>
    <t>MtD</t>
  </si>
  <si>
    <t>Est</t>
  </si>
  <si>
    <t>Est%</t>
  </si>
  <si>
    <t>MoM</t>
  </si>
  <si>
    <t>M021</t>
  </si>
  <si>
    <t>ARIS FACHRUDIN</t>
  </si>
  <si>
    <t>E164</t>
  </si>
  <si>
    <t>MARDIANSAH</t>
  </si>
  <si>
    <t>E172</t>
  </si>
  <si>
    <t>Grand Total</t>
  </si>
  <si>
    <t>E027</t>
  </si>
  <si>
    <t>E396</t>
  </si>
  <si>
    <t>E414</t>
  </si>
  <si>
    <t>ABDILLAH</t>
  </si>
  <si>
    <t>M219</t>
  </si>
  <si>
    <t>RENDY NUR SETIAWAN</t>
  </si>
  <si>
    <t>M068</t>
  </si>
  <si>
    <t>IRMAN PERMANA</t>
  </si>
  <si>
    <t>E158</t>
  </si>
  <si>
    <t>MENSI ALEXANDER</t>
  </si>
  <si>
    <t>M048</t>
  </si>
  <si>
    <t>LUKMAN WIBOWO</t>
  </si>
  <si>
    <t>E582</t>
  </si>
  <si>
    <t>FEBRIAN TRI WIBOWO</t>
  </si>
  <si>
    <t>E941</t>
  </si>
  <si>
    <t>RENDI JANUARDI</t>
  </si>
  <si>
    <t>E201</t>
  </si>
  <si>
    <t>EKA FUJI CHAERUL ANWAR</t>
  </si>
  <si>
    <t>M019</t>
  </si>
  <si>
    <t>SANDI MAULANA</t>
  </si>
  <si>
    <t>M013</t>
  </si>
  <si>
    <t>NURUL ZAMAN</t>
  </si>
  <si>
    <t>E029</t>
  </si>
  <si>
    <t>ARI HIDAYAT</t>
  </si>
  <si>
    <t>E209</t>
  </si>
  <si>
    <t>ARENGGA</t>
  </si>
  <si>
    <t>E221</t>
  </si>
  <si>
    <t>E231</t>
  </si>
  <si>
    <t>E194</t>
  </si>
  <si>
    <t>M061</t>
  </si>
  <si>
    <t>E160</t>
  </si>
  <si>
    <t>M212</t>
  </si>
  <si>
    <t>E043</t>
  </si>
  <si>
    <t>E150</t>
  </si>
  <si>
    <t>E321</t>
  </si>
  <si>
    <t>E137</t>
  </si>
  <si>
    <t>E081</t>
  </si>
  <si>
    <t>F077</t>
  </si>
  <si>
    <t>E281</t>
  </si>
  <si>
    <t>E082</t>
  </si>
  <si>
    <t>E113</t>
  </si>
  <si>
    <t>Target ROFO</t>
  </si>
  <si>
    <t>M027</t>
  </si>
  <si>
    <t>Total</t>
  </si>
  <si>
    <t>M093</t>
  </si>
  <si>
    <t>E679</t>
  </si>
  <si>
    <t>E453</t>
  </si>
  <si>
    <t>E898</t>
  </si>
  <si>
    <t>E508</t>
  </si>
  <si>
    <t>M163</t>
  </si>
  <si>
    <t>E322</t>
  </si>
  <si>
    <t>M176</t>
  </si>
  <si>
    <t>M104</t>
  </si>
  <si>
    <t>E732</t>
  </si>
  <si>
    <t>E381</t>
  </si>
  <si>
    <t>M167</t>
  </si>
  <si>
    <t>E684</t>
  </si>
  <si>
    <t>E646</t>
  </si>
  <si>
    <t>E299</t>
  </si>
  <si>
    <t>E777</t>
  </si>
  <si>
    <t>E422</t>
  </si>
  <si>
    <t>E391</t>
  </si>
  <si>
    <t>E544</t>
  </si>
  <si>
    <t>E612</t>
  </si>
  <si>
    <t>E514</t>
  </si>
  <si>
    <t>E704</t>
  </si>
  <si>
    <t>E787</t>
  </si>
  <si>
    <t>F022</t>
  </si>
  <si>
    <t>E875</t>
  </si>
  <si>
    <t>E253</t>
  </si>
  <si>
    <t>E586</t>
  </si>
  <si>
    <t>E812</t>
  </si>
  <si>
    <t>E678</t>
  </si>
  <si>
    <t>E627</t>
  </si>
  <si>
    <t>E663</t>
  </si>
  <si>
    <t>E943</t>
  </si>
  <si>
    <t>E813</t>
  </si>
  <si>
    <t>E465</t>
  </si>
  <si>
    <t>E685</t>
  </si>
  <si>
    <t>F003</t>
  </si>
  <si>
    <t>E369</t>
  </si>
  <si>
    <t>E620</t>
  </si>
  <si>
    <t>E696</t>
  </si>
  <si>
    <t>E251</t>
  </si>
  <si>
    <t>E960</t>
  </si>
  <si>
    <t>E705</t>
  </si>
  <si>
    <t>E942</t>
  </si>
  <si>
    <t>E744</t>
  </si>
  <si>
    <t>E848</t>
  </si>
  <si>
    <t>E986</t>
  </si>
  <si>
    <t>E874</t>
  </si>
  <si>
    <t>E616</t>
  </si>
  <si>
    <t>E695</t>
  </si>
  <si>
    <t>E923</t>
  </si>
  <si>
    <t>E991</t>
  </si>
  <si>
    <t>E873</t>
  </si>
  <si>
    <t>F066</t>
  </si>
  <si>
    <t>Date</t>
  </si>
  <si>
    <t>Acv</t>
  </si>
  <si>
    <t>ANDI IRAWAN</t>
  </si>
  <si>
    <t>E028</t>
  </si>
  <si>
    <t>RACHMAT</t>
  </si>
  <si>
    <t>E037</t>
  </si>
  <si>
    <t>E038</t>
  </si>
  <si>
    <t>E047</t>
  </si>
  <si>
    <t>E084</t>
  </si>
  <si>
    <t>E087</t>
  </si>
  <si>
    <t>E088</t>
  </si>
  <si>
    <t>E096</t>
  </si>
  <si>
    <t>E119</t>
  </si>
  <si>
    <t>VACANT</t>
  </si>
  <si>
    <t>ANDRY UTAMA</t>
  </si>
  <si>
    <t>E191</t>
  </si>
  <si>
    <t>JOKO SUPRASTIO</t>
  </si>
  <si>
    <t>RIZKY KURNIAWAN</t>
  </si>
  <si>
    <t>ARDILESACH</t>
  </si>
  <si>
    <t>LIM PING KIAN</t>
  </si>
  <si>
    <t>E215</t>
  </si>
  <si>
    <t>LIA ASTUTI</t>
  </si>
  <si>
    <t>E216</t>
  </si>
  <si>
    <t>SOPIYAN SAURI</t>
  </si>
  <si>
    <t>E233</t>
  </si>
  <si>
    <t>E245</t>
  </si>
  <si>
    <t>E259</t>
  </si>
  <si>
    <t>E290</t>
  </si>
  <si>
    <t>E308</t>
  </si>
  <si>
    <t>E312</t>
  </si>
  <si>
    <t>E320</t>
  </si>
  <si>
    <t>E370</t>
  </si>
  <si>
    <t>E408</t>
  </si>
  <si>
    <t>E413</t>
  </si>
  <si>
    <t>E417</t>
  </si>
  <si>
    <t>E484</t>
  </si>
  <si>
    <t>E499</t>
  </si>
  <si>
    <t>E589</t>
  </si>
  <si>
    <t>E593</t>
  </si>
  <si>
    <t>E664</t>
  </si>
  <si>
    <t>E682</t>
  </si>
  <si>
    <t>E714</t>
  </si>
  <si>
    <t>E821</t>
  </si>
  <si>
    <t>E822</t>
  </si>
  <si>
    <t>E833</t>
  </si>
  <si>
    <t>E834</t>
  </si>
  <si>
    <t>E879</t>
  </si>
  <si>
    <t>E992</t>
  </si>
  <si>
    <t>F058</t>
  </si>
  <si>
    <t>F073</t>
  </si>
  <si>
    <t>F079</t>
  </si>
  <si>
    <t>M014</t>
  </si>
  <si>
    <t>M091</t>
  </si>
  <si>
    <t>M193</t>
  </si>
  <si>
    <t>N075</t>
  </si>
  <si>
    <t>N125</t>
  </si>
  <si>
    <t>N130</t>
  </si>
  <si>
    <t>N131</t>
  </si>
  <si>
    <t>N140</t>
  </si>
  <si>
    <t>N144</t>
  </si>
  <si>
    <t>N183</t>
  </si>
  <si>
    <t>N184</t>
  </si>
  <si>
    <t>N186</t>
  </si>
  <si>
    <t>N191</t>
  </si>
  <si>
    <t>N200</t>
  </si>
  <si>
    <t>N216</t>
  </si>
  <si>
    <t>N285</t>
  </si>
  <si>
    <t>N286</t>
  </si>
  <si>
    <t>N288</t>
  </si>
  <si>
    <t>S015</t>
  </si>
  <si>
    <t>S018</t>
  </si>
  <si>
    <t>S040</t>
  </si>
  <si>
    <t>S041</t>
  </si>
  <si>
    <t>S042</t>
  </si>
  <si>
    <t>S044</t>
  </si>
  <si>
    <t>S049</t>
  </si>
  <si>
    <t>S055</t>
  </si>
  <si>
    <t>S056</t>
  </si>
  <si>
    <t>S058</t>
  </si>
  <si>
    <t>S066</t>
  </si>
  <si>
    <t>S097</t>
  </si>
  <si>
    <t>S098</t>
  </si>
  <si>
    <t>S136</t>
  </si>
  <si>
    <t>S137</t>
  </si>
  <si>
    <t>S142</t>
  </si>
  <si>
    <t>S158</t>
  </si>
  <si>
    <t>S183</t>
  </si>
  <si>
    <t>S190</t>
  </si>
  <si>
    <t>M222</t>
  </si>
  <si>
    <t>X011</t>
  </si>
  <si>
    <t>X012</t>
  </si>
  <si>
    <t>X015</t>
  </si>
  <si>
    <t>X016</t>
  </si>
  <si>
    <t>X022</t>
  </si>
  <si>
    <t>X033</t>
  </si>
  <si>
    <t>X034</t>
  </si>
  <si>
    <t>X035</t>
  </si>
  <si>
    <t>X043</t>
  </si>
  <si>
    <t>X049</t>
  </si>
  <si>
    <t>X055</t>
  </si>
  <si>
    <t>X058</t>
  </si>
  <si>
    <t>X064</t>
  </si>
  <si>
    <t>X072</t>
  </si>
  <si>
    <t>X110</t>
  </si>
  <si>
    <t>X135</t>
  </si>
  <si>
    <t>X142</t>
  </si>
  <si>
    <t>X168</t>
  </si>
  <si>
    <t>X172</t>
  </si>
  <si>
    <t>X173</t>
  </si>
  <si>
    <t>X190</t>
  </si>
  <si>
    <t>X191</t>
  </si>
  <si>
    <t>X014</t>
  </si>
  <si>
    <t>X037</t>
  </si>
  <si>
    <t>N330</t>
  </si>
  <si>
    <t>N337</t>
  </si>
  <si>
    <t>F134</t>
  </si>
  <si>
    <t>X222</t>
  </si>
  <si>
    <t>F080</t>
  </si>
  <si>
    <t>S194</t>
  </si>
  <si>
    <t>N354</t>
  </si>
  <si>
    <t>X192</t>
  </si>
  <si>
    <t>S195</t>
  </si>
  <si>
    <t>N360</t>
  </si>
  <si>
    <t>S201</t>
  </si>
  <si>
    <t>N326</t>
  </si>
  <si>
    <t>N380</t>
  </si>
  <si>
    <t>S231</t>
  </si>
  <si>
    <t>S230</t>
  </si>
  <si>
    <t>N391</t>
  </si>
  <si>
    <t xml:space="preserve"> </t>
  </si>
  <si>
    <t>S228</t>
  </si>
  <si>
    <t>S229</t>
  </si>
  <si>
    <t>E292</t>
  </si>
  <si>
    <t>E420</t>
  </si>
  <si>
    <t>E648</t>
  </si>
  <si>
    <t>E697</t>
  </si>
  <si>
    <t>M132</t>
  </si>
  <si>
    <t>N282</t>
  </si>
  <si>
    <t>N287</t>
  </si>
  <si>
    <t>Q104</t>
  </si>
  <si>
    <t>G258</t>
  </si>
  <si>
    <t>Q108</t>
  </si>
  <si>
    <t>Q008</t>
  </si>
  <si>
    <t>Q248</t>
  </si>
  <si>
    <t>Q022</t>
  </si>
  <si>
    <t>Q024</t>
  </si>
  <si>
    <t>G377</t>
  </si>
  <si>
    <t>Q109</t>
  </si>
  <si>
    <t>Q129</t>
  </si>
  <si>
    <t>Q002</t>
  </si>
  <si>
    <t>Q012</t>
  </si>
  <si>
    <t>G493</t>
  </si>
  <si>
    <t>G055</t>
  </si>
  <si>
    <t>G059</t>
  </si>
  <si>
    <t>G380</t>
  </si>
  <si>
    <t>G065</t>
  </si>
  <si>
    <t>G190</t>
  </si>
  <si>
    <t>G114</t>
  </si>
  <si>
    <t>G210</t>
  </si>
  <si>
    <t>G030</t>
  </si>
  <si>
    <t>Target 1</t>
  </si>
  <si>
    <t>Target 2</t>
  </si>
  <si>
    <t>Est 1%</t>
  </si>
  <si>
    <t>Est 2%</t>
  </si>
  <si>
    <t>E993</t>
  </si>
  <si>
    <t>G074</t>
  </si>
  <si>
    <t>G191</t>
  </si>
  <si>
    <t>G401</t>
  </si>
  <si>
    <t>G403</t>
  </si>
  <si>
    <t>G404</t>
  </si>
  <si>
    <t>G402</t>
  </si>
  <si>
    <t>G405</t>
  </si>
  <si>
    <t>G416</t>
  </si>
  <si>
    <t>G420</t>
  </si>
  <si>
    <t>G431</t>
  </si>
  <si>
    <t>G417</t>
  </si>
  <si>
    <t>G443</t>
  </si>
  <si>
    <t>G437</t>
  </si>
  <si>
    <t>G423</t>
  </si>
  <si>
    <t>G444</t>
  </si>
  <si>
    <t>G427</t>
  </si>
  <si>
    <t>G435</t>
  </si>
  <si>
    <t>G446</t>
  </si>
  <si>
    <t>G447</t>
  </si>
  <si>
    <t>G451</t>
  </si>
  <si>
    <t>G453</t>
  </si>
  <si>
    <t>G458</t>
  </si>
  <si>
    <t>G457</t>
  </si>
  <si>
    <t>G445</t>
  </si>
  <si>
    <t>G464</t>
  </si>
  <si>
    <t>G463</t>
  </si>
  <si>
    <t>G467</t>
  </si>
  <si>
    <t>G468</t>
  </si>
  <si>
    <t>G480</t>
  </si>
  <si>
    <t>G478</t>
  </si>
  <si>
    <t>G487</t>
  </si>
  <si>
    <t>G489</t>
  </si>
  <si>
    <t>G494</t>
  </si>
  <si>
    <t>G497</t>
  </si>
  <si>
    <t>G505</t>
  </si>
  <si>
    <t>G508</t>
  </si>
  <si>
    <t>G532</t>
  </si>
  <si>
    <t>G520</t>
  </si>
  <si>
    <t>G519</t>
  </si>
  <si>
    <t>G546</t>
  </si>
  <si>
    <t>F123</t>
  </si>
  <si>
    <t>G569</t>
  </si>
  <si>
    <t>G584</t>
  </si>
  <si>
    <t>G586</t>
  </si>
  <si>
    <t>G470</t>
  </si>
  <si>
    <t>G622</t>
  </si>
  <si>
    <t>G644</t>
  </si>
  <si>
    <t>G647</t>
  </si>
  <si>
    <t>G654</t>
  </si>
  <si>
    <t>N394</t>
  </si>
  <si>
    <t/>
  </si>
  <si>
    <t>ERAFONE &amp; MORE RUKO CILEDUG</t>
  </si>
  <si>
    <t>ERAFONE MAL TAMAN ANGGREK</t>
  </si>
  <si>
    <t>ERAFONE RUKO KEBON JERUK BINUS</t>
  </si>
  <si>
    <t>ERAFONE DAAN MOGOT MALL</t>
  </si>
  <si>
    <t>ERAFONE &amp; MORE RUKO ITC ROXY MAS</t>
  </si>
  <si>
    <t>ERAFONE RUKO PERCETAKAN NEGARA</t>
  </si>
  <si>
    <t>ERAFONE &amp; MORE PURI INDAH MALL 2</t>
  </si>
  <si>
    <t>ERAFONE &amp; MORE RUKO KAMAL CENGKAREN</t>
  </si>
  <si>
    <t>ERAFONE MAL CIPUTRA JAKARTA</t>
  </si>
  <si>
    <t>MEGASTORE RUKO CIKUPA</t>
  </si>
  <si>
    <t>ERAFONE RUKO SRENGSENG</t>
  </si>
  <si>
    <t>ERAFONE MB RAYA SERPONG</t>
  </si>
  <si>
    <t>ERAFONE RUKO KRESEK BALARAJA</t>
  </si>
  <si>
    <t>MEGASTORE SUMMARECON MALL SERPONG</t>
  </si>
  <si>
    <t>MEGASTORE SUPERMAL KARAWACI</t>
  </si>
  <si>
    <t>ERAFONE LIPPO MALL PURI</t>
  </si>
  <si>
    <t>ERAFONE RUKO AHMAD YANI SERANG</t>
  </si>
  <si>
    <t>ERAFONE AND MORE CIPUTRA CITRA RAYA</t>
  </si>
  <si>
    <t>ERAFONE RUKO HOS COKROAMINOTO</t>
  </si>
  <si>
    <t>ERAFONE RUKO RANGKASBITUNG</t>
  </si>
  <si>
    <t>ERAFONE &amp; MORE RUKO JATIUWUNG</t>
  </si>
  <si>
    <t>ERAFONE RUKO CEGER TANGERANG</t>
  </si>
  <si>
    <t>ERAFONE &amp; MORE RAWASARI</t>
  </si>
  <si>
    <t>ERAFONE PLAZA BINTARO JAYA</t>
  </si>
  <si>
    <t>ERAFONE CILEGON CENTER MALL</t>
  </si>
  <si>
    <t>ERAFONE RUKO SUDIMARA</t>
  </si>
  <si>
    <t>ERAFONE GREEN PRAMUKA SQUARE</t>
  </si>
  <si>
    <t>ERAFONE MALL OF SERANG</t>
  </si>
  <si>
    <t>ERAFONE BINTARO EXCHANGE II</t>
  </si>
  <si>
    <t>ERAFONE SENAYAN CITY 3.0</t>
  </si>
  <si>
    <t>ERAFONE LIVING WORLD ALAM SUTERA</t>
  </si>
  <si>
    <t>ERAFONE GRAND INDONESIA</t>
  </si>
  <si>
    <t>ERAFONE &amp; MORE RUKO CIPUTAT</t>
  </si>
  <si>
    <t>MEGASTORE RUKO CIPONDOH TANGERANG</t>
  </si>
  <si>
    <t>ERAFONE MB JOGLO RAYA</t>
  </si>
  <si>
    <t>ERAFONE RUKO DURI KOSAMBI</t>
  </si>
  <si>
    <t>ERAFONE MB SAMANHUDI</t>
  </si>
  <si>
    <t>ERAFONE JEMBATAN LIMA</t>
  </si>
  <si>
    <t>ERAFONE &amp; MORE SERPONG</t>
  </si>
  <si>
    <t>ERAFONE RUKO MERUYA</t>
  </si>
  <si>
    <t>ERAFONE &amp; MORE KISAMAUN</t>
  </si>
  <si>
    <t>MEGASTORE RUKO REMPOA CIPUTAT</t>
  </si>
  <si>
    <t>ERAFONE SABANG JAKPUS</t>
  </si>
  <si>
    <t>ERAFONE RUKO PETA BARAT JAKBAR</t>
  </si>
  <si>
    <t>ERAFONE &amp; MORE TELUK NAGA</t>
  </si>
  <si>
    <t>ERAFONE MB SANGIANG</t>
  </si>
  <si>
    <t>ERAFONE  BATU CEPER</t>
  </si>
  <si>
    <t>ERAFONE RUKO CIRENDEU</t>
  </si>
  <si>
    <t>ERAFONE CIHUNI GADING SERPONG</t>
  </si>
  <si>
    <t>ERAFONE RUKO MOH TOHA TANGERANG</t>
  </si>
  <si>
    <t>ERAFONE RUKO SUPRATMAN CIPUTAT</t>
  </si>
  <si>
    <t>ERAFONE CILEGON</t>
  </si>
  <si>
    <t>ERAFONE RUKO JOMBANG</t>
  </si>
  <si>
    <t>ERAFONE MERUYA SELATAN</t>
  </si>
  <si>
    <t>ERAFONE MB  KH DEWANTARA CIPUTAT</t>
  </si>
  <si>
    <t>ERAFONE MB RUKOTIGARAKSA</t>
  </si>
  <si>
    <t>ERAFONE 2.5 PAMULANG</t>
  </si>
  <si>
    <t>ERAFONE MB POS PENGUMBEN</t>
  </si>
  <si>
    <t>ERAFONE RUKO CURUG TANGERANG</t>
  </si>
  <si>
    <t>ERAFONE RUKO GRAHA RAYA</t>
  </si>
  <si>
    <t>ERAFONE MB KUTABUMI</t>
  </si>
  <si>
    <t>ERAFONE MB BENDUNGAN HILIR</t>
  </si>
  <si>
    <t>ERAFONE RUKO CISOKA</t>
  </si>
  <si>
    <t>ERAFONE GARUDA KEMAYORAN</t>
  </si>
  <si>
    <t>ERAFONE MB TAMAN RATU</t>
  </si>
  <si>
    <t>ERAFONE MB SERPONG GARDEN CISAUK</t>
  </si>
  <si>
    <t>ERAFONE RUKO KEBAYORAN LAMA</t>
  </si>
  <si>
    <t>ERAFONE MB PONDOK BETUNG</t>
  </si>
  <si>
    <t>ERAFONE 2.5 CILEDUG RAYA</t>
  </si>
  <si>
    <t>ERAFONE RUKO BOROBUDUR</t>
  </si>
  <si>
    <t>ERAFONE 2.5 PADJAJARAN PAMULANG</t>
  </si>
  <si>
    <t>ERAFONE MB RASUNA SAID</t>
  </si>
  <si>
    <t>ERAFONE RUKO CIMONE TANGERANG</t>
  </si>
  <si>
    <t>ERAFONE MB MENCENG RAYA</t>
  </si>
  <si>
    <t>ERAFONE MB CIATER TANGSEL</t>
  </si>
  <si>
    <t>ERAFONE MB KEMBANGAN UTARA</t>
  </si>
  <si>
    <t>ERAFONE MB  RAJEK</t>
  </si>
  <si>
    <t>ERAFONE PASAR KEMIS</t>
  </si>
  <si>
    <t>ERAFONE MB JEMBATAN BESI</t>
  </si>
  <si>
    <t>ERAFONE MB DASANA INDAH</t>
  </si>
  <si>
    <t>ERAFONE 2.5 MERUYA ILIR</t>
  </si>
  <si>
    <t>ERAFONE MB BINONG</t>
  </si>
  <si>
    <t>ERAFONE MB JALAN PANJANG</t>
  </si>
  <si>
    <t>ERAFONE 2.5 KEMANGGISAN UTAMA RAYA</t>
  </si>
  <si>
    <t>ERAFONE MB LEGOK</t>
  </si>
  <si>
    <t>ERAFONE 2.5 SEPATAN</t>
  </si>
  <si>
    <t>ERAFONE MAL PURI INDAH</t>
  </si>
  <si>
    <t>ERAFONE GAJAH MADA PLAZA</t>
  </si>
  <si>
    <t>ERAFONE MALL ATRIUM SENEN</t>
  </si>
  <si>
    <t>ERAFONE 1 ITC CEMPAKA MAS</t>
  </si>
  <si>
    <t>ERAFONE 1 SUPERMALL KARAWACI</t>
  </si>
  <si>
    <t>ERAFONE ITC BSD</t>
  </si>
  <si>
    <t>ERAFONE AEON MAL BSD CITY</t>
  </si>
  <si>
    <t>ERAFONE 2 ITC ROXY MAS</t>
  </si>
  <si>
    <t>ERAFONE TANGERANG CITY MALL</t>
  </si>
  <si>
    <t>ERAFONE RUKO SURYA KENCANA PAMULANG</t>
  </si>
  <si>
    <t>ERAFONE GREEN SEDAYU MALL</t>
  </si>
  <si>
    <t>ERAFONE SENAYAN PARK MALL</t>
  </si>
  <si>
    <t>ERAFONE RUKO TAMAN SURYA JAKBAR</t>
  </si>
  <si>
    <t>ERAFONE RUKO BENDA RAYA PAMULANG</t>
  </si>
  <si>
    <t>ERAFONE RUKO KELAPA DUA TANGERANG</t>
  </si>
  <si>
    <t>ERAFONE RUKO PORIS TANGERANG</t>
  </si>
  <si>
    <t>ERAFONE RUKO MAYOR SAFEI</t>
  </si>
  <si>
    <t>ERAFONE KRESEK KOSAMBI</t>
  </si>
  <si>
    <t>ERAFONE RUKO PANDEGLANG</t>
  </si>
  <si>
    <t>ERAFONE RUKO BERINGIN</t>
  </si>
  <si>
    <t>ERAFONE RUKO SUMUR BATU</t>
  </si>
  <si>
    <t>ERAFONE RUKO KEDOYA</t>
  </si>
  <si>
    <t>ERAFONE RUKO HASYIM ASYARI CILEDUG</t>
  </si>
  <si>
    <t>ERAFONE SERPONG PARADISE WALK</t>
  </si>
  <si>
    <t>ERAFONE LABUAN</t>
  </si>
  <si>
    <t>ERAFONE RUKO PANIMBANG</t>
  </si>
  <si>
    <t>ERAFONE RUKO MANGGA BESAR</t>
  </si>
  <si>
    <t>ERAFONE TANJUNG DUREN</t>
  </si>
  <si>
    <t>ERAFONE MB KH MANSYUR TANAH ABANG</t>
  </si>
  <si>
    <t>ERAFONE MB  JATAKE</t>
  </si>
  <si>
    <t>ERAFONE MB ANYER</t>
  </si>
  <si>
    <t>ERAFONE MB KRAGILAN</t>
  </si>
  <si>
    <t>ERAFONE RUKO RANGKASBITUNG 2</t>
  </si>
  <si>
    <t>ERAFONE KEDAUNG TANGSEL</t>
  </si>
  <si>
    <t>ERAFONE MB CIPARE</t>
  </si>
  <si>
    <t>ERAFONE 2.5 KAPUK CENGKARENG</t>
  </si>
  <si>
    <t>ERAFONE 2.5 TELAGA BESTARI</t>
  </si>
  <si>
    <t>ERAFONE AGORA MALL</t>
  </si>
  <si>
    <t>ERAFONE 2.5 GRAND BATAVIA</t>
  </si>
  <si>
    <t>ERAFONE AND MORE BINTARO X-CHANGE</t>
  </si>
  <si>
    <t>MEGASTORE CENTRAL PARK 3.0</t>
  </si>
  <si>
    <t>ERAFONE &amp; MORE EDC</t>
  </si>
  <si>
    <t>HUAWEI EXP SHOP MALL TAMAN ANGGREK</t>
  </si>
  <si>
    <t>HUAWEI EXP SHOP SUMMARECON MALL SER</t>
  </si>
  <si>
    <t>XIAOMI STORE E-CENTER SUPERMAL KARA</t>
  </si>
  <si>
    <t>XIAOMI STORE AEON MAL BSD CITY</t>
  </si>
  <si>
    <t>XIAOMI STORE CILEGON CENTER MALL</t>
  </si>
  <si>
    <t>MI STORE LIPPO MALL PURI</t>
  </si>
  <si>
    <t>XIAOMI STORE BINTARO XCHANGE</t>
  </si>
  <si>
    <t>XIAOMI STORE CENTRAL PARK</t>
  </si>
  <si>
    <t>XIAOMI STORE LIVING WORLD ALAM SUTE</t>
  </si>
  <si>
    <t>XIAOMI STORE TANG CITY</t>
  </si>
  <si>
    <t>XIAOMI STORE 1 SUMMARECON MAL</t>
  </si>
  <si>
    <t>MI STORE CIPUTRA CITRARAYA</t>
  </si>
  <si>
    <t>OPPO EDC</t>
  </si>
  <si>
    <t>XIAOMI EDC</t>
  </si>
  <si>
    <t>VIVO EDC</t>
  </si>
  <si>
    <t>SAMSUNG LIPPO MALL PURI</t>
  </si>
  <si>
    <t>SES SENAYAN CITY</t>
  </si>
  <si>
    <t>SES TANGERANG CITY MALL</t>
  </si>
  <si>
    <t>SES BINTARO X CHANGE</t>
  </si>
  <si>
    <t>SES AEON MAL BSD CITY</t>
  </si>
  <si>
    <t>SES 2 ITC ROXY MAS</t>
  </si>
  <si>
    <t>SPS ITC CEMPAKA MAS</t>
  </si>
  <si>
    <t>SES PLAZA SENAYAN</t>
  </si>
  <si>
    <t>SES SUMMARECON MAL SERPONG</t>
  </si>
  <si>
    <t>SES GREEN PRAMUKA SQUARE</t>
  </si>
  <si>
    <t>SES CILEGON CENTER MALL</t>
  </si>
  <si>
    <t>SES MALL CIPUTRA CITRA RAYA TANGERA</t>
  </si>
  <si>
    <t>SES SENAYAN PARK MALL</t>
  </si>
  <si>
    <t>SPS LABUAN PANDEGLANG</t>
  </si>
  <si>
    <t>SPS A YANI CILEGON</t>
  </si>
  <si>
    <t>SES CENTRAL PARK</t>
  </si>
  <si>
    <t>SAMSUNG (SEP) SERPONG PARADISE WALK</t>
  </si>
  <si>
    <t>SAMSUNG EDC</t>
  </si>
  <si>
    <t>SAMSUNG BINTARO XCHANGE MALL II</t>
  </si>
  <si>
    <t>ERAFONE &amp; MORE EASTVARA MALL</t>
  </si>
  <si>
    <t>IBOX LIPPO MALL PURI</t>
  </si>
  <si>
    <t>IBOX FLAGSHIP CENTRAL PARK</t>
  </si>
  <si>
    <t>IBOX PLAZA INDONESIA</t>
  </si>
  <si>
    <t>IBOX MALL ATRIUM SENEN</t>
  </si>
  <si>
    <t>IBOX FLAGSHIP SENAYAN CITY</t>
  </si>
  <si>
    <t>IBOX BINTARO PLAZA</t>
  </si>
  <si>
    <t>IBOX - SDC SERPONG</t>
  </si>
  <si>
    <t>IBOX FLAGSHIP SUMMARECON MALL SERPO</t>
  </si>
  <si>
    <t>IBOX ITC ROXY</t>
  </si>
  <si>
    <t>IBOX CILEGON CENTRE</t>
  </si>
  <si>
    <t>IBOX MAL CIPUTRA JAKARTA</t>
  </si>
  <si>
    <t>IBOX TANGERANG CITY MALL</t>
  </si>
  <si>
    <t>IBOX MALL CITRARAYA</t>
  </si>
  <si>
    <t>IBOX LIVING WORLD ALAM SUTRA</t>
  </si>
  <si>
    <t>IBOX GAJAH MADA MALL</t>
  </si>
  <si>
    <t>IBOX EDC</t>
  </si>
  <si>
    <t>IBOX A YANI SERANG</t>
  </si>
  <si>
    <t>IBOX BINTARO XCHANGE MALL II</t>
  </si>
  <si>
    <t>IBOX SENAYAN PARK</t>
  </si>
  <si>
    <t>IBOX MALL ALAM SUTERA</t>
  </si>
  <si>
    <t>IBOX GREENLAKE</t>
  </si>
  <si>
    <t>IBOX PARAMOUNT BSD</t>
  </si>
  <si>
    <t>IBOX MENTENG CENTRAL</t>
  </si>
  <si>
    <t>IBOX MANGGA DUA</t>
  </si>
  <si>
    <t>HUAWEI PURI INDAH MALL</t>
  </si>
  <si>
    <t>HONOR BINTARO XCHANGE MALL</t>
  </si>
  <si>
    <t>ERAFONE MALL CIPUTRA 2.5 JAKARTA</t>
  </si>
  <si>
    <t>IBOX PAMULANG</t>
  </si>
  <si>
    <t>ERAFONE MENARA JAKARTA</t>
  </si>
  <si>
    <t>SAMSUNG AGORA MALL</t>
  </si>
  <si>
    <t>MI-STORE MENARA JAKARTA</t>
  </si>
  <si>
    <t>IBOX MENARA JAKARTA</t>
  </si>
  <si>
    <t>SES MENARA JAKARTA</t>
  </si>
  <si>
    <t>HUAWEI MENARA JAKARTA</t>
  </si>
  <si>
    <t>SAMSUNG HAMPTON SQUARE SERPONG</t>
  </si>
  <si>
    <t>MI STORE MALL MATAHARI DAAN MOGOT</t>
  </si>
  <si>
    <t>MI-STORE PLAZA BINTARO JAYA</t>
  </si>
  <si>
    <t>SES PLAZA INDONESIA</t>
  </si>
  <si>
    <t>SES MALL TAMAN ANGGREK</t>
  </si>
  <si>
    <t>HUAWEI CENTRAL PARK MALL</t>
  </si>
  <si>
    <t>SES CIPUTRA MALL JKT</t>
  </si>
  <si>
    <t>SES GRAND INDONESIA EAST MALL</t>
  </si>
  <si>
    <t>ERAFONE RUKO RAWA BOKOR</t>
  </si>
  <si>
    <t>ERAFONE RUKO CEMPAKA PUTIH</t>
  </si>
  <si>
    <t>ERAFONE RADEN SALEH CILEDUG 2</t>
  </si>
  <si>
    <t>ERAFONE MB PALMERAH UTARA</t>
  </si>
  <si>
    <t>MEGASTORE GROGOL PETAMBURAN</t>
  </si>
  <si>
    <t>HUAWEI EDC</t>
  </si>
  <si>
    <t>REALME EDC</t>
  </si>
  <si>
    <t>XLC GRAND INDONESIA</t>
  </si>
  <si>
    <t>LOTTEMART GREEN PRAMUKA CITY</t>
  </si>
  <si>
    <t>GERAI ISAT OOREDOO LIPPO MALL PURI</t>
  </si>
  <si>
    <t>XLC CENTRAL PARK</t>
  </si>
  <si>
    <t>XLC ITC ROXY MAS</t>
  </si>
  <si>
    <t>XLC MAL PURI INDAH</t>
  </si>
  <si>
    <t>GALERI ISAT KARAWACI TANGERANG</t>
  </si>
  <si>
    <t>HYPERMART CITRA RAYA CIKUPA</t>
  </si>
  <si>
    <t>XLC HYBRID BINTARO JAYA XCHANGE</t>
  </si>
  <si>
    <t>XLC TANGERANG CITY MALL</t>
  </si>
  <si>
    <t>GALERI ISAT KPPTI</t>
  </si>
  <si>
    <t>GALERI ISAT MANGGA DUA</t>
  </si>
  <si>
    <t>AGRES MANGGA DUA SQUARE</t>
  </si>
  <si>
    <t>HYPERMART PURI INDAH</t>
  </si>
  <si>
    <t>HYPERMART KARAWACI</t>
  </si>
  <si>
    <t>HYPERMART CILEDUG</t>
  </si>
  <si>
    <t>LOTTEMART TAMAN SURYA</t>
  </si>
  <si>
    <t>HYPERMART DAAN MOGOT</t>
  </si>
  <si>
    <t>LOTTEMART SERANG</t>
  </si>
  <si>
    <t>CARREFOUR CEMPAKA PUTIH</t>
  </si>
  <si>
    <t>CARREFOUR BSD</t>
  </si>
  <si>
    <t>ERAFONE 2.5 IMAM BONJOL</t>
  </si>
  <si>
    <t>LOTTEMART BINTARO</t>
  </si>
  <si>
    <t>HYPERMART GAJAH MADA</t>
  </si>
  <si>
    <t>ERABLUE RADEN SALEH CILEDUG</t>
  </si>
  <si>
    <t>ERABLUE DEWI SARTIKA CIPUTAT</t>
  </si>
  <si>
    <t>ERABLUE RAWA BUNTU SERPONG</t>
  </si>
  <si>
    <t>ERABLUE HOS COKROAMINOTO CILEDUG</t>
  </si>
  <si>
    <t>ERABLUE SILIWANGI PAMULANG</t>
  </si>
  <si>
    <t>ERABLUE RADEN FATAH CILEDUG</t>
  </si>
  <si>
    <t>ERABLUE KUTABUMI TANGERANG</t>
  </si>
  <si>
    <t>ERABLUE LEGOK TANGERANG</t>
  </si>
  <si>
    <t>ERABLUE MERUYA SELATAN</t>
  </si>
  <si>
    <t>ERABLUE SETIA BUDI PAMULANG</t>
  </si>
  <si>
    <t>ERABLUE SATU MARET JAKBAR</t>
  </si>
  <si>
    <t>ERABLUE PARUNG CIPUTAT</t>
  </si>
  <si>
    <t>ERABLUE MOH. TOHA TANGERANG</t>
  </si>
  <si>
    <t>ERABLUE CIRENDEU TANGERANG SELATAN</t>
  </si>
  <si>
    <t>ERABLUE DURI KOSAMBI JAKBAR</t>
  </si>
  <si>
    <t>ERABLUE CIKUPA PEUSAR</t>
  </si>
  <si>
    <t>ERABLUE CURUG RAYA TANGERANG</t>
  </si>
  <si>
    <t>ERABLUE CISOKA TIGARAKSA TANGERANG</t>
  </si>
  <si>
    <t>ERABLUE SYEH MUBAROK TANGERANG</t>
  </si>
  <si>
    <t>ERABLUE KH HASYIM ASHARI TANGERANG</t>
  </si>
  <si>
    <t>ERABLUE CEGER RAYA TANGERANG</t>
  </si>
  <si>
    <t>ERABLUE PUSPITEK SERPONG</t>
  </si>
  <si>
    <t>ERABLUE MAUK TANGERANG</t>
  </si>
  <si>
    <t>ERABLUE KANO RAYA TANGERANG</t>
  </si>
  <si>
    <t>ERABLUE KRESEK BALARAJA</t>
  </si>
  <si>
    <t>ERABLUE LEGOK KARAWACI</t>
  </si>
  <si>
    <t>ERABLUE BENDA PERMAI PAMULANG</t>
  </si>
  <si>
    <t>ERABLUE PASAR KEMIS TANGERANG</t>
  </si>
  <si>
    <t>ERABLUE MAULANA HASANUDIN TANGERANG</t>
  </si>
  <si>
    <t>ERABLUE KAMPUNG MELAYU TANGERANG</t>
  </si>
  <si>
    <t>ERABLUE KRONJO TANGERANG</t>
  </si>
  <si>
    <t>ERABLUE KRESEK SUKAMULYA</t>
  </si>
  <si>
    <t>ERABLUE MAUK JATIWARINGIN TGR</t>
  </si>
  <si>
    <t>ERABLUE TAMAN CIBODAS TANGERANG</t>
  </si>
  <si>
    <t>ERABLUE KAMPUNG KECIL JAKBAR</t>
  </si>
  <si>
    <t>ERABLUE PAHLAWAN REMPOA</t>
  </si>
  <si>
    <t>ERABLUE RAWA BELONG JAKBAR</t>
  </si>
  <si>
    <t>ERABLUE CILEDUG RAYA TANGERANG</t>
  </si>
  <si>
    <t>SPECIAL STORE EDC</t>
  </si>
  <si>
    <t>ERABLUE MAUK SUKAMANAH TGR</t>
  </si>
  <si>
    <t>ERABLUE WR SUPRATMAN TANGSEL</t>
  </si>
  <si>
    <t>ERABLUE MALIOBORO KALIDERES</t>
  </si>
  <si>
    <t>ERABLUE LINGKAR SELATAN SERANG</t>
  </si>
  <si>
    <t>ERABLUE WARUNG JAUD SERANG</t>
  </si>
  <si>
    <t>ERABLUE PERIUK TANGERANG</t>
  </si>
  <si>
    <t>ERABLUE KARANG TANJUNG PANDEGLANG</t>
  </si>
  <si>
    <t>ERABLUE DI PANJAITAN CILEGON</t>
  </si>
  <si>
    <t>XIAOMI STORE GRAND INDONESIA</t>
  </si>
  <si>
    <t>1MULTIBRAND</t>
  </si>
  <si>
    <t>Active</t>
  </si>
  <si>
    <t>TANGERANG</t>
  </si>
  <si>
    <t>JAKARTA BARAT</t>
  </si>
  <si>
    <t>JAKARTA PUSAT</t>
  </si>
  <si>
    <t>KAB.TANGERANG</t>
  </si>
  <si>
    <t>TANGERANG SELATAN</t>
  </si>
  <si>
    <t>BANTEN</t>
  </si>
  <si>
    <t>Closed</t>
  </si>
  <si>
    <t>8HUAWEI STORE</t>
  </si>
  <si>
    <t>4Mi Store</t>
  </si>
  <si>
    <t>3NASA</t>
  </si>
  <si>
    <t>2IBOX</t>
  </si>
  <si>
    <t>9HONOR STORE</t>
  </si>
  <si>
    <t>6OS</t>
  </si>
  <si>
    <t>5JB</t>
  </si>
  <si>
    <t>7ERABLUE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</si>
</sst>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3" fillId="2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4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vertic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2" xfId="0" applyBorder="1"/>
    <xf numFmtId="3" fontId="0" fillId="0" borderId="2" xfId="0" applyNumberFormat="1" applyBorder="1" applyAlignment="1">
      <alignment horizontal="center" vertical="center"/>
    </xf>
    <xf numFmtId="9" fontId="0" fillId="0" borderId="2" xfId="1" applyFont="1" applyBorder="1" applyAlignment="1">
      <alignment horizontal="center" vertical="center"/>
    </xf>
    <xf numFmtId="3" fontId="2" fillId="4" borderId="2" xfId="0" applyNumberFormat="1" applyFont="1" applyFill="1" applyBorder="1" applyAlignment="1">
      <alignment horizontal="center" vertical="center"/>
    </xf>
    <xf numFmtId="9" fontId="2" fillId="4" borderId="2" xfId="1" applyFont="1" applyFill="1" applyBorder="1" applyAlignment="1">
      <alignment horizontal="center" vertical="center"/>
    </xf>
    <xf numFmtId="9" fontId="3" fillId="0" borderId="2" xfId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9" fontId="0" fillId="0" borderId="2" xfId="1" applyFont="1" applyFill="1" applyBorder="1" applyAlignment="1">
      <alignment horizontal="center" vertical="center"/>
    </xf>
    <xf numFmtId="9" fontId="3" fillId="0" borderId="2" xfId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95BDE9DF-EFFD-4ACF-92D5-2706100FB28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FE6FC-1556-4B34-BC60-B9DDAF8C6D53}">
  <dimension ref="A1:V38"/>
  <sheetViews>
    <sheetView showGridLines="0" tabSelected="1" zoomScale="70" zoomScaleNormal="70" workbookViewId="0">
      <pane ySplit="4" topLeftCell="A5" activePane="bottomLeft" state="frozen"/>
      <selection activeCell="J6" sqref="J6"/>
      <selection pane="bottomLeft" activeCell="J6" sqref="J6"/>
    </sheetView>
  </sheetViews>
  <sheetFormatPr defaultRowHeight="15.05" x14ac:dyDescent="0.3"/>
  <cols>
    <col min="1" max="1" width="10.33203125" bestFit="1" customWidth="1"/>
    <col min="2" max="2" width="41.109375" customWidth="1"/>
    <col min="3" max="3" width="15.109375" bestFit="1" customWidth="1"/>
    <col min="4" max="4" width="23" bestFit="1" customWidth="1"/>
    <col min="5" max="6" width="23" customWidth="1"/>
    <col min="7" max="7" width="19.44140625" bestFit="1" customWidth="1"/>
    <col min="8" max="8" width="19.44140625" customWidth="1"/>
    <col min="9" max="13" width="18" customWidth="1"/>
    <col min="16" max="16" width="25.88671875" customWidth="1"/>
    <col min="17" max="22" width="15.109375" customWidth="1"/>
  </cols>
  <sheetData>
    <row r="1" spans="1:22" x14ac:dyDescent="0.3">
      <c r="A1" s="1">
        <v>25</v>
      </c>
      <c r="B1" s="1">
        <v>31</v>
      </c>
    </row>
    <row r="3" spans="1:22" s="3" customFormat="1" ht="23.5" customHeight="1" x14ac:dyDescent="0.3">
      <c r="A3" s="2" t="str">
        <f>"OPPO CLIMBER (01 - "&amp;A1&amp;" MEI 2026)"</f>
        <v>OPPO CLIMBER (01 - 25 MEI 2026)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P3" s="2" t="str">
        <f>A3</f>
        <v>OPPO CLIMBER (01 - 25 MEI 2026)</v>
      </c>
      <c r="Q3" s="2"/>
      <c r="R3" s="2"/>
      <c r="S3" s="2"/>
      <c r="T3" s="2"/>
      <c r="U3" s="2"/>
      <c r="V3" s="2"/>
    </row>
    <row r="4" spans="1:22" s="3" customFormat="1" ht="29.45" customHeight="1" x14ac:dyDescent="0.3">
      <c r="A4" s="4" t="s">
        <v>0</v>
      </c>
      <c r="B4" s="5" t="s">
        <v>1</v>
      </c>
      <c r="C4" s="5" t="s">
        <v>2</v>
      </c>
      <c r="D4" s="5" t="s">
        <v>3</v>
      </c>
      <c r="E4" s="5" t="s">
        <v>4</v>
      </c>
      <c r="F4" s="5" t="s">
        <v>5</v>
      </c>
      <c r="G4" s="5" t="s">
        <v>6</v>
      </c>
      <c r="H4" s="6" t="s">
        <v>7</v>
      </c>
      <c r="I4" s="6" t="s">
        <v>8</v>
      </c>
      <c r="J4" s="6" t="s">
        <v>9</v>
      </c>
      <c r="K4" s="6" t="s">
        <v>10</v>
      </c>
      <c r="L4" s="6" t="s">
        <v>11</v>
      </c>
      <c r="M4" s="6" t="s">
        <v>12</v>
      </c>
      <c r="P4" s="7" t="s">
        <v>2</v>
      </c>
      <c r="Q4" s="6" t="s">
        <v>7</v>
      </c>
      <c r="R4" s="6" t="s">
        <v>8</v>
      </c>
      <c r="S4" s="6" t="s">
        <v>9</v>
      </c>
      <c r="T4" s="6" t="s">
        <v>10</v>
      </c>
      <c r="U4" s="6" t="s">
        <v>11</v>
      </c>
      <c r="V4" s="6" t="s">
        <v>12</v>
      </c>
    </row>
    <row r="5" spans="1:22" x14ac:dyDescent="0.3">
      <c r="A5" s="8" t="s">
        <v>13</v>
      </c>
      <c r="B5" s="9" t="s">
        <v>332</v>
      </c>
      <c r="C5" s="9" t="s">
        <v>16</v>
      </c>
      <c r="D5" s="9" t="s">
        <v>22</v>
      </c>
      <c r="E5" s="9" t="s">
        <v>616</v>
      </c>
      <c r="F5" s="9" t="s">
        <v>617</v>
      </c>
      <c r="G5" s="9" t="s">
        <v>618</v>
      </c>
      <c r="H5" s="10">
        <v>402278367</v>
      </c>
      <c r="I5" s="10">
        <v>428843845.476762</v>
      </c>
      <c r="J5" s="10">
        <v>269386493</v>
      </c>
      <c r="K5" s="10">
        <f t="shared" ref="K5:K36" si="0">IFERROR((J5/$A$1*$B$1),0)</f>
        <v>334039251.31999999</v>
      </c>
      <c r="L5" s="11">
        <f t="shared" ref="L5:L37" si="1">IFERROR((K5/I5),0)</f>
        <v>0.77892980123950684</v>
      </c>
      <c r="M5" s="11">
        <f t="shared" ref="M5:M37" si="2">IFERROR((K5-H5)/H5,0)</f>
        <v>-0.16963158170521261</v>
      </c>
      <c r="P5" s="9" t="s">
        <v>14</v>
      </c>
      <c r="Q5" s="10">
        <f t="shared" ref="Q5:T6" si="3">SUMIF($C:$C,$P5,H:H)</f>
        <v>2522072920</v>
      </c>
      <c r="R5" s="10">
        <f t="shared" si="3"/>
        <v>3072254195.473238</v>
      </c>
      <c r="S5" s="10">
        <f t="shared" si="3"/>
        <v>1857891914</v>
      </c>
      <c r="T5" s="10">
        <f t="shared" si="3"/>
        <v>2303785973.3600001</v>
      </c>
      <c r="U5" s="11">
        <f>IFERROR((T5/R5),0)</f>
        <v>0.74986828132726624</v>
      </c>
      <c r="V5" s="11">
        <f>IFERROR((T5-Q5)/Q5,0)</f>
        <v>-8.6550608790486469E-2</v>
      </c>
    </row>
    <row r="6" spans="1:22" x14ac:dyDescent="0.3">
      <c r="A6" s="8" t="s">
        <v>15</v>
      </c>
      <c r="B6" s="9" t="s">
        <v>333</v>
      </c>
      <c r="C6" s="9" t="s">
        <v>14</v>
      </c>
      <c r="D6" s="9" t="s">
        <v>24</v>
      </c>
      <c r="E6" s="9" t="s">
        <v>616</v>
      </c>
      <c r="F6" s="9" t="s">
        <v>617</v>
      </c>
      <c r="G6" s="9" t="s">
        <v>619</v>
      </c>
      <c r="H6" s="10">
        <v>286633319</v>
      </c>
      <c r="I6" s="10">
        <v>352337306.07233</v>
      </c>
      <c r="J6" s="10">
        <v>235863967</v>
      </c>
      <c r="K6" s="10">
        <f t="shared" si="0"/>
        <v>292471319.07999998</v>
      </c>
      <c r="L6" s="11">
        <f t="shared" si="1"/>
        <v>0.83008899154141702</v>
      </c>
      <c r="M6" s="11">
        <f t="shared" si="2"/>
        <v>2.0367485888826427E-2</v>
      </c>
      <c r="P6" s="9" t="s">
        <v>16</v>
      </c>
      <c r="Q6" s="10">
        <f t="shared" si="3"/>
        <v>3644199045</v>
      </c>
      <c r="R6" s="10">
        <f t="shared" si="3"/>
        <v>3837211604.1775107</v>
      </c>
      <c r="S6" s="10">
        <f t="shared" si="3"/>
        <v>2453787418</v>
      </c>
      <c r="T6" s="10">
        <f t="shared" si="3"/>
        <v>3042696398.3200002</v>
      </c>
      <c r="U6" s="11">
        <f>IFERROR((T6/R6),0)</f>
        <v>0.79294464631751493</v>
      </c>
      <c r="V6" s="11">
        <f>IFERROR((T6-Q6)/Q6,0)</f>
        <v>-0.16505757211733199</v>
      </c>
    </row>
    <row r="7" spans="1:22" x14ac:dyDescent="0.3">
      <c r="A7" s="8" t="s">
        <v>17</v>
      </c>
      <c r="B7" s="9" t="s">
        <v>334</v>
      </c>
      <c r="C7" s="9" t="s">
        <v>14</v>
      </c>
      <c r="D7" s="9" t="s">
        <v>24</v>
      </c>
      <c r="E7" s="9" t="s">
        <v>616</v>
      </c>
      <c r="F7" s="9" t="s">
        <v>617</v>
      </c>
      <c r="G7" s="9" t="s">
        <v>619</v>
      </c>
      <c r="H7" s="10">
        <v>274028820</v>
      </c>
      <c r="I7" s="10">
        <v>255437803.69632801</v>
      </c>
      <c r="J7" s="10">
        <v>177891892</v>
      </c>
      <c r="K7" s="10">
        <f t="shared" si="0"/>
        <v>220585946.07999998</v>
      </c>
      <c r="L7" s="11">
        <f t="shared" si="1"/>
        <v>0.86356029878114304</v>
      </c>
      <c r="M7" s="11">
        <f t="shared" si="2"/>
        <v>-0.19502647174118407</v>
      </c>
      <c r="P7" s="4" t="s">
        <v>18</v>
      </c>
      <c r="Q7" s="12">
        <f t="shared" ref="Q7:T7" si="4">SUM(Q5:Q6)</f>
        <v>6166271965</v>
      </c>
      <c r="R7" s="12">
        <f t="shared" si="4"/>
        <v>6909465799.6507492</v>
      </c>
      <c r="S7" s="12">
        <f t="shared" si="4"/>
        <v>4311679332</v>
      </c>
      <c r="T7" s="12">
        <f t="shared" si="4"/>
        <v>5346482371.6800003</v>
      </c>
      <c r="U7" s="13">
        <f>IFERROR((T7/R7),0)</f>
        <v>0.77379098858123696</v>
      </c>
      <c r="V7" s="14">
        <f>IFERROR((T7-Q7)/Q7,0)</f>
        <v>-0.13294736235656771</v>
      </c>
    </row>
    <row r="8" spans="1:22" x14ac:dyDescent="0.3">
      <c r="A8" s="8" t="s">
        <v>19</v>
      </c>
      <c r="B8" s="9" t="s">
        <v>335</v>
      </c>
      <c r="C8" s="9" t="s">
        <v>14</v>
      </c>
      <c r="D8" s="9" t="s">
        <v>26</v>
      </c>
      <c r="E8" s="9" t="s">
        <v>616</v>
      </c>
      <c r="F8" s="9" t="s">
        <v>617</v>
      </c>
      <c r="G8" s="9" t="s">
        <v>619</v>
      </c>
      <c r="H8" s="10">
        <v>246568459</v>
      </c>
      <c r="I8" s="10">
        <v>254475905.23129699</v>
      </c>
      <c r="J8" s="10">
        <v>197412615</v>
      </c>
      <c r="K8" s="10">
        <f t="shared" si="0"/>
        <v>244791642.59999999</v>
      </c>
      <c r="L8" s="11">
        <f t="shared" si="1"/>
        <v>0.96194428457776848</v>
      </c>
      <c r="M8" s="11">
        <f t="shared" si="2"/>
        <v>-7.206178791911118E-3</v>
      </c>
    </row>
    <row r="9" spans="1:22" x14ac:dyDescent="0.3">
      <c r="A9" s="8" t="s">
        <v>20</v>
      </c>
      <c r="B9" s="9" t="s">
        <v>336</v>
      </c>
      <c r="C9" s="9" t="s">
        <v>14</v>
      </c>
      <c r="D9" s="9" t="s">
        <v>28</v>
      </c>
      <c r="E9" s="9" t="s">
        <v>616</v>
      </c>
      <c r="F9" s="9" t="s">
        <v>617</v>
      </c>
      <c r="G9" s="9" t="s">
        <v>620</v>
      </c>
      <c r="H9" s="10">
        <v>211851359</v>
      </c>
      <c r="I9" s="10">
        <v>211293253.001928</v>
      </c>
      <c r="J9" s="10">
        <v>81042343</v>
      </c>
      <c r="K9" s="10">
        <f t="shared" si="0"/>
        <v>100492505.32000001</v>
      </c>
      <c r="L9" s="11">
        <f t="shared" si="1"/>
        <v>0.47560678768613135</v>
      </c>
      <c r="M9" s="11">
        <f t="shared" si="2"/>
        <v>-0.52564616156179578</v>
      </c>
      <c r="P9" s="7" t="s">
        <v>3</v>
      </c>
      <c r="Q9" s="6" t="s">
        <v>7</v>
      </c>
      <c r="R9" s="6" t="s">
        <v>8</v>
      </c>
      <c r="S9" s="6" t="s">
        <v>9</v>
      </c>
      <c r="T9" s="6" t="s">
        <v>10</v>
      </c>
      <c r="U9" s="6" t="s">
        <v>11</v>
      </c>
      <c r="V9" s="6" t="s">
        <v>12</v>
      </c>
    </row>
    <row r="10" spans="1:22" x14ac:dyDescent="0.3">
      <c r="A10" s="8" t="s">
        <v>21</v>
      </c>
      <c r="B10" s="9" t="s">
        <v>337</v>
      </c>
      <c r="C10" s="9" t="s">
        <v>14</v>
      </c>
      <c r="D10" s="9" t="s">
        <v>30</v>
      </c>
      <c r="E10" s="9" t="s">
        <v>616</v>
      </c>
      <c r="F10" s="9" t="s">
        <v>617</v>
      </c>
      <c r="G10" s="9" t="s">
        <v>620</v>
      </c>
      <c r="H10" s="10">
        <v>267014410</v>
      </c>
      <c r="I10" s="10">
        <v>190913117.482081</v>
      </c>
      <c r="J10" s="10">
        <v>164410813</v>
      </c>
      <c r="K10" s="10">
        <f t="shared" si="0"/>
        <v>203869408.11999997</v>
      </c>
      <c r="L10" s="11">
        <f t="shared" si="1"/>
        <v>1.0678648529173751</v>
      </c>
      <c r="M10" s="11">
        <f t="shared" si="2"/>
        <v>-0.23648537125767866</v>
      </c>
      <c r="P10" s="9" t="s">
        <v>22</v>
      </c>
      <c r="Q10" s="10">
        <f t="shared" ref="Q10:T21" si="5">SUMIF($D:$D,$P10,H:H)</f>
        <v>674218889</v>
      </c>
      <c r="R10" s="10">
        <f t="shared" si="5"/>
        <v>621747080.01663899</v>
      </c>
      <c r="S10" s="10">
        <f t="shared" si="5"/>
        <v>352878388</v>
      </c>
      <c r="T10" s="10">
        <f t="shared" si="5"/>
        <v>437569201.12</v>
      </c>
      <c r="U10" s="11">
        <f t="shared" ref="U10:U22" si="6">IFERROR((T10/R10),0)</f>
        <v>0.70377363269368298</v>
      </c>
      <c r="V10" s="11">
        <f t="shared" ref="V10:V22" si="7">IFERROR((T10-Q10)/Q10,0)</f>
        <v>-0.35099830595223802</v>
      </c>
    </row>
    <row r="11" spans="1:22" x14ac:dyDescent="0.3">
      <c r="A11" s="8" t="s">
        <v>23</v>
      </c>
      <c r="B11" s="9" t="s">
        <v>338</v>
      </c>
      <c r="C11" s="9" t="s">
        <v>14</v>
      </c>
      <c r="D11" s="9" t="s">
        <v>32</v>
      </c>
      <c r="E11" s="9" t="s">
        <v>616</v>
      </c>
      <c r="F11" s="9" t="s">
        <v>617</v>
      </c>
      <c r="G11" s="9" t="s">
        <v>619</v>
      </c>
      <c r="H11" s="10">
        <v>118870268</v>
      </c>
      <c r="I11" s="10">
        <v>299072705.95347601</v>
      </c>
      <c r="J11" s="10">
        <v>247849550</v>
      </c>
      <c r="K11" s="10">
        <f t="shared" si="0"/>
        <v>307333442</v>
      </c>
      <c r="L11" s="11">
        <f t="shared" si="1"/>
        <v>1.0276211632893342</v>
      </c>
      <c r="M11" s="11">
        <f t="shared" si="2"/>
        <v>1.5854525876899681</v>
      </c>
      <c r="P11" s="9" t="s">
        <v>24</v>
      </c>
      <c r="Q11" s="10">
        <f t="shared" si="5"/>
        <v>690624293</v>
      </c>
      <c r="R11" s="10">
        <f t="shared" si="5"/>
        <v>775327397.90632606</v>
      </c>
      <c r="S11" s="10">
        <f t="shared" si="5"/>
        <v>531931534</v>
      </c>
      <c r="T11" s="10">
        <f t="shared" si="5"/>
        <v>659595102.15999997</v>
      </c>
      <c r="U11" s="11">
        <f t="shared" si="6"/>
        <v>0.85073106398813381</v>
      </c>
      <c r="V11" s="11">
        <f t="shared" si="7"/>
        <v>-4.4929191102172875E-2</v>
      </c>
    </row>
    <row r="12" spans="1:22" x14ac:dyDescent="0.3">
      <c r="A12" s="8" t="s">
        <v>25</v>
      </c>
      <c r="B12" s="9" t="s">
        <v>339</v>
      </c>
      <c r="C12" s="9" t="s">
        <v>14</v>
      </c>
      <c r="D12" s="9" t="s">
        <v>26</v>
      </c>
      <c r="E12" s="9" t="s">
        <v>616</v>
      </c>
      <c r="F12" s="9" t="s">
        <v>617</v>
      </c>
      <c r="G12" s="9" t="s">
        <v>619</v>
      </c>
      <c r="H12" s="10">
        <v>184228828</v>
      </c>
      <c r="I12" s="10">
        <v>169927278.702052</v>
      </c>
      <c r="J12" s="10">
        <v>125631533</v>
      </c>
      <c r="K12" s="10">
        <f t="shared" si="0"/>
        <v>155783100.92000002</v>
      </c>
      <c r="L12" s="11">
        <f t="shared" si="1"/>
        <v>0.91676334788570246</v>
      </c>
      <c r="M12" s="11">
        <f t="shared" si="2"/>
        <v>-0.15440432091333711</v>
      </c>
      <c r="P12" s="9" t="s">
        <v>26</v>
      </c>
      <c r="Q12" s="10">
        <f t="shared" si="5"/>
        <v>430797287</v>
      </c>
      <c r="R12" s="10">
        <f t="shared" si="5"/>
        <v>424403183.93334901</v>
      </c>
      <c r="S12" s="10">
        <f t="shared" si="5"/>
        <v>323044148</v>
      </c>
      <c r="T12" s="10">
        <f t="shared" si="5"/>
        <v>400574743.51999998</v>
      </c>
      <c r="U12" s="11">
        <f t="shared" si="6"/>
        <v>0.94385423739636409</v>
      </c>
      <c r="V12" s="11">
        <f t="shared" si="7"/>
        <v>-7.0154906709057385E-2</v>
      </c>
    </row>
    <row r="13" spans="1:22" x14ac:dyDescent="0.3">
      <c r="A13" s="8" t="s">
        <v>27</v>
      </c>
      <c r="B13" s="9" t="s">
        <v>340</v>
      </c>
      <c r="C13" s="9" t="s">
        <v>14</v>
      </c>
      <c r="D13" s="9" t="s">
        <v>24</v>
      </c>
      <c r="E13" s="9" t="s">
        <v>616</v>
      </c>
      <c r="F13" s="9" t="s">
        <v>617</v>
      </c>
      <c r="G13" s="9" t="s">
        <v>619</v>
      </c>
      <c r="H13" s="10">
        <v>129962154</v>
      </c>
      <c r="I13" s="10">
        <v>167552288.13766801</v>
      </c>
      <c r="J13" s="10">
        <v>118175675</v>
      </c>
      <c r="K13" s="10">
        <f t="shared" si="0"/>
        <v>146537837</v>
      </c>
      <c r="L13" s="11">
        <f t="shared" si="1"/>
        <v>0.87457974241210212</v>
      </c>
      <c r="M13" s="11">
        <f t="shared" si="2"/>
        <v>0.12754238437753193</v>
      </c>
      <c r="P13" s="9" t="s">
        <v>28</v>
      </c>
      <c r="Q13" s="10">
        <f t="shared" si="5"/>
        <v>299305409</v>
      </c>
      <c r="R13" s="10">
        <f t="shared" si="5"/>
        <v>405343799.97314501</v>
      </c>
      <c r="S13" s="10">
        <f t="shared" si="5"/>
        <v>178452255</v>
      </c>
      <c r="T13" s="10">
        <f t="shared" si="5"/>
        <v>221280796.19999999</v>
      </c>
      <c r="U13" s="11">
        <f t="shared" si="6"/>
        <v>0.54590892031569338</v>
      </c>
      <c r="V13" s="11">
        <f t="shared" si="7"/>
        <v>-0.26068560892596504</v>
      </c>
    </row>
    <row r="14" spans="1:22" x14ac:dyDescent="0.3">
      <c r="A14" s="8" t="s">
        <v>29</v>
      </c>
      <c r="B14" s="9" t="s">
        <v>341</v>
      </c>
      <c r="C14" s="9" t="s">
        <v>16</v>
      </c>
      <c r="D14" s="9" t="s">
        <v>34</v>
      </c>
      <c r="E14" s="9" t="s">
        <v>616</v>
      </c>
      <c r="F14" s="9" t="s">
        <v>617</v>
      </c>
      <c r="G14" s="9" t="s">
        <v>621</v>
      </c>
      <c r="H14" s="10">
        <v>267403595</v>
      </c>
      <c r="I14" s="10">
        <v>211938999.614023</v>
      </c>
      <c r="J14" s="10">
        <v>135658560</v>
      </c>
      <c r="K14" s="10">
        <f t="shared" si="0"/>
        <v>168216614.40000001</v>
      </c>
      <c r="L14" s="11">
        <f t="shared" si="1"/>
        <v>0.79370297447072558</v>
      </c>
      <c r="M14" s="11">
        <f t="shared" si="2"/>
        <v>-0.37092612984503814</v>
      </c>
      <c r="P14" s="9" t="s">
        <v>30</v>
      </c>
      <c r="Q14" s="10">
        <f t="shared" si="5"/>
        <v>697584681</v>
      </c>
      <c r="R14" s="10">
        <f t="shared" si="5"/>
        <v>784379777.84099698</v>
      </c>
      <c r="S14" s="10">
        <f t="shared" si="5"/>
        <v>349453159</v>
      </c>
      <c r="T14" s="10">
        <f t="shared" si="5"/>
        <v>433321917.15999997</v>
      </c>
      <c r="U14" s="11">
        <f t="shared" si="6"/>
        <v>0.55243891977011095</v>
      </c>
      <c r="V14" s="11">
        <f t="shared" si="7"/>
        <v>-0.37882535416513829</v>
      </c>
    </row>
    <row r="15" spans="1:22" x14ac:dyDescent="0.3">
      <c r="A15" s="8" t="s">
        <v>31</v>
      </c>
      <c r="B15" s="9" t="s">
        <v>342</v>
      </c>
      <c r="C15" s="9" t="s">
        <v>14</v>
      </c>
      <c r="D15" s="9" t="s">
        <v>32</v>
      </c>
      <c r="E15" s="9" t="s">
        <v>616</v>
      </c>
      <c r="F15" s="9" t="s">
        <v>617</v>
      </c>
      <c r="G15" s="9" t="s">
        <v>619</v>
      </c>
      <c r="H15" s="10">
        <v>95453153</v>
      </c>
      <c r="I15" s="10">
        <v>101482850.172359</v>
      </c>
      <c r="J15" s="10">
        <v>44806306</v>
      </c>
      <c r="K15" s="10">
        <f t="shared" si="0"/>
        <v>55559819.439999998</v>
      </c>
      <c r="L15" s="11">
        <f t="shared" si="1"/>
        <v>0.54747988793807933</v>
      </c>
      <c r="M15" s="11">
        <f t="shared" si="2"/>
        <v>-0.41793625779967691</v>
      </c>
      <c r="P15" s="9" t="s">
        <v>32</v>
      </c>
      <c r="Q15" s="10">
        <f t="shared" si="5"/>
        <v>403761250</v>
      </c>
      <c r="R15" s="10">
        <f t="shared" si="5"/>
        <v>682800035.81942105</v>
      </c>
      <c r="S15" s="10">
        <f t="shared" si="5"/>
        <v>475010818</v>
      </c>
      <c r="T15" s="10">
        <f t="shared" si="5"/>
        <v>589013414.32000005</v>
      </c>
      <c r="U15" s="11">
        <f t="shared" si="6"/>
        <v>0.86264408819652638</v>
      </c>
      <c r="V15" s="11">
        <f t="shared" si="7"/>
        <v>0.45881610560696462</v>
      </c>
    </row>
    <row r="16" spans="1:22" x14ac:dyDescent="0.3">
      <c r="A16" s="8" t="s">
        <v>33</v>
      </c>
      <c r="B16" s="9" t="s">
        <v>343</v>
      </c>
      <c r="C16" s="9" t="s">
        <v>16</v>
      </c>
      <c r="D16" s="9" t="s">
        <v>36</v>
      </c>
      <c r="E16" s="9" t="s">
        <v>616</v>
      </c>
      <c r="F16" s="9" t="s">
        <v>617</v>
      </c>
      <c r="G16" s="9" t="s">
        <v>622</v>
      </c>
      <c r="H16" s="10">
        <v>119993693</v>
      </c>
      <c r="I16" s="10">
        <v>88343999.848626003</v>
      </c>
      <c r="J16" s="10">
        <v>76781082</v>
      </c>
      <c r="K16" s="10">
        <f t="shared" si="0"/>
        <v>95208541.679999992</v>
      </c>
      <c r="L16" s="11">
        <f t="shared" si="1"/>
        <v>1.0777024115178859</v>
      </c>
      <c r="M16" s="11">
        <f t="shared" si="2"/>
        <v>-0.20655378378928638</v>
      </c>
      <c r="P16" s="9" t="s">
        <v>34</v>
      </c>
      <c r="Q16" s="10">
        <f t="shared" si="5"/>
        <v>547936922</v>
      </c>
      <c r="R16" s="10">
        <f t="shared" si="5"/>
        <v>624640090.32628798</v>
      </c>
      <c r="S16" s="10">
        <f t="shared" si="5"/>
        <v>403854959</v>
      </c>
      <c r="T16" s="10">
        <f t="shared" si="5"/>
        <v>500780149.15999997</v>
      </c>
      <c r="U16" s="11">
        <f t="shared" si="6"/>
        <v>0.80170990769806605</v>
      </c>
      <c r="V16" s="11">
        <f t="shared" si="7"/>
        <v>-8.606241146859607E-2</v>
      </c>
    </row>
    <row r="17" spans="1:22" x14ac:dyDescent="0.3">
      <c r="A17" s="8" t="s">
        <v>35</v>
      </c>
      <c r="B17" s="9" t="s">
        <v>344</v>
      </c>
      <c r="C17" s="9" t="s">
        <v>16</v>
      </c>
      <c r="D17" s="9" t="s">
        <v>34</v>
      </c>
      <c r="E17" s="9" t="s">
        <v>616</v>
      </c>
      <c r="F17" s="9" t="s">
        <v>617</v>
      </c>
      <c r="G17" s="9" t="s">
        <v>621</v>
      </c>
      <c r="H17" s="10">
        <v>87828820</v>
      </c>
      <c r="I17" s="10">
        <v>143371052.69333699</v>
      </c>
      <c r="J17" s="10">
        <v>63043245</v>
      </c>
      <c r="K17" s="10">
        <f t="shared" si="0"/>
        <v>78173623.799999997</v>
      </c>
      <c r="L17" s="11">
        <f t="shared" si="1"/>
        <v>0.54525388724883816</v>
      </c>
      <c r="M17" s="11">
        <f t="shared" si="2"/>
        <v>-0.10993198132458119</v>
      </c>
      <c r="P17" s="9" t="s">
        <v>36</v>
      </c>
      <c r="Q17" s="10">
        <f t="shared" si="5"/>
        <v>285217116</v>
      </c>
      <c r="R17" s="10">
        <f t="shared" si="5"/>
        <v>257299879.68909699</v>
      </c>
      <c r="S17" s="10">
        <f t="shared" si="5"/>
        <v>183963969</v>
      </c>
      <c r="T17" s="10">
        <f t="shared" si="5"/>
        <v>228115321.56</v>
      </c>
      <c r="U17" s="11">
        <f t="shared" si="6"/>
        <v>0.88657375913132352</v>
      </c>
      <c r="V17" s="11">
        <f t="shared" si="7"/>
        <v>-0.20020465545973753</v>
      </c>
    </row>
    <row r="18" spans="1:22" x14ac:dyDescent="0.3">
      <c r="A18" s="8" t="s">
        <v>37</v>
      </c>
      <c r="B18" s="9" t="s">
        <v>345</v>
      </c>
      <c r="C18" s="9" t="s">
        <v>16</v>
      </c>
      <c r="D18" s="9" t="s">
        <v>38</v>
      </c>
      <c r="E18" s="9" t="s">
        <v>616</v>
      </c>
      <c r="F18" s="9" t="s">
        <v>617</v>
      </c>
      <c r="G18" s="9" t="s">
        <v>621</v>
      </c>
      <c r="H18" s="10">
        <v>546339647</v>
      </c>
      <c r="I18" s="10">
        <v>533706807.97260398</v>
      </c>
      <c r="J18" s="10">
        <v>381690995</v>
      </c>
      <c r="K18" s="10">
        <f t="shared" si="0"/>
        <v>473296833.80000001</v>
      </c>
      <c r="L18" s="11">
        <f t="shared" si="1"/>
        <v>0.88681056102303846</v>
      </c>
      <c r="M18" s="11">
        <f t="shared" si="2"/>
        <v>-0.13369487936869423</v>
      </c>
      <c r="P18" s="9" t="s">
        <v>38</v>
      </c>
      <c r="Q18" s="10">
        <f t="shared" si="5"/>
        <v>790917133</v>
      </c>
      <c r="R18" s="10">
        <f t="shared" si="5"/>
        <v>894757896.60921097</v>
      </c>
      <c r="S18" s="10">
        <f t="shared" si="5"/>
        <v>669015322</v>
      </c>
      <c r="T18" s="10">
        <f t="shared" si="5"/>
        <v>829578999.27999997</v>
      </c>
      <c r="U18" s="11">
        <f t="shared" si="6"/>
        <v>0.92715471126187987</v>
      </c>
      <c r="V18" s="11">
        <f t="shared" si="7"/>
        <v>4.8882322391162525E-2</v>
      </c>
    </row>
    <row r="19" spans="1:22" x14ac:dyDescent="0.3">
      <c r="A19" s="8" t="s">
        <v>39</v>
      </c>
      <c r="B19" s="9" t="s">
        <v>346</v>
      </c>
      <c r="C19" s="9" t="s">
        <v>16</v>
      </c>
      <c r="D19" s="9" t="s">
        <v>38</v>
      </c>
      <c r="E19" s="9" t="s">
        <v>616</v>
      </c>
      <c r="F19" s="9" t="s">
        <v>617</v>
      </c>
      <c r="G19" s="9" t="s">
        <v>621</v>
      </c>
      <c r="H19" s="10">
        <v>244577486</v>
      </c>
      <c r="I19" s="10">
        <v>361051088.63660699</v>
      </c>
      <c r="J19" s="10">
        <v>287324327</v>
      </c>
      <c r="K19" s="10">
        <f t="shared" si="0"/>
        <v>356282165.48000002</v>
      </c>
      <c r="L19" s="11">
        <f t="shared" si="1"/>
        <v>0.98679155580276667</v>
      </c>
      <c r="M19" s="11">
        <f t="shared" si="2"/>
        <v>0.45672511115761499</v>
      </c>
      <c r="P19" s="9" t="s">
        <v>40</v>
      </c>
      <c r="Q19" s="10">
        <f t="shared" si="5"/>
        <v>750393693</v>
      </c>
      <c r="R19" s="10">
        <f t="shared" si="5"/>
        <v>761794882.8218509</v>
      </c>
      <c r="S19" s="10">
        <f t="shared" si="5"/>
        <v>381708107</v>
      </c>
      <c r="T19" s="10">
        <f t="shared" si="5"/>
        <v>473318052.68000001</v>
      </c>
      <c r="U19" s="11">
        <f t="shared" si="6"/>
        <v>0.62131954854662308</v>
      </c>
      <c r="V19" s="11">
        <f t="shared" si="7"/>
        <v>-0.36924036396451959</v>
      </c>
    </row>
    <row r="20" spans="1:22" x14ac:dyDescent="0.3">
      <c r="A20" s="8" t="s">
        <v>41</v>
      </c>
      <c r="B20" s="9" t="s">
        <v>347</v>
      </c>
      <c r="C20" s="9" t="s">
        <v>14</v>
      </c>
      <c r="D20" s="9" t="s">
        <v>32</v>
      </c>
      <c r="E20" s="9" t="s">
        <v>616</v>
      </c>
      <c r="F20" s="9" t="s">
        <v>617</v>
      </c>
      <c r="G20" s="9" t="s">
        <v>619</v>
      </c>
      <c r="H20" s="10">
        <v>189437829</v>
      </c>
      <c r="I20" s="10">
        <v>282244479.69358599</v>
      </c>
      <c r="J20" s="10">
        <v>182354962</v>
      </c>
      <c r="K20" s="10">
        <f t="shared" si="0"/>
        <v>226120152.88000003</v>
      </c>
      <c r="L20" s="11">
        <f t="shared" si="1"/>
        <v>0.80114995738971972</v>
      </c>
      <c r="M20" s="11">
        <f t="shared" si="2"/>
        <v>0.19363779702099534</v>
      </c>
      <c r="P20" s="9" t="s">
        <v>42</v>
      </c>
      <c r="Q20" s="10">
        <f t="shared" si="5"/>
        <v>177194582</v>
      </c>
      <c r="R20" s="10">
        <f t="shared" si="5"/>
        <v>173109115.093059</v>
      </c>
      <c r="S20" s="10">
        <f t="shared" si="5"/>
        <v>94025230</v>
      </c>
      <c r="T20" s="10">
        <f t="shared" si="5"/>
        <v>116591285.2</v>
      </c>
      <c r="U20" s="11">
        <f t="shared" si="6"/>
        <v>0.67351326437850212</v>
      </c>
      <c r="V20" s="11">
        <f t="shared" si="7"/>
        <v>-0.34201551828486493</v>
      </c>
    </row>
    <row r="21" spans="1:22" x14ac:dyDescent="0.3">
      <c r="A21" s="8" t="s">
        <v>43</v>
      </c>
      <c r="B21" s="9" t="s">
        <v>348</v>
      </c>
      <c r="C21" s="9" t="s">
        <v>16</v>
      </c>
      <c r="D21" s="9" t="s">
        <v>40</v>
      </c>
      <c r="E21" s="9" t="s">
        <v>616</v>
      </c>
      <c r="F21" s="9" t="s">
        <v>617</v>
      </c>
      <c r="G21" s="9" t="s">
        <v>623</v>
      </c>
      <c r="H21" s="10">
        <v>216416219</v>
      </c>
      <c r="I21" s="10">
        <v>182755293.703578</v>
      </c>
      <c r="J21" s="10">
        <v>82320722</v>
      </c>
      <c r="K21" s="10">
        <f t="shared" si="0"/>
        <v>102077695.28</v>
      </c>
      <c r="L21" s="11">
        <f t="shared" si="1"/>
        <v>0.55854850062820105</v>
      </c>
      <c r="M21" s="11">
        <f t="shared" si="2"/>
        <v>-0.52832696296205039</v>
      </c>
      <c r="P21" s="9" t="s">
        <v>44</v>
      </c>
      <c r="Q21" s="10">
        <f t="shared" si="5"/>
        <v>418320710</v>
      </c>
      <c r="R21" s="10">
        <f t="shared" si="5"/>
        <v>503862659.62136698</v>
      </c>
      <c r="S21" s="10">
        <f t="shared" si="5"/>
        <v>368341443</v>
      </c>
      <c r="T21" s="10">
        <f t="shared" si="5"/>
        <v>456743389.31999999</v>
      </c>
      <c r="U21" s="11">
        <f t="shared" si="6"/>
        <v>0.90648390111548405</v>
      </c>
      <c r="V21" s="11">
        <f t="shared" si="7"/>
        <v>9.1849813794779592E-2</v>
      </c>
    </row>
    <row r="22" spans="1:22" x14ac:dyDescent="0.3">
      <c r="A22" s="8" t="s">
        <v>45</v>
      </c>
      <c r="B22" s="9" t="s">
        <v>349</v>
      </c>
      <c r="C22" s="9" t="s">
        <v>16</v>
      </c>
      <c r="D22" s="9" t="s">
        <v>34</v>
      </c>
      <c r="E22" s="9" t="s">
        <v>616</v>
      </c>
      <c r="F22" s="9" t="s">
        <v>617</v>
      </c>
      <c r="G22" s="9" t="s">
        <v>621</v>
      </c>
      <c r="H22" s="10">
        <v>192704507</v>
      </c>
      <c r="I22" s="10">
        <v>269330038.01892799</v>
      </c>
      <c r="J22" s="10">
        <v>205153154</v>
      </c>
      <c r="K22" s="10">
        <f t="shared" si="0"/>
        <v>254389910.96000001</v>
      </c>
      <c r="L22" s="11">
        <f t="shared" si="1"/>
        <v>0.94452855251935164</v>
      </c>
      <c r="M22" s="11">
        <f t="shared" si="2"/>
        <v>0.32010358719840426</v>
      </c>
      <c r="P22" s="4" t="s">
        <v>18</v>
      </c>
      <c r="Q22" s="12">
        <f t="shared" ref="Q22:T22" si="8">SUM(Q10:Q21)</f>
        <v>6166271965</v>
      </c>
      <c r="R22" s="12">
        <f t="shared" si="8"/>
        <v>6909465799.6507492</v>
      </c>
      <c r="S22" s="12">
        <f t="shared" si="8"/>
        <v>4311679332</v>
      </c>
      <c r="T22" s="12">
        <f t="shared" si="8"/>
        <v>5346482371.6799994</v>
      </c>
      <c r="U22" s="13">
        <f t="shared" si="6"/>
        <v>0.77379098858123685</v>
      </c>
      <c r="V22" s="14">
        <f t="shared" si="7"/>
        <v>-0.13294736235656784</v>
      </c>
    </row>
    <row r="23" spans="1:22" x14ac:dyDescent="0.3">
      <c r="A23" s="8" t="s">
        <v>46</v>
      </c>
      <c r="B23" s="9" t="s">
        <v>350</v>
      </c>
      <c r="C23" s="9" t="s">
        <v>16</v>
      </c>
      <c r="D23" s="9" t="s">
        <v>22</v>
      </c>
      <c r="E23" s="9" t="s">
        <v>616</v>
      </c>
      <c r="F23" s="9" t="s">
        <v>617</v>
      </c>
      <c r="G23" s="9" t="s">
        <v>618</v>
      </c>
      <c r="H23" s="10">
        <v>271940522</v>
      </c>
      <c r="I23" s="10">
        <v>192903234.539877</v>
      </c>
      <c r="J23" s="10">
        <v>83491895</v>
      </c>
      <c r="K23" s="10">
        <f t="shared" si="0"/>
        <v>103529949.8</v>
      </c>
      <c r="L23" s="11">
        <f t="shared" si="1"/>
        <v>0.5366936954009357</v>
      </c>
      <c r="M23" s="11">
        <f t="shared" si="2"/>
        <v>-0.6192919354622699</v>
      </c>
    </row>
    <row r="24" spans="1:22" x14ac:dyDescent="0.3">
      <c r="A24" s="8" t="s">
        <v>47</v>
      </c>
      <c r="B24" s="9" t="s">
        <v>351</v>
      </c>
      <c r="C24" s="9" t="s">
        <v>16</v>
      </c>
      <c r="D24" s="9" t="s">
        <v>40</v>
      </c>
      <c r="E24" s="9" t="s">
        <v>616</v>
      </c>
      <c r="F24" s="9" t="s">
        <v>617</v>
      </c>
      <c r="G24" s="9" t="s">
        <v>623</v>
      </c>
      <c r="H24" s="10">
        <v>226409909</v>
      </c>
      <c r="I24" s="10">
        <v>254507548.909174</v>
      </c>
      <c r="J24" s="10">
        <v>173480176</v>
      </c>
      <c r="K24" s="10">
        <f t="shared" si="0"/>
        <v>215115418.24000001</v>
      </c>
      <c r="L24" s="11">
        <f t="shared" si="1"/>
        <v>0.84522215219937602</v>
      </c>
      <c r="M24" s="11">
        <f t="shared" si="2"/>
        <v>-4.9885143322061891E-2</v>
      </c>
    </row>
    <row r="25" spans="1:22" x14ac:dyDescent="0.3">
      <c r="A25" s="8" t="s">
        <v>48</v>
      </c>
      <c r="B25" s="9" t="s">
        <v>352</v>
      </c>
      <c r="C25" s="9" t="s">
        <v>16</v>
      </c>
      <c r="D25" s="9" t="s">
        <v>42</v>
      </c>
      <c r="E25" s="9" t="s">
        <v>616</v>
      </c>
      <c r="F25" s="9" t="s">
        <v>617</v>
      </c>
      <c r="G25" s="9" t="s">
        <v>618</v>
      </c>
      <c r="H25" s="10">
        <v>177194582</v>
      </c>
      <c r="I25" s="10">
        <v>173109115.093059</v>
      </c>
      <c r="J25" s="10">
        <v>94025230</v>
      </c>
      <c r="K25" s="10">
        <f t="shared" si="0"/>
        <v>116591285.2</v>
      </c>
      <c r="L25" s="11">
        <f t="shared" si="1"/>
        <v>0.67351326437850212</v>
      </c>
      <c r="M25" s="11">
        <f t="shared" si="2"/>
        <v>-0.34201551828486493</v>
      </c>
    </row>
    <row r="26" spans="1:22" x14ac:dyDescent="0.3">
      <c r="A26" s="8" t="s">
        <v>49</v>
      </c>
      <c r="B26" s="9" t="s">
        <v>353</v>
      </c>
      <c r="C26" s="9" t="s">
        <v>16</v>
      </c>
      <c r="D26" s="9" t="s">
        <v>44</v>
      </c>
      <c r="E26" s="9" t="s">
        <v>616</v>
      </c>
      <c r="F26" s="9" t="s">
        <v>617</v>
      </c>
      <c r="G26" s="9" t="s">
        <v>622</v>
      </c>
      <c r="H26" s="10">
        <v>61269372</v>
      </c>
      <c r="I26" s="10">
        <v>129710156.86194</v>
      </c>
      <c r="J26" s="10">
        <v>72997298</v>
      </c>
      <c r="K26" s="10">
        <f t="shared" si="0"/>
        <v>90516649.519999996</v>
      </c>
      <c r="L26" s="11">
        <f t="shared" si="1"/>
        <v>0.69783779242780108</v>
      </c>
      <c r="M26" s="11">
        <f t="shared" si="2"/>
        <v>0.47735559489658219</v>
      </c>
    </row>
    <row r="27" spans="1:22" x14ac:dyDescent="0.3">
      <c r="A27" s="8" t="s">
        <v>50</v>
      </c>
      <c r="B27" s="9" t="s">
        <v>354</v>
      </c>
      <c r="C27" s="9" t="s">
        <v>14</v>
      </c>
      <c r="D27" s="9" t="s">
        <v>30</v>
      </c>
      <c r="E27" s="9" t="s">
        <v>616</v>
      </c>
      <c r="F27" s="9" t="s">
        <v>617</v>
      </c>
      <c r="G27" s="9" t="s">
        <v>620</v>
      </c>
      <c r="H27" s="10">
        <v>156264865</v>
      </c>
      <c r="I27" s="10">
        <v>165478581.196778</v>
      </c>
      <c r="J27" s="10">
        <v>64082883</v>
      </c>
      <c r="K27" s="10">
        <f t="shared" si="0"/>
        <v>79462774.920000002</v>
      </c>
      <c r="L27" s="11">
        <f t="shared" si="1"/>
        <v>0.48019975966259498</v>
      </c>
      <c r="M27" s="11">
        <f t="shared" si="2"/>
        <v>-0.491486618441068</v>
      </c>
    </row>
    <row r="28" spans="1:22" x14ac:dyDescent="0.3">
      <c r="A28" s="8" t="s">
        <v>51</v>
      </c>
      <c r="B28" s="9" t="s">
        <v>355</v>
      </c>
      <c r="C28" s="9" t="s">
        <v>16</v>
      </c>
      <c r="D28" s="9" t="s">
        <v>44</v>
      </c>
      <c r="E28" s="9" t="s">
        <v>616</v>
      </c>
      <c r="F28" s="9" t="s">
        <v>617</v>
      </c>
      <c r="G28" s="9" t="s">
        <v>622</v>
      </c>
      <c r="H28" s="10">
        <v>63414416</v>
      </c>
      <c r="I28" s="10">
        <v>111612472.069741</v>
      </c>
      <c r="J28" s="10">
        <v>130231531</v>
      </c>
      <c r="K28" s="10">
        <f t="shared" si="0"/>
        <v>161487098.44</v>
      </c>
      <c r="L28" s="11">
        <f t="shared" si="1"/>
        <v>1.446855315050229</v>
      </c>
      <c r="M28" s="11">
        <f t="shared" si="2"/>
        <v>1.546536081637967</v>
      </c>
      <c r="V28" s="15"/>
    </row>
    <row r="29" spans="1:22" x14ac:dyDescent="0.3">
      <c r="A29" s="8" t="s">
        <v>52</v>
      </c>
      <c r="B29" s="9" t="s">
        <v>356</v>
      </c>
      <c r="C29" s="9" t="s">
        <v>16</v>
      </c>
      <c r="D29" s="9" t="s">
        <v>40</v>
      </c>
      <c r="E29" s="9" t="s">
        <v>616</v>
      </c>
      <c r="F29" s="9" t="s">
        <v>617</v>
      </c>
      <c r="G29" s="9" t="s">
        <v>623</v>
      </c>
      <c r="H29" s="10">
        <v>92321622</v>
      </c>
      <c r="I29" s="10">
        <v>125961983.860745</v>
      </c>
      <c r="J29" s="10">
        <v>51605408</v>
      </c>
      <c r="K29" s="10">
        <f t="shared" si="0"/>
        <v>63990705.920000002</v>
      </c>
      <c r="L29" s="11">
        <f t="shared" si="1"/>
        <v>0.50801602164938731</v>
      </c>
      <c r="M29" s="11">
        <f t="shared" si="2"/>
        <v>-0.30687194902186615</v>
      </c>
    </row>
    <row r="30" spans="1:22" x14ac:dyDescent="0.3">
      <c r="A30" s="8" t="s">
        <v>53</v>
      </c>
      <c r="B30" s="9" t="s">
        <v>357</v>
      </c>
      <c r="C30" s="9" t="s">
        <v>16</v>
      </c>
      <c r="D30" s="9" t="s">
        <v>44</v>
      </c>
      <c r="E30" s="9" t="s">
        <v>616</v>
      </c>
      <c r="F30" s="9" t="s">
        <v>617</v>
      </c>
      <c r="G30" s="9" t="s">
        <v>622</v>
      </c>
      <c r="H30" s="10">
        <v>83818019</v>
      </c>
      <c r="I30" s="10">
        <v>100726061.14850201</v>
      </c>
      <c r="J30" s="10">
        <v>47104506</v>
      </c>
      <c r="K30" s="10">
        <f t="shared" si="0"/>
        <v>58409587.439999998</v>
      </c>
      <c r="L30" s="11">
        <f t="shared" si="1"/>
        <v>0.57988555071051406</v>
      </c>
      <c r="M30" s="11">
        <f t="shared" si="2"/>
        <v>-0.30313805865538296</v>
      </c>
    </row>
    <row r="31" spans="1:22" x14ac:dyDescent="0.3">
      <c r="A31" s="8" t="s">
        <v>54</v>
      </c>
      <c r="B31" s="9" t="s">
        <v>358</v>
      </c>
      <c r="C31" s="9" t="s">
        <v>14</v>
      </c>
      <c r="D31" s="9" t="s">
        <v>30</v>
      </c>
      <c r="E31" s="9" t="s">
        <v>616</v>
      </c>
      <c r="F31" s="9" t="s">
        <v>617</v>
      </c>
      <c r="G31" s="9" t="s">
        <v>620</v>
      </c>
      <c r="H31" s="10">
        <v>115515314</v>
      </c>
      <c r="I31" s="10">
        <v>154039600.38025299</v>
      </c>
      <c r="J31" s="10">
        <v>61831533</v>
      </c>
      <c r="K31" s="10">
        <f t="shared" si="0"/>
        <v>76671100.920000002</v>
      </c>
      <c r="L31" s="11">
        <f t="shared" si="1"/>
        <v>0.4977363011247386</v>
      </c>
      <c r="M31" s="11">
        <f t="shared" si="2"/>
        <v>-0.33626894768255572</v>
      </c>
    </row>
    <row r="32" spans="1:22" x14ac:dyDescent="0.3">
      <c r="A32" s="8" t="s">
        <v>55</v>
      </c>
      <c r="B32" s="9" t="s">
        <v>359</v>
      </c>
      <c r="C32" s="9" t="s">
        <v>16</v>
      </c>
      <c r="D32" s="9" t="s">
        <v>40</v>
      </c>
      <c r="E32" s="9" t="s">
        <v>616</v>
      </c>
      <c r="F32" s="9" t="s">
        <v>617</v>
      </c>
      <c r="G32" s="9" t="s">
        <v>623</v>
      </c>
      <c r="H32" s="10">
        <v>215245943</v>
      </c>
      <c r="I32" s="10">
        <v>198570056.34835401</v>
      </c>
      <c r="J32" s="10">
        <v>74301801</v>
      </c>
      <c r="K32" s="10">
        <f t="shared" si="0"/>
        <v>92134233.239999995</v>
      </c>
      <c r="L32" s="11">
        <f t="shared" si="1"/>
        <v>0.46398855363352326</v>
      </c>
      <c r="M32" s="11">
        <f t="shared" si="2"/>
        <v>-0.57195832843176986</v>
      </c>
    </row>
    <row r="33" spans="1:22" x14ac:dyDescent="0.3">
      <c r="A33" s="8" t="s">
        <v>56</v>
      </c>
      <c r="B33" s="9" t="s">
        <v>360</v>
      </c>
      <c r="C33" s="9" t="s">
        <v>16</v>
      </c>
      <c r="D33" s="9" t="s">
        <v>44</v>
      </c>
      <c r="E33" s="9" t="s">
        <v>616</v>
      </c>
      <c r="F33" s="9" t="s">
        <v>617</v>
      </c>
      <c r="G33" s="9" t="s">
        <v>622</v>
      </c>
      <c r="H33" s="10">
        <v>209818903</v>
      </c>
      <c r="I33" s="10">
        <v>161813969.54118401</v>
      </c>
      <c r="J33" s="10">
        <v>118008108</v>
      </c>
      <c r="K33" s="10">
        <f t="shared" si="0"/>
        <v>146330053.92000002</v>
      </c>
      <c r="L33" s="11">
        <f t="shared" si="1"/>
        <v>0.90431039010359915</v>
      </c>
      <c r="M33" s="11">
        <f t="shared" si="2"/>
        <v>-0.30258879525263738</v>
      </c>
    </row>
    <row r="34" spans="1:22" x14ac:dyDescent="0.3">
      <c r="A34" s="8" t="s">
        <v>57</v>
      </c>
      <c r="B34" s="9" t="s">
        <v>361</v>
      </c>
      <c r="C34" s="9" t="s">
        <v>14</v>
      </c>
      <c r="D34" s="9" t="s">
        <v>28</v>
      </c>
      <c r="E34" s="9" t="s">
        <v>616</v>
      </c>
      <c r="F34" s="9" t="s">
        <v>617</v>
      </c>
      <c r="G34" s="9" t="s">
        <v>620</v>
      </c>
      <c r="H34" s="10">
        <v>87454050</v>
      </c>
      <c r="I34" s="10">
        <v>194050546.97121701</v>
      </c>
      <c r="J34" s="10">
        <v>97409912</v>
      </c>
      <c r="K34" s="10">
        <f t="shared" si="0"/>
        <v>120788290.88</v>
      </c>
      <c r="L34" s="11">
        <f t="shared" si="1"/>
        <v>0.62245787381324003</v>
      </c>
      <c r="M34" s="11">
        <f t="shared" si="2"/>
        <v>0.38116291789802753</v>
      </c>
    </row>
    <row r="35" spans="1:22" x14ac:dyDescent="0.3">
      <c r="A35" s="8" t="s">
        <v>58</v>
      </c>
      <c r="B35" s="9" t="s">
        <v>362</v>
      </c>
      <c r="C35" s="9" t="s">
        <v>16</v>
      </c>
      <c r="D35" s="9" t="s">
        <v>36</v>
      </c>
      <c r="E35" s="9" t="s">
        <v>616</v>
      </c>
      <c r="F35" s="9" t="s">
        <v>617</v>
      </c>
      <c r="G35" s="9" t="s">
        <v>622</v>
      </c>
      <c r="H35" s="10">
        <v>165223423</v>
      </c>
      <c r="I35" s="10">
        <v>168955879.840471</v>
      </c>
      <c r="J35" s="10">
        <v>107182887</v>
      </c>
      <c r="K35" s="10">
        <f t="shared" si="0"/>
        <v>132906779.88000001</v>
      </c>
      <c r="L35" s="11">
        <f t="shared" si="1"/>
        <v>0.78663601412091289</v>
      </c>
      <c r="M35" s="11">
        <f t="shared" si="2"/>
        <v>-0.19559359401481466</v>
      </c>
    </row>
    <row r="36" spans="1:22" x14ac:dyDescent="0.3">
      <c r="A36" s="8" t="s">
        <v>59</v>
      </c>
      <c r="B36" s="9" t="s">
        <v>363</v>
      </c>
      <c r="C36" s="9" t="s">
        <v>14</v>
      </c>
      <c r="D36" s="9" t="s">
        <v>30</v>
      </c>
      <c r="E36" s="9" t="s">
        <v>616</v>
      </c>
      <c r="F36" s="9" t="s">
        <v>617</v>
      </c>
      <c r="G36" s="9" t="s">
        <v>620</v>
      </c>
      <c r="H36" s="10">
        <v>158790092</v>
      </c>
      <c r="I36" s="10">
        <v>273948478.78188503</v>
      </c>
      <c r="J36" s="10">
        <v>59127930</v>
      </c>
      <c r="K36" s="10">
        <f t="shared" si="0"/>
        <v>73318633.200000003</v>
      </c>
      <c r="L36" s="11">
        <f t="shared" si="1"/>
        <v>0.26763657723529666</v>
      </c>
      <c r="M36" s="11">
        <f t="shared" si="2"/>
        <v>-0.53826695181963868</v>
      </c>
    </row>
    <row r="37" spans="1:22" s="15" customFormat="1" ht="15.05" customHeight="1" x14ac:dyDescent="0.3">
      <c r="A37" s="4" t="s">
        <v>18</v>
      </c>
      <c r="B37" s="7"/>
      <c r="C37" s="7"/>
      <c r="D37" s="7"/>
      <c r="E37" s="7"/>
      <c r="F37" s="7"/>
      <c r="G37" s="7"/>
      <c r="H37" s="12">
        <f t="shared" ref="H37:K37" si="9">SUM(H5:H36)</f>
        <v>6166271965</v>
      </c>
      <c r="I37" s="12">
        <f t="shared" si="9"/>
        <v>6909465799.6507521</v>
      </c>
      <c r="J37" s="12">
        <f t="shared" si="9"/>
        <v>4311679332</v>
      </c>
      <c r="K37" s="12">
        <f t="shared" si="9"/>
        <v>5346482371.6800003</v>
      </c>
      <c r="L37" s="13">
        <f t="shared" si="1"/>
        <v>0.77379098858123663</v>
      </c>
      <c r="M37" s="14">
        <f t="shared" si="2"/>
        <v>-0.13294736235656771</v>
      </c>
      <c r="P37"/>
      <c r="Q37"/>
      <c r="R37"/>
      <c r="S37"/>
      <c r="T37"/>
      <c r="U37"/>
      <c r="V37"/>
    </row>
    <row r="38" spans="1:22" ht="15.05" customHeight="1" x14ac:dyDescent="0.3"/>
  </sheetData>
  <autoFilter ref="A4:M37" xr:uid="{DA378680-7DE8-4D1E-8180-3368747739BC}"/>
  <mergeCells count="2">
    <mergeCell ref="A3:M3"/>
    <mergeCell ref="P3:V3"/>
  </mergeCells>
  <conditionalFormatting sqref="A5:A36">
    <cfRule type="duplicateValues" dxfId="41" priority="5"/>
  </conditionalFormatting>
  <conditionalFormatting sqref="L5:L37">
    <cfRule type="cellIs" dxfId="40" priority="4" operator="lessThan">
      <formula>1</formula>
    </cfRule>
  </conditionalFormatting>
  <conditionalFormatting sqref="U5:U6 U10:U21">
    <cfRule type="cellIs" dxfId="39" priority="2" operator="lessThan">
      <formula>1</formula>
    </cfRule>
    <cfRule type="cellIs" dxfId="38" priority="3" operator="lessThan">
      <formula>0</formula>
    </cfRule>
  </conditionalFormatting>
  <conditionalFormatting sqref="V5:V7 L5:M37 V10:V22">
    <cfRule type="cellIs" dxfId="37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57402-5C53-4192-8D2A-2731B130181B}">
  <dimension ref="A1:V82"/>
  <sheetViews>
    <sheetView showGridLines="0" zoomScale="68" workbookViewId="0">
      <pane ySplit="4" topLeftCell="A5" activePane="bottomLeft" state="frozen"/>
      <selection activeCell="J6" sqref="J6"/>
      <selection pane="bottomLeft" activeCell="J6" sqref="J6"/>
    </sheetView>
  </sheetViews>
  <sheetFormatPr defaultRowHeight="15.05" x14ac:dyDescent="0.3"/>
  <cols>
    <col min="1" max="1" width="8.5546875" bestFit="1" customWidth="1"/>
    <col min="2" max="2" width="38.77734375" bestFit="1" customWidth="1"/>
    <col min="3" max="3" width="15.109375" bestFit="1" customWidth="1"/>
    <col min="4" max="4" width="23" bestFit="1" customWidth="1"/>
    <col min="5" max="6" width="23" customWidth="1"/>
    <col min="7" max="7" width="19.44140625" bestFit="1" customWidth="1"/>
    <col min="8" max="13" width="16" customWidth="1"/>
    <col min="16" max="16" width="23" bestFit="1" customWidth="1"/>
    <col min="17" max="17" width="13.88671875" bestFit="1" customWidth="1"/>
    <col min="18" max="20" width="16.44140625" customWidth="1"/>
    <col min="21" max="22" width="16.5546875" customWidth="1"/>
  </cols>
  <sheetData>
    <row r="1" spans="1:22" x14ac:dyDescent="0.3">
      <c r="A1" s="1">
        <v>25</v>
      </c>
      <c r="B1" s="1">
        <v>31</v>
      </c>
      <c r="G1" s="15"/>
      <c r="H1" s="15"/>
      <c r="I1" s="15"/>
      <c r="J1" s="15"/>
      <c r="K1" s="15"/>
    </row>
    <row r="2" spans="1:22" x14ac:dyDescent="0.3">
      <c r="A2" s="16"/>
      <c r="B2" s="16"/>
    </row>
    <row r="3" spans="1:22" s="3" customFormat="1" ht="23.5" customHeight="1" x14ac:dyDescent="0.3">
      <c r="A3" s="2" t="str">
        <f>"1 SHIFT 1 STORE (01 - "&amp;A1&amp;" MEI 2026)"</f>
        <v>1 SHIFT 1 STORE (01 - 25 MEI 2026)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P3" s="2" t="str">
        <f>A3</f>
        <v>1 SHIFT 1 STORE (01 - 25 MEI 2026)</v>
      </c>
      <c r="Q3" s="2"/>
      <c r="R3" s="2"/>
      <c r="S3" s="2"/>
      <c r="T3" s="2"/>
      <c r="U3" s="2"/>
      <c r="V3" s="2"/>
    </row>
    <row r="4" spans="1:22" s="3" customFormat="1" ht="23.5" customHeight="1" x14ac:dyDescent="0.3">
      <c r="A4" s="4" t="s">
        <v>0</v>
      </c>
      <c r="B4" s="5" t="s">
        <v>1</v>
      </c>
      <c r="C4" s="5" t="s">
        <v>2</v>
      </c>
      <c r="D4" s="5" t="s">
        <v>3</v>
      </c>
      <c r="E4" s="5" t="s">
        <v>4</v>
      </c>
      <c r="F4" s="5" t="s">
        <v>5</v>
      </c>
      <c r="G4" s="5" t="s">
        <v>6</v>
      </c>
      <c r="H4" s="7" t="s">
        <v>7</v>
      </c>
      <c r="I4" s="7" t="s">
        <v>60</v>
      </c>
      <c r="J4" s="7" t="s">
        <v>9</v>
      </c>
      <c r="K4" s="7" t="s">
        <v>10</v>
      </c>
      <c r="L4" s="7" t="s">
        <v>11</v>
      </c>
      <c r="M4" s="7" t="s">
        <v>12</v>
      </c>
      <c r="P4" s="7" t="s">
        <v>2</v>
      </c>
      <c r="Q4" s="7" t="s">
        <v>7</v>
      </c>
      <c r="R4" s="7" t="s">
        <v>60</v>
      </c>
      <c r="S4" s="7" t="s">
        <v>9</v>
      </c>
      <c r="T4" s="7" t="s">
        <v>10</v>
      </c>
      <c r="U4" s="7" t="s">
        <v>11</v>
      </c>
      <c r="V4" s="7" t="s">
        <v>12</v>
      </c>
    </row>
    <row r="5" spans="1:22" x14ac:dyDescent="0.3">
      <c r="A5" s="8" t="s">
        <v>61</v>
      </c>
      <c r="B5" s="9" t="s">
        <v>364</v>
      </c>
      <c r="C5" s="9" t="s">
        <v>16</v>
      </c>
      <c r="D5" s="9" t="s">
        <v>44</v>
      </c>
      <c r="E5" s="9" t="s">
        <v>616</v>
      </c>
      <c r="F5" s="9" t="s">
        <v>617</v>
      </c>
      <c r="G5" s="9" t="s">
        <v>622</v>
      </c>
      <c r="H5" s="10">
        <v>1053071728</v>
      </c>
      <c r="I5" s="10">
        <v>1174469419.561805</v>
      </c>
      <c r="J5" s="10">
        <v>711291403</v>
      </c>
      <c r="K5" s="10">
        <f t="shared" ref="K5:K63" si="0">IFERROR(J5/$A$1*$B$1,0)</f>
        <v>882001339.72000003</v>
      </c>
      <c r="L5" s="17">
        <f t="shared" ref="L5:L63" si="1">IFERROR(K5/I5,0)</f>
        <v>0.75097854829551469</v>
      </c>
      <c r="M5" s="17">
        <f t="shared" ref="M5:M63" si="2">IFERROR((K5-H5)/H5,0)</f>
        <v>-0.16244894220538791</v>
      </c>
      <c r="P5" s="9" t="s">
        <v>14</v>
      </c>
      <c r="Q5" s="10">
        <f t="shared" ref="Q5:T6" si="3">SUMIF($C:$C,$P5,H:H)</f>
        <v>18003928723</v>
      </c>
      <c r="R5" s="10">
        <f t="shared" si="3"/>
        <v>20717898864.54631</v>
      </c>
      <c r="S5" s="10">
        <f t="shared" si="3"/>
        <v>12516705060</v>
      </c>
      <c r="T5" s="10">
        <f t="shared" si="3"/>
        <v>15520714274.400002</v>
      </c>
      <c r="U5" s="17">
        <f>IFERROR(T5/R5,0)</f>
        <v>0.74914518966785593</v>
      </c>
      <c r="V5" s="17">
        <f>IFERROR((T5-Q5)/Q5,0)</f>
        <v>-0.13792625414183599</v>
      </c>
    </row>
    <row r="6" spans="1:22" x14ac:dyDescent="0.3">
      <c r="A6" s="8" t="s">
        <v>46</v>
      </c>
      <c r="B6" s="9" t="s">
        <v>350</v>
      </c>
      <c r="C6" s="9" t="s">
        <v>16</v>
      </c>
      <c r="D6" s="9" t="s">
        <v>22</v>
      </c>
      <c r="E6" s="9" t="s">
        <v>616</v>
      </c>
      <c r="F6" s="9" t="s">
        <v>617</v>
      </c>
      <c r="G6" s="9" t="s">
        <v>618</v>
      </c>
      <c r="H6" s="10">
        <v>2056563662</v>
      </c>
      <c r="I6" s="10">
        <v>2328176682.179431</v>
      </c>
      <c r="J6" s="10">
        <v>1467737273</v>
      </c>
      <c r="K6" s="10">
        <f t="shared" si="0"/>
        <v>1819994218.52</v>
      </c>
      <c r="L6" s="17">
        <f t="shared" si="1"/>
        <v>0.78172512956202445</v>
      </c>
      <c r="M6" s="17">
        <f t="shared" si="2"/>
        <v>-0.11503142248946341</v>
      </c>
      <c r="P6" s="9" t="s">
        <v>16</v>
      </c>
      <c r="Q6" s="10">
        <f t="shared" si="3"/>
        <v>29066851828</v>
      </c>
      <c r="R6" s="10">
        <f t="shared" si="3"/>
        <v>33804416270.20319</v>
      </c>
      <c r="S6" s="10">
        <f t="shared" si="3"/>
        <v>20267356325</v>
      </c>
      <c r="T6" s="10">
        <f t="shared" si="3"/>
        <v>25131521843</v>
      </c>
      <c r="U6" s="17">
        <f>IFERROR(T6/R6,0)</f>
        <v>0.74343901229118725</v>
      </c>
      <c r="V6" s="17">
        <f>IFERROR((T6-Q6)/Q6,0)</f>
        <v>-0.13538893060338617</v>
      </c>
    </row>
    <row r="7" spans="1:22" x14ac:dyDescent="0.3">
      <c r="A7" s="8" t="s">
        <v>49</v>
      </c>
      <c r="B7" s="9" t="s">
        <v>353</v>
      </c>
      <c r="C7" s="9" t="s">
        <v>16</v>
      </c>
      <c r="D7" s="9" t="s">
        <v>44</v>
      </c>
      <c r="E7" s="9" t="s">
        <v>616</v>
      </c>
      <c r="F7" s="9" t="s">
        <v>617</v>
      </c>
      <c r="G7" s="9" t="s">
        <v>622</v>
      </c>
      <c r="H7" s="10">
        <v>1269324208</v>
      </c>
      <c r="I7" s="10">
        <v>1415611218.1113422</v>
      </c>
      <c r="J7" s="10">
        <v>941332178</v>
      </c>
      <c r="K7" s="10">
        <f t="shared" si="0"/>
        <v>1167251900.72</v>
      </c>
      <c r="L7" s="17">
        <f t="shared" si="1"/>
        <v>0.82455683155528092</v>
      </c>
      <c r="M7" s="17">
        <f t="shared" si="2"/>
        <v>-8.0414685733307914E-2</v>
      </c>
      <c r="P7" s="4" t="s">
        <v>62</v>
      </c>
      <c r="Q7" s="12">
        <f>SUM(Q5:Q6)</f>
        <v>47070780551</v>
      </c>
      <c r="R7" s="12">
        <f>SUM(R5:R6)</f>
        <v>54522315134.749496</v>
      </c>
      <c r="S7" s="12">
        <f>SUM(S5:S6)</f>
        <v>32784061385</v>
      </c>
      <c r="T7" s="12">
        <f>SUM(T5:T6)</f>
        <v>40652236117.400002</v>
      </c>
      <c r="U7" s="13">
        <f>IFERROR(T7/R7,0)</f>
        <v>0.74560729890008881</v>
      </c>
      <c r="V7" s="18">
        <f>IFERROR((T7-Q7)/Q7,0)</f>
        <v>-0.13635942209723223</v>
      </c>
    </row>
    <row r="8" spans="1:22" x14ac:dyDescent="0.3">
      <c r="A8" s="8" t="s">
        <v>20</v>
      </c>
      <c r="B8" s="9" t="s">
        <v>336</v>
      </c>
      <c r="C8" s="9" t="s">
        <v>14</v>
      </c>
      <c r="D8" s="9" t="s">
        <v>28</v>
      </c>
      <c r="E8" s="9" t="s">
        <v>616</v>
      </c>
      <c r="F8" s="9" t="s">
        <v>617</v>
      </c>
      <c r="G8" s="9" t="s">
        <v>620</v>
      </c>
      <c r="H8" s="10">
        <v>1556012296</v>
      </c>
      <c r="I8" s="10">
        <v>1813172891.0214884</v>
      </c>
      <c r="J8" s="10">
        <v>1160019008</v>
      </c>
      <c r="K8" s="10">
        <f t="shared" si="0"/>
        <v>1438423569.9200001</v>
      </c>
      <c r="L8" s="17">
        <f t="shared" si="1"/>
        <v>0.7933184844329072</v>
      </c>
      <c r="M8" s="17">
        <f t="shared" si="2"/>
        <v>-7.5570563537500426E-2</v>
      </c>
    </row>
    <row r="9" spans="1:22" x14ac:dyDescent="0.3">
      <c r="A9" s="8" t="s">
        <v>48</v>
      </c>
      <c r="B9" s="9" t="s">
        <v>352</v>
      </c>
      <c r="C9" s="9" t="s">
        <v>16</v>
      </c>
      <c r="D9" s="9" t="s">
        <v>42</v>
      </c>
      <c r="E9" s="9" t="s">
        <v>616</v>
      </c>
      <c r="F9" s="9" t="s">
        <v>617</v>
      </c>
      <c r="G9" s="9" t="s">
        <v>618</v>
      </c>
      <c r="H9" s="10">
        <v>1401742458</v>
      </c>
      <c r="I9" s="10">
        <v>1667433250.3138793</v>
      </c>
      <c r="J9" s="10">
        <v>911116213</v>
      </c>
      <c r="K9" s="10">
        <f t="shared" si="0"/>
        <v>1129784104.1200001</v>
      </c>
      <c r="L9" s="17">
        <f t="shared" si="1"/>
        <v>0.67755881916552185</v>
      </c>
      <c r="M9" s="17">
        <f t="shared" si="2"/>
        <v>-0.19401449412328486</v>
      </c>
      <c r="P9" s="7" t="s">
        <v>3</v>
      </c>
      <c r="Q9" s="7" t="s">
        <v>7</v>
      </c>
      <c r="R9" s="7" t="s">
        <v>60</v>
      </c>
      <c r="S9" s="7" t="s">
        <v>9</v>
      </c>
      <c r="T9" s="7" t="s">
        <v>10</v>
      </c>
      <c r="U9" s="7" t="s">
        <v>11</v>
      </c>
      <c r="V9" s="7" t="s">
        <v>12</v>
      </c>
    </row>
    <row r="10" spans="1:22" x14ac:dyDescent="0.3">
      <c r="A10" s="8" t="s">
        <v>25</v>
      </c>
      <c r="B10" s="9" t="s">
        <v>339</v>
      </c>
      <c r="C10" s="9" t="s">
        <v>14</v>
      </c>
      <c r="D10" s="9" t="s">
        <v>26</v>
      </c>
      <c r="E10" s="9" t="s">
        <v>616</v>
      </c>
      <c r="F10" s="9" t="s">
        <v>617</v>
      </c>
      <c r="G10" s="9" t="s">
        <v>619</v>
      </c>
      <c r="H10" s="10">
        <v>1374506734</v>
      </c>
      <c r="I10" s="10">
        <v>1558707321.7821753</v>
      </c>
      <c r="J10" s="10">
        <v>960856902</v>
      </c>
      <c r="K10" s="10">
        <f t="shared" si="0"/>
        <v>1191462558.48</v>
      </c>
      <c r="L10" s="17">
        <f t="shared" si="1"/>
        <v>0.76439145555415777</v>
      </c>
      <c r="M10" s="17">
        <f t="shared" si="2"/>
        <v>-0.13317081029302544</v>
      </c>
      <c r="P10" s="9" t="s">
        <v>22</v>
      </c>
      <c r="Q10" s="10">
        <f t="shared" ref="Q10:T21" si="4">SUMIF($D:$D,$P10,H:H)</f>
        <v>4692781888</v>
      </c>
      <c r="R10" s="10">
        <f t="shared" si="4"/>
        <v>5329916883.400507</v>
      </c>
      <c r="S10" s="10">
        <f t="shared" si="4"/>
        <v>3554257160</v>
      </c>
      <c r="T10" s="10">
        <f t="shared" si="4"/>
        <v>4407278878.3999996</v>
      </c>
      <c r="U10" s="17">
        <f t="shared" ref="U10:U22" si="5">IFERROR(T10/R10,0)</f>
        <v>0.82689448537669108</v>
      </c>
      <c r="V10" s="17">
        <f t="shared" ref="V10:V22" si="6">IFERROR((T10-Q10)/Q10,0)</f>
        <v>-6.0838755436314958E-2</v>
      </c>
    </row>
    <row r="11" spans="1:22" x14ac:dyDescent="0.3">
      <c r="A11" s="8" t="s">
        <v>63</v>
      </c>
      <c r="B11" s="9" t="s">
        <v>365</v>
      </c>
      <c r="C11" s="9" t="s">
        <v>16</v>
      </c>
      <c r="D11" s="9" t="s">
        <v>22</v>
      </c>
      <c r="E11" s="9" t="s">
        <v>616</v>
      </c>
      <c r="F11" s="9" t="s">
        <v>617</v>
      </c>
      <c r="G11" s="9" t="s">
        <v>618</v>
      </c>
      <c r="H11" s="10">
        <v>987687165</v>
      </c>
      <c r="I11" s="10">
        <v>1118131195.9174571</v>
      </c>
      <c r="J11" s="10">
        <v>860411515</v>
      </c>
      <c r="K11" s="10">
        <f t="shared" si="0"/>
        <v>1066910278.6</v>
      </c>
      <c r="L11" s="17">
        <f t="shared" si="1"/>
        <v>0.95419060168925085</v>
      </c>
      <c r="M11" s="17">
        <f t="shared" si="2"/>
        <v>8.0210735147094911E-2</v>
      </c>
      <c r="P11" s="9" t="s">
        <v>44</v>
      </c>
      <c r="Q11" s="10">
        <f t="shared" si="4"/>
        <v>6085825114</v>
      </c>
      <c r="R11" s="10">
        <f t="shared" si="4"/>
        <v>7108227587.8121643</v>
      </c>
      <c r="S11" s="10">
        <f t="shared" si="4"/>
        <v>4220445039</v>
      </c>
      <c r="T11" s="10">
        <f t="shared" si="4"/>
        <v>5233351848.3600006</v>
      </c>
      <c r="U11" s="17">
        <f t="shared" si="5"/>
        <v>0.73623864510657433</v>
      </c>
      <c r="V11" s="17">
        <f t="shared" si="6"/>
        <v>-0.14007521571379802</v>
      </c>
    </row>
    <row r="12" spans="1:22" x14ac:dyDescent="0.3">
      <c r="A12" s="8" t="s">
        <v>29</v>
      </c>
      <c r="B12" s="9" t="s">
        <v>341</v>
      </c>
      <c r="C12" s="9" t="s">
        <v>16</v>
      </c>
      <c r="D12" s="9" t="s">
        <v>34</v>
      </c>
      <c r="E12" s="9" t="s">
        <v>616</v>
      </c>
      <c r="F12" s="9" t="s">
        <v>617</v>
      </c>
      <c r="G12" s="9" t="s">
        <v>621</v>
      </c>
      <c r="H12" s="10">
        <v>821111206</v>
      </c>
      <c r="I12" s="10">
        <v>942380069.30178595</v>
      </c>
      <c r="J12" s="10">
        <v>531885167</v>
      </c>
      <c r="K12" s="10">
        <f t="shared" si="0"/>
        <v>659537607.08000004</v>
      </c>
      <c r="L12" s="17">
        <f t="shared" si="1"/>
        <v>0.69986370527621056</v>
      </c>
      <c r="M12" s="17">
        <f t="shared" si="2"/>
        <v>-0.1967743196528729</v>
      </c>
      <c r="P12" s="9" t="s">
        <v>42</v>
      </c>
      <c r="Q12" s="10">
        <f t="shared" si="4"/>
        <v>5589206504</v>
      </c>
      <c r="R12" s="10">
        <f t="shared" si="4"/>
        <v>6688159595.8214293</v>
      </c>
      <c r="S12" s="10">
        <f t="shared" si="4"/>
        <v>3522289646</v>
      </c>
      <c r="T12" s="10">
        <f t="shared" si="4"/>
        <v>4367639161.0400009</v>
      </c>
      <c r="U12" s="17">
        <f t="shared" si="5"/>
        <v>0.65304051113983241</v>
      </c>
      <c r="V12" s="17">
        <f t="shared" si="6"/>
        <v>-0.21855827693712265</v>
      </c>
    </row>
    <row r="13" spans="1:22" x14ac:dyDescent="0.3">
      <c r="A13" s="8" t="s">
        <v>64</v>
      </c>
      <c r="B13" s="9" t="s">
        <v>366</v>
      </c>
      <c r="C13" s="9" t="s">
        <v>14</v>
      </c>
      <c r="D13" s="9" t="s">
        <v>32</v>
      </c>
      <c r="E13" s="9" t="s">
        <v>616</v>
      </c>
      <c r="F13" s="9" t="s">
        <v>617</v>
      </c>
      <c r="G13" s="9" t="s">
        <v>619</v>
      </c>
      <c r="H13" s="10">
        <v>616066839</v>
      </c>
      <c r="I13" s="10">
        <v>756102650.89550364</v>
      </c>
      <c r="J13" s="10">
        <v>397255312</v>
      </c>
      <c r="K13" s="10">
        <f t="shared" si="0"/>
        <v>492596586.88</v>
      </c>
      <c r="L13" s="17">
        <f t="shared" si="1"/>
        <v>0.65149432593125345</v>
      </c>
      <c r="M13" s="17">
        <f t="shared" si="2"/>
        <v>-0.20041697475620823</v>
      </c>
      <c r="P13" s="9" t="s">
        <v>36</v>
      </c>
      <c r="Q13" s="10">
        <f t="shared" si="4"/>
        <v>2221088956</v>
      </c>
      <c r="R13" s="10">
        <f t="shared" si="4"/>
        <v>2585629762.309083</v>
      </c>
      <c r="S13" s="10">
        <f t="shared" si="4"/>
        <v>1525549570</v>
      </c>
      <c r="T13" s="10">
        <f t="shared" si="4"/>
        <v>1891681466.8</v>
      </c>
      <c r="U13" s="17">
        <f t="shared" si="5"/>
        <v>0.73161343297295733</v>
      </c>
      <c r="V13" s="17">
        <f t="shared" si="6"/>
        <v>-0.148309003252727</v>
      </c>
    </row>
    <row r="14" spans="1:22" x14ac:dyDescent="0.3">
      <c r="A14" s="8" t="s">
        <v>65</v>
      </c>
      <c r="B14" s="9" t="s">
        <v>367</v>
      </c>
      <c r="C14" s="9" t="s">
        <v>14</v>
      </c>
      <c r="D14" s="9" t="s">
        <v>26</v>
      </c>
      <c r="E14" s="9" t="s">
        <v>616</v>
      </c>
      <c r="F14" s="9" t="s">
        <v>617</v>
      </c>
      <c r="G14" s="9" t="s">
        <v>619</v>
      </c>
      <c r="H14" s="10">
        <v>805276565</v>
      </c>
      <c r="I14" s="10">
        <v>913215517.66464972</v>
      </c>
      <c r="J14" s="10">
        <v>373720336</v>
      </c>
      <c r="K14" s="10">
        <f t="shared" si="0"/>
        <v>463413216.63999999</v>
      </c>
      <c r="L14" s="17">
        <f t="shared" si="1"/>
        <v>0.50745219247377504</v>
      </c>
      <c r="M14" s="17">
        <f t="shared" si="2"/>
        <v>-0.42452911610559535</v>
      </c>
      <c r="P14" s="9" t="s">
        <v>32</v>
      </c>
      <c r="Q14" s="10">
        <f t="shared" si="4"/>
        <v>6387826875</v>
      </c>
      <c r="R14" s="10">
        <f t="shared" si="4"/>
        <v>7318927700.7262192</v>
      </c>
      <c r="S14" s="10">
        <f t="shared" si="4"/>
        <v>4223678818</v>
      </c>
      <c r="T14" s="10">
        <f t="shared" si="4"/>
        <v>5237361734.3199997</v>
      </c>
      <c r="U14" s="17">
        <f t="shared" si="5"/>
        <v>0.7155914019755002</v>
      </c>
      <c r="V14" s="17">
        <f t="shared" si="6"/>
        <v>-0.18010274279388644</v>
      </c>
    </row>
    <row r="15" spans="1:22" x14ac:dyDescent="0.3">
      <c r="A15" s="8" t="s">
        <v>66</v>
      </c>
      <c r="B15" s="9" t="s">
        <v>368</v>
      </c>
      <c r="C15" s="9" t="s">
        <v>14</v>
      </c>
      <c r="D15" s="9" t="s">
        <v>28</v>
      </c>
      <c r="E15" s="9" t="s">
        <v>616</v>
      </c>
      <c r="F15" s="9" t="s">
        <v>617</v>
      </c>
      <c r="G15" s="9" t="s">
        <v>620</v>
      </c>
      <c r="H15" s="10">
        <v>875265700</v>
      </c>
      <c r="I15" s="10">
        <v>1020036048.6275693</v>
      </c>
      <c r="J15" s="10">
        <v>748431556</v>
      </c>
      <c r="K15" s="10">
        <f t="shared" si="0"/>
        <v>928055129.43999994</v>
      </c>
      <c r="L15" s="17">
        <f t="shared" si="1"/>
        <v>0.90982581516474126</v>
      </c>
      <c r="M15" s="17">
        <f t="shared" si="2"/>
        <v>6.0312462192908894E-2</v>
      </c>
      <c r="P15" s="9" t="s">
        <v>26</v>
      </c>
      <c r="Q15" s="10">
        <f t="shared" si="4"/>
        <v>3785430758</v>
      </c>
      <c r="R15" s="10">
        <f t="shared" si="4"/>
        <v>4292790707.8662057</v>
      </c>
      <c r="S15" s="10">
        <f t="shared" si="4"/>
        <v>2306574435</v>
      </c>
      <c r="T15" s="10">
        <f t="shared" si="4"/>
        <v>2860152299.3999996</v>
      </c>
      <c r="U15" s="17">
        <f>IFERROR(T15/R15,0)</f>
        <v>0.66626875010677611</v>
      </c>
      <c r="V15" s="17">
        <f>IFERROR((T15-Q15)/Q15,0)</f>
        <v>-0.24443148422264718</v>
      </c>
    </row>
    <row r="16" spans="1:22" x14ac:dyDescent="0.3">
      <c r="A16" s="8" t="s">
        <v>67</v>
      </c>
      <c r="B16" s="9" t="s">
        <v>369</v>
      </c>
      <c r="C16" s="9" t="s">
        <v>14</v>
      </c>
      <c r="D16" s="9" t="s">
        <v>24</v>
      </c>
      <c r="E16" s="9" t="s">
        <v>616</v>
      </c>
      <c r="F16" s="9" t="s">
        <v>617</v>
      </c>
      <c r="G16" s="9" t="s">
        <v>619</v>
      </c>
      <c r="H16" s="10">
        <v>728156836</v>
      </c>
      <c r="I16" s="10">
        <v>854849045.61052585</v>
      </c>
      <c r="J16" s="10">
        <v>486998746</v>
      </c>
      <c r="K16" s="10">
        <f t="shared" si="0"/>
        <v>603878445.03999996</v>
      </c>
      <c r="L16" s="17">
        <f t="shared" si="1"/>
        <v>0.70641530003547603</v>
      </c>
      <c r="M16" s="17">
        <f t="shared" si="2"/>
        <v>-0.17067530621933216</v>
      </c>
      <c r="P16" s="9" t="s">
        <v>30</v>
      </c>
      <c r="Q16" s="10">
        <f t="shared" si="4"/>
        <v>3128404461</v>
      </c>
      <c r="R16" s="10">
        <f t="shared" si="4"/>
        <v>3612094098.9181304</v>
      </c>
      <c r="S16" s="10">
        <f t="shared" si="4"/>
        <v>2399212474</v>
      </c>
      <c r="T16" s="10">
        <f t="shared" si="4"/>
        <v>2975023467.7600002</v>
      </c>
      <c r="U16" s="17">
        <f t="shared" si="5"/>
        <v>0.82362845105587335</v>
      </c>
      <c r="V16" s="17">
        <f t="shared" si="6"/>
        <v>-4.9028504834368915E-2</v>
      </c>
    </row>
    <row r="17" spans="1:22" x14ac:dyDescent="0.3">
      <c r="A17" s="8" t="s">
        <v>68</v>
      </c>
      <c r="B17" s="9" t="s">
        <v>370</v>
      </c>
      <c r="C17" s="9" t="s">
        <v>16</v>
      </c>
      <c r="D17" s="9" t="s">
        <v>38</v>
      </c>
      <c r="E17" s="9" t="s">
        <v>616</v>
      </c>
      <c r="F17" s="9" t="s">
        <v>617</v>
      </c>
      <c r="G17" s="9" t="s">
        <v>622</v>
      </c>
      <c r="H17" s="10">
        <v>487009350</v>
      </c>
      <c r="I17" s="10">
        <v>586410351.37730062</v>
      </c>
      <c r="J17" s="10">
        <v>354907298</v>
      </c>
      <c r="K17" s="10">
        <f t="shared" si="0"/>
        <v>440085049.51999998</v>
      </c>
      <c r="L17" s="17">
        <f t="shared" si="1"/>
        <v>0.75047285315883883</v>
      </c>
      <c r="M17" s="17">
        <f t="shared" si="2"/>
        <v>-9.6351949875295037E-2</v>
      </c>
      <c r="P17" s="9" t="s">
        <v>28</v>
      </c>
      <c r="Q17" s="10">
        <f t="shared" si="4"/>
        <v>3094961502</v>
      </c>
      <c r="R17" s="10">
        <f t="shared" si="4"/>
        <v>3606552063.7037625</v>
      </c>
      <c r="S17" s="10">
        <f t="shared" si="4"/>
        <v>2474166869</v>
      </c>
      <c r="T17" s="10">
        <f t="shared" si="4"/>
        <v>3067966917.5599999</v>
      </c>
      <c r="U17" s="17">
        <f t="shared" si="5"/>
        <v>0.85066480765269736</v>
      </c>
      <c r="V17" s="17">
        <f t="shared" si="6"/>
        <v>-8.7221066958525478E-3</v>
      </c>
    </row>
    <row r="18" spans="1:22" x14ac:dyDescent="0.3">
      <c r="A18" s="8" t="s">
        <v>35</v>
      </c>
      <c r="B18" s="9" t="s">
        <v>344</v>
      </c>
      <c r="C18" s="9" t="s">
        <v>16</v>
      </c>
      <c r="D18" s="9" t="s">
        <v>34</v>
      </c>
      <c r="E18" s="9" t="s">
        <v>616</v>
      </c>
      <c r="F18" s="9" t="s">
        <v>617</v>
      </c>
      <c r="G18" s="9" t="s">
        <v>621</v>
      </c>
      <c r="H18" s="10">
        <v>854924725</v>
      </c>
      <c r="I18" s="10">
        <v>962004554.90588617</v>
      </c>
      <c r="J18" s="10">
        <v>538232309</v>
      </c>
      <c r="K18" s="10">
        <f t="shared" si="0"/>
        <v>667408063.15999997</v>
      </c>
      <c r="L18" s="17">
        <f t="shared" si="1"/>
        <v>0.69376809055264099</v>
      </c>
      <c r="M18" s="17">
        <f t="shared" si="2"/>
        <v>-0.21933704378476132</v>
      </c>
      <c r="P18" s="9" t="s">
        <v>40</v>
      </c>
      <c r="Q18" s="10">
        <f t="shared" si="4"/>
        <v>1158876489</v>
      </c>
      <c r="R18" s="10">
        <f t="shared" si="4"/>
        <v>1313747292.327548</v>
      </c>
      <c r="S18" s="10">
        <f t="shared" si="4"/>
        <v>914063190</v>
      </c>
      <c r="T18" s="10">
        <f t="shared" si="4"/>
        <v>1133438355.6000001</v>
      </c>
      <c r="U18" s="17">
        <f t="shared" si="5"/>
        <v>0.86275219155116434</v>
      </c>
      <c r="V18" s="17">
        <f t="shared" si="6"/>
        <v>-2.1950685548854772E-2</v>
      </c>
    </row>
    <row r="19" spans="1:22" x14ac:dyDescent="0.3">
      <c r="A19" s="8" t="s">
        <v>69</v>
      </c>
      <c r="B19" s="9" t="s">
        <v>371</v>
      </c>
      <c r="C19" s="9" t="s">
        <v>14</v>
      </c>
      <c r="D19" s="9" t="s">
        <v>32</v>
      </c>
      <c r="E19" s="9" t="s">
        <v>616</v>
      </c>
      <c r="F19" s="9" t="s">
        <v>617</v>
      </c>
      <c r="G19" s="9" t="s">
        <v>619</v>
      </c>
      <c r="H19" s="10">
        <v>842049348</v>
      </c>
      <c r="I19" s="10">
        <v>948121446.29838681</v>
      </c>
      <c r="J19" s="10">
        <v>696045808</v>
      </c>
      <c r="K19" s="10">
        <f t="shared" si="0"/>
        <v>863096801.91999996</v>
      </c>
      <c r="L19" s="17">
        <f t="shared" si="1"/>
        <v>0.91032304489014959</v>
      </c>
      <c r="M19" s="17">
        <f t="shared" si="2"/>
        <v>2.4995511213197871E-2</v>
      </c>
      <c r="P19" s="9" t="s">
        <v>34</v>
      </c>
      <c r="Q19" s="10">
        <f t="shared" si="4"/>
        <v>6841843219</v>
      </c>
      <c r="R19" s="10">
        <f t="shared" si="4"/>
        <v>7795861192.3880682</v>
      </c>
      <c r="S19" s="10">
        <f t="shared" si="4"/>
        <v>4764399349</v>
      </c>
      <c r="T19" s="10">
        <f t="shared" si="4"/>
        <v>5907855192.7599993</v>
      </c>
      <c r="U19" s="17">
        <f>IFERROR(T19/R19,0)</f>
        <v>0.75781944380031663</v>
      </c>
      <c r="V19" s="17">
        <f>IFERROR((T19-Q19)/Q19,0)</f>
        <v>-0.136511170505382</v>
      </c>
    </row>
    <row r="20" spans="1:22" x14ac:dyDescent="0.3">
      <c r="A20" s="8" t="s">
        <v>70</v>
      </c>
      <c r="B20" s="9" t="s">
        <v>372</v>
      </c>
      <c r="C20" s="9" t="s">
        <v>16</v>
      </c>
      <c r="D20" s="9" t="s">
        <v>42</v>
      </c>
      <c r="E20" s="9" t="s">
        <v>616</v>
      </c>
      <c r="F20" s="9" t="s">
        <v>617</v>
      </c>
      <c r="G20" s="9" t="s">
        <v>618</v>
      </c>
      <c r="H20" s="10">
        <v>794623112</v>
      </c>
      <c r="I20" s="10">
        <v>943807783.3672514</v>
      </c>
      <c r="J20" s="10">
        <v>463841698</v>
      </c>
      <c r="K20" s="10">
        <f t="shared" si="0"/>
        <v>575163705.5200001</v>
      </c>
      <c r="L20" s="17">
        <f t="shared" si="1"/>
        <v>0.60940767352857728</v>
      </c>
      <c r="M20" s="17">
        <f t="shared" si="2"/>
        <v>-0.27618049760425278</v>
      </c>
      <c r="P20" s="9" t="s">
        <v>24</v>
      </c>
      <c r="Q20" s="10">
        <f t="shared" si="4"/>
        <v>1607305127</v>
      </c>
      <c r="R20" s="10">
        <f t="shared" si="4"/>
        <v>1887534293.3319898</v>
      </c>
      <c r="S20" s="10">
        <f t="shared" si="4"/>
        <v>1113072464</v>
      </c>
      <c r="T20" s="10">
        <f t="shared" si="4"/>
        <v>1380209855.3600001</v>
      </c>
      <c r="U20" s="17">
        <f t="shared" si="5"/>
        <v>0.73122372411235514</v>
      </c>
      <c r="V20" s="17">
        <f t="shared" si="6"/>
        <v>-0.14128945887447533</v>
      </c>
    </row>
    <row r="21" spans="1:22" x14ac:dyDescent="0.3">
      <c r="A21" s="8" t="s">
        <v>71</v>
      </c>
      <c r="B21" s="9" t="s">
        <v>373</v>
      </c>
      <c r="C21" s="9" t="s">
        <v>16</v>
      </c>
      <c r="D21" s="9" t="s">
        <v>44</v>
      </c>
      <c r="E21" s="9" t="s">
        <v>616</v>
      </c>
      <c r="F21" s="9" t="s">
        <v>617</v>
      </c>
      <c r="G21" s="9" t="s">
        <v>622</v>
      </c>
      <c r="H21" s="10">
        <v>940755863</v>
      </c>
      <c r="I21" s="10">
        <v>1049205620.5032238</v>
      </c>
      <c r="J21" s="10">
        <v>544003834</v>
      </c>
      <c r="K21" s="10">
        <f t="shared" si="0"/>
        <v>674564754.15999997</v>
      </c>
      <c r="L21" s="17">
        <f t="shared" si="1"/>
        <v>0.64292903219148101</v>
      </c>
      <c r="M21" s="17">
        <f t="shared" si="2"/>
        <v>-0.28295450425484092</v>
      </c>
      <c r="P21" s="9" t="s">
        <v>38</v>
      </c>
      <c r="Q21" s="10">
        <f t="shared" si="4"/>
        <v>2477229658</v>
      </c>
      <c r="R21" s="10">
        <f t="shared" si="4"/>
        <v>2982873956.1443892</v>
      </c>
      <c r="S21" s="10">
        <f t="shared" si="4"/>
        <v>1766352371</v>
      </c>
      <c r="T21" s="10">
        <f t="shared" si="4"/>
        <v>2190276940.04</v>
      </c>
      <c r="U21" s="17">
        <f t="shared" si="5"/>
        <v>0.73428410728796389</v>
      </c>
      <c r="V21" s="17">
        <f t="shared" si="6"/>
        <v>-0.11583613858057566</v>
      </c>
    </row>
    <row r="22" spans="1:22" x14ac:dyDescent="0.3">
      <c r="A22" s="8" t="s">
        <v>72</v>
      </c>
      <c r="B22" s="9" t="s">
        <v>374</v>
      </c>
      <c r="C22" s="9" t="s">
        <v>14</v>
      </c>
      <c r="D22" s="9" t="s">
        <v>30</v>
      </c>
      <c r="E22" s="9" t="s">
        <v>616</v>
      </c>
      <c r="F22" s="9" t="s">
        <v>617</v>
      </c>
      <c r="G22" s="9" t="s">
        <v>620</v>
      </c>
      <c r="H22" s="10">
        <v>761593835</v>
      </c>
      <c r="I22" s="10">
        <v>967414603.42655289</v>
      </c>
      <c r="J22" s="10">
        <v>710959526</v>
      </c>
      <c r="K22" s="10">
        <f t="shared" si="0"/>
        <v>881589812.24000001</v>
      </c>
      <c r="L22" s="17">
        <f t="shared" si="1"/>
        <v>0.91128437499024295</v>
      </c>
      <c r="M22" s="17">
        <f t="shared" si="2"/>
        <v>0.15755901863360017</v>
      </c>
      <c r="P22" s="4" t="s">
        <v>62</v>
      </c>
      <c r="Q22" s="12">
        <f>SUM(Q10:Q21)</f>
        <v>47070780551</v>
      </c>
      <c r="R22" s="12">
        <f>SUM(R10:R21)</f>
        <v>54522315134.749496</v>
      </c>
      <c r="S22" s="12">
        <f>SUM(S10:S21)</f>
        <v>32784061385</v>
      </c>
      <c r="T22" s="12">
        <f>SUM(T10:T21)</f>
        <v>40652236117.400002</v>
      </c>
      <c r="U22" s="13">
        <f t="shared" si="5"/>
        <v>0.74560729890008881</v>
      </c>
      <c r="V22" s="18">
        <f t="shared" si="6"/>
        <v>-0.13635942209723223</v>
      </c>
    </row>
    <row r="23" spans="1:22" x14ac:dyDescent="0.3">
      <c r="A23" s="8" t="s">
        <v>73</v>
      </c>
      <c r="B23" s="9" t="s">
        <v>375</v>
      </c>
      <c r="C23" s="9" t="s">
        <v>14</v>
      </c>
      <c r="D23" s="9" t="s">
        <v>26</v>
      </c>
      <c r="E23" s="9" t="s">
        <v>616</v>
      </c>
      <c r="F23" s="9" t="s">
        <v>617</v>
      </c>
      <c r="G23" s="9" t="s">
        <v>619</v>
      </c>
      <c r="H23" s="10">
        <v>1026607509</v>
      </c>
      <c r="I23" s="10">
        <v>1164213554.6142166</v>
      </c>
      <c r="J23" s="10">
        <v>556678244</v>
      </c>
      <c r="K23" s="10">
        <f t="shared" si="0"/>
        <v>690281022.56000006</v>
      </c>
      <c r="L23" s="17">
        <f t="shared" si="1"/>
        <v>0.59291615341889514</v>
      </c>
      <c r="M23" s="17">
        <f t="shared" si="2"/>
        <v>-0.3276096107728742</v>
      </c>
    </row>
    <row r="24" spans="1:22" x14ac:dyDescent="0.3">
      <c r="A24" s="8" t="s">
        <v>74</v>
      </c>
      <c r="B24" s="9" t="s">
        <v>376</v>
      </c>
      <c r="C24" s="9" t="s">
        <v>16</v>
      </c>
      <c r="D24" s="9" t="s">
        <v>34</v>
      </c>
      <c r="E24" s="9" t="s">
        <v>616</v>
      </c>
      <c r="F24" s="9" t="s">
        <v>617</v>
      </c>
      <c r="G24" s="9" t="s">
        <v>621</v>
      </c>
      <c r="H24" s="10">
        <v>853896350</v>
      </c>
      <c r="I24" s="10">
        <v>960849546.69995677</v>
      </c>
      <c r="J24" s="10">
        <v>610241949</v>
      </c>
      <c r="K24" s="10">
        <f t="shared" si="0"/>
        <v>756700016.75999999</v>
      </c>
      <c r="L24" s="17">
        <f t="shared" si="1"/>
        <v>0.7875322617977919</v>
      </c>
      <c r="M24" s="17">
        <f t="shared" si="2"/>
        <v>-0.1138268517484587</v>
      </c>
    </row>
    <row r="25" spans="1:22" x14ac:dyDescent="0.3">
      <c r="A25" s="8" t="s">
        <v>75</v>
      </c>
      <c r="B25" s="9" t="s">
        <v>377</v>
      </c>
      <c r="C25" s="9" t="s">
        <v>16</v>
      </c>
      <c r="D25" s="9" t="s">
        <v>42</v>
      </c>
      <c r="E25" s="9" t="s">
        <v>616</v>
      </c>
      <c r="F25" s="9" t="s">
        <v>617</v>
      </c>
      <c r="G25" s="9" t="s">
        <v>618</v>
      </c>
      <c r="H25" s="10">
        <v>580748276</v>
      </c>
      <c r="I25" s="10">
        <v>732287867.15756321</v>
      </c>
      <c r="J25" s="10">
        <v>570982240</v>
      </c>
      <c r="K25" s="10">
        <f t="shared" si="0"/>
        <v>708017977.60000002</v>
      </c>
      <c r="L25" s="17">
        <f t="shared" si="1"/>
        <v>0.96685744685110131</v>
      </c>
      <c r="M25" s="17">
        <f t="shared" si="2"/>
        <v>0.21914779063416456</v>
      </c>
    </row>
    <row r="26" spans="1:22" x14ac:dyDescent="0.3">
      <c r="A26" s="8" t="s">
        <v>76</v>
      </c>
      <c r="B26" s="9" t="s">
        <v>378</v>
      </c>
      <c r="C26" s="9" t="s">
        <v>16</v>
      </c>
      <c r="D26" s="9" t="s">
        <v>22</v>
      </c>
      <c r="E26" s="9" t="s">
        <v>616</v>
      </c>
      <c r="F26" s="9" t="s">
        <v>617</v>
      </c>
      <c r="G26" s="9" t="s">
        <v>618</v>
      </c>
      <c r="H26" s="10">
        <v>786734920</v>
      </c>
      <c r="I26" s="10">
        <v>908452724.43954313</v>
      </c>
      <c r="J26" s="10">
        <v>492318459</v>
      </c>
      <c r="K26" s="10">
        <f t="shared" si="0"/>
        <v>610474889.15999997</v>
      </c>
      <c r="L26" s="17">
        <f t="shared" si="1"/>
        <v>0.67199412004254122</v>
      </c>
      <c r="M26" s="17">
        <f t="shared" si="2"/>
        <v>-0.22403992292600922</v>
      </c>
    </row>
    <row r="27" spans="1:22" x14ac:dyDescent="0.3">
      <c r="A27" s="8" t="s">
        <v>77</v>
      </c>
      <c r="B27" s="9" t="s">
        <v>379</v>
      </c>
      <c r="C27" s="9" t="s">
        <v>16</v>
      </c>
      <c r="D27" s="9" t="s">
        <v>44</v>
      </c>
      <c r="E27" s="9" t="s">
        <v>616</v>
      </c>
      <c r="F27" s="9" t="s">
        <v>617</v>
      </c>
      <c r="G27" s="9" t="s">
        <v>622</v>
      </c>
      <c r="H27" s="10">
        <v>330872359</v>
      </c>
      <c r="I27" s="10">
        <v>553522728.41721308</v>
      </c>
      <c r="J27" s="10">
        <v>240216970</v>
      </c>
      <c r="K27" s="10">
        <f t="shared" si="0"/>
        <v>297869042.80000001</v>
      </c>
      <c r="L27" s="17">
        <f t="shared" si="1"/>
        <v>0.53813335479782454</v>
      </c>
      <c r="M27" s="17">
        <f t="shared" si="2"/>
        <v>-9.9746368357110149E-2</v>
      </c>
    </row>
    <row r="28" spans="1:22" x14ac:dyDescent="0.3">
      <c r="A28" s="8" t="s">
        <v>78</v>
      </c>
      <c r="B28" s="9" t="s">
        <v>380</v>
      </c>
      <c r="C28" s="9" t="s">
        <v>16</v>
      </c>
      <c r="D28" s="9" t="s">
        <v>38</v>
      </c>
      <c r="E28" s="9" t="s">
        <v>616</v>
      </c>
      <c r="F28" s="9" t="s">
        <v>617</v>
      </c>
      <c r="G28" s="9" t="s">
        <v>621</v>
      </c>
      <c r="H28" s="10">
        <v>573507295</v>
      </c>
      <c r="I28" s="10">
        <v>690573342.99608994</v>
      </c>
      <c r="J28" s="10">
        <v>490872862</v>
      </c>
      <c r="K28" s="10">
        <f t="shared" si="0"/>
        <v>608682348.88</v>
      </c>
      <c r="L28" s="17">
        <f t="shared" si="1"/>
        <v>0.88141593511153871</v>
      </c>
      <c r="M28" s="17">
        <f t="shared" si="2"/>
        <v>6.1333228341934158E-2</v>
      </c>
    </row>
    <row r="29" spans="1:22" x14ac:dyDescent="0.3">
      <c r="A29" s="8" t="s">
        <v>79</v>
      </c>
      <c r="B29" s="9" t="s">
        <v>381</v>
      </c>
      <c r="C29" s="9" t="s">
        <v>16</v>
      </c>
      <c r="D29" s="9" t="s">
        <v>42</v>
      </c>
      <c r="E29" s="9" t="s">
        <v>616</v>
      </c>
      <c r="F29" s="9" t="s">
        <v>617</v>
      </c>
      <c r="G29" s="9" t="s">
        <v>618</v>
      </c>
      <c r="H29" s="10">
        <v>812493907</v>
      </c>
      <c r="I29" s="10">
        <v>966501611.22411549</v>
      </c>
      <c r="J29" s="10">
        <v>623161788</v>
      </c>
      <c r="K29" s="10">
        <f t="shared" si="0"/>
        <v>772720617.12</v>
      </c>
      <c r="L29" s="17">
        <f t="shared" si="1"/>
        <v>0.79950266833111261</v>
      </c>
      <c r="M29" s="17">
        <f t="shared" si="2"/>
        <v>-4.8952108486396313E-2</v>
      </c>
    </row>
    <row r="30" spans="1:22" x14ac:dyDescent="0.3">
      <c r="A30" s="8" t="s">
        <v>80</v>
      </c>
      <c r="B30" s="9" t="s">
        <v>382</v>
      </c>
      <c r="C30" s="9" t="s">
        <v>16</v>
      </c>
      <c r="D30" s="9" t="s">
        <v>44</v>
      </c>
      <c r="E30" s="9" t="s">
        <v>616</v>
      </c>
      <c r="F30" s="9" t="s">
        <v>617</v>
      </c>
      <c r="G30" s="9" t="s">
        <v>622</v>
      </c>
      <c r="H30" s="10">
        <v>613794744</v>
      </c>
      <c r="I30" s="10">
        <v>684552755.0767076</v>
      </c>
      <c r="J30" s="10">
        <v>410271079</v>
      </c>
      <c r="K30" s="10">
        <f t="shared" si="0"/>
        <v>508736137.95999998</v>
      </c>
      <c r="L30" s="17">
        <f t="shared" si="1"/>
        <v>0.74316571540639487</v>
      </c>
      <c r="M30" s="17">
        <f t="shared" si="2"/>
        <v>-0.17116243999639075</v>
      </c>
    </row>
    <row r="31" spans="1:22" x14ac:dyDescent="0.3">
      <c r="A31" s="8" t="s">
        <v>81</v>
      </c>
      <c r="B31" s="9" t="s">
        <v>383</v>
      </c>
      <c r="C31" s="9" t="s">
        <v>16</v>
      </c>
      <c r="D31" s="9" t="s">
        <v>40</v>
      </c>
      <c r="E31" s="9" t="s">
        <v>616</v>
      </c>
      <c r="F31" s="9" t="s">
        <v>617</v>
      </c>
      <c r="G31" s="9" t="s">
        <v>623</v>
      </c>
      <c r="H31" s="10">
        <v>1158876489</v>
      </c>
      <c r="I31" s="10">
        <v>1313747292.327548</v>
      </c>
      <c r="J31" s="10">
        <v>914063190</v>
      </c>
      <c r="K31" s="10">
        <f t="shared" si="0"/>
        <v>1133438355.6000001</v>
      </c>
      <c r="L31" s="17">
        <f t="shared" si="1"/>
        <v>0.86275219155116434</v>
      </c>
      <c r="M31" s="17">
        <f t="shared" si="2"/>
        <v>-2.1950685548854772E-2</v>
      </c>
    </row>
    <row r="32" spans="1:22" x14ac:dyDescent="0.3">
      <c r="A32" s="8" t="s">
        <v>82</v>
      </c>
      <c r="B32" s="9" t="s">
        <v>384</v>
      </c>
      <c r="C32" s="9" t="s">
        <v>16</v>
      </c>
      <c r="D32" s="9" t="s">
        <v>44</v>
      </c>
      <c r="E32" s="9" t="s">
        <v>616</v>
      </c>
      <c r="F32" s="9" t="s">
        <v>617</v>
      </c>
      <c r="G32" s="9" t="s">
        <v>622</v>
      </c>
      <c r="H32" s="10">
        <v>669430116</v>
      </c>
      <c r="I32" s="10">
        <v>746601628.80256677</v>
      </c>
      <c r="J32" s="10">
        <v>521627729</v>
      </c>
      <c r="K32" s="10">
        <f t="shared" si="0"/>
        <v>646818383.96000004</v>
      </c>
      <c r="L32" s="17">
        <f t="shared" si="1"/>
        <v>0.86635008417728265</v>
      </c>
      <c r="M32" s="17">
        <f t="shared" si="2"/>
        <v>-3.3777584096619823E-2</v>
      </c>
    </row>
    <row r="33" spans="1:13" x14ac:dyDescent="0.3">
      <c r="A33" s="8" t="s">
        <v>83</v>
      </c>
      <c r="B33" s="9" t="s">
        <v>385</v>
      </c>
      <c r="C33" s="9" t="s">
        <v>14</v>
      </c>
      <c r="D33" s="9" t="s">
        <v>32</v>
      </c>
      <c r="E33" s="9" t="s">
        <v>616</v>
      </c>
      <c r="F33" s="9" t="s">
        <v>617</v>
      </c>
      <c r="G33" s="9" t="s">
        <v>619</v>
      </c>
      <c r="H33" s="10">
        <v>544809639</v>
      </c>
      <c r="I33" s="10">
        <v>668648140.47140324</v>
      </c>
      <c r="J33" s="10">
        <v>290559024</v>
      </c>
      <c r="K33" s="10">
        <f t="shared" si="0"/>
        <v>360293189.76000005</v>
      </c>
      <c r="L33" s="17">
        <f t="shared" si="1"/>
        <v>0.53883824384225454</v>
      </c>
      <c r="M33" s="17">
        <f t="shared" si="2"/>
        <v>-0.33868058865236039</v>
      </c>
    </row>
    <row r="34" spans="1:13" x14ac:dyDescent="0.3">
      <c r="A34" s="8" t="s">
        <v>84</v>
      </c>
      <c r="B34" s="9" t="s">
        <v>386</v>
      </c>
      <c r="C34" s="9" t="s">
        <v>16</v>
      </c>
      <c r="D34" s="9" t="s">
        <v>44</v>
      </c>
      <c r="E34" s="9" t="s">
        <v>616</v>
      </c>
      <c r="F34" s="9" t="s">
        <v>617</v>
      </c>
      <c r="G34" s="9" t="s">
        <v>622</v>
      </c>
      <c r="H34" s="10">
        <v>473248233</v>
      </c>
      <c r="I34" s="10">
        <v>527804108.30819827</v>
      </c>
      <c r="J34" s="10">
        <v>406649366</v>
      </c>
      <c r="K34" s="10">
        <f t="shared" si="0"/>
        <v>504245213.84000003</v>
      </c>
      <c r="L34" s="17">
        <f t="shared" si="1"/>
        <v>0.95536432154021511</v>
      </c>
      <c r="M34" s="17">
        <f t="shared" si="2"/>
        <v>6.5498355151808949E-2</v>
      </c>
    </row>
    <row r="35" spans="1:13" x14ac:dyDescent="0.3">
      <c r="A35" s="8" t="s">
        <v>85</v>
      </c>
      <c r="B35" s="9" t="s">
        <v>387</v>
      </c>
      <c r="C35" s="9" t="s">
        <v>16</v>
      </c>
      <c r="D35" s="9" t="s">
        <v>34</v>
      </c>
      <c r="E35" s="9" t="s">
        <v>616</v>
      </c>
      <c r="F35" s="9" t="s">
        <v>617</v>
      </c>
      <c r="G35" s="9" t="s">
        <v>621</v>
      </c>
      <c r="H35" s="10">
        <v>585335968</v>
      </c>
      <c r="I35" s="10">
        <v>658651130.94514525</v>
      </c>
      <c r="J35" s="10">
        <v>551826266</v>
      </c>
      <c r="K35" s="10">
        <f t="shared" si="0"/>
        <v>684264569.84000003</v>
      </c>
      <c r="L35" s="17">
        <f t="shared" si="1"/>
        <v>1.0388877171714566</v>
      </c>
      <c r="M35" s="17">
        <f t="shared" si="2"/>
        <v>0.16901165697714313</v>
      </c>
    </row>
    <row r="36" spans="1:13" x14ac:dyDescent="0.3">
      <c r="A36" s="8" t="s">
        <v>86</v>
      </c>
      <c r="B36" s="9" t="s">
        <v>388</v>
      </c>
      <c r="C36" s="9" t="s">
        <v>16</v>
      </c>
      <c r="D36" s="9" t="s">
        <v>36</v>
      </c>
      <c r="E36" s="9" t="s">
        <v>616</v>
      </c>
      <c r="F36" s="9" t="s">
        <v>617</v>
      </c>
      <c r="G36" s="9" t="s">
        <v>622</v>
      </c>
      <c r="H36" s="10">
        <v>736271715</v>
      </c>
      <c r="I36" s="10">
        <v>858647115.93104386</v>
      </c>
      <c r="J36" s="10">
        <v>577579430</v>
      </c>
      <c r="K36" s="10">
        <f t="shared" si="0"/>
        <v>716198493.19999993</v>
      </c>
      <c r="L36" s="17">
        <f t="shared" si="1"/>
        <v>0.83410108752699319</v>
      </c>
      <c r="M36" s="17">
        <f t="shared" si="2"/>
        <v>-2.7263334161899824E-2</v>
      </c>
    </row>
    <row r="37" spans="1:13" x14ac:dyDescent="0.3">
      <c r="A37" s="8" t="s">
        <v>87</v>
      </c>
      <c r="B37" s="9" t="s">
        <v>389</v>
      </c>
      <c r="C37" s="9" t="s">
        <v>14</v>
      </c>
      <c r="D37" s="9" t="s">
        <v>32</v>
      </c>
      <c r="E37" s="9" t="s">
        <v>616</v>
      </c>
      <c r="F37" s="9" t="s">
        <v>617</v>
      </c>
      <c r="G37" s="9" t="s">
        <v>619</v>
      </c>
      <c r="H37" s="10">
        <v>783327146</v>
      </c>
      <c r="I37" s="10">
        <v>881983118.74077547</v>
      </c>
      <c r="J37" s="10">
        <v>478171478</v>
      </c>
      <c r="K37" s="10">
        <f t="shared" si="0"/>
        <v>592932632.72000003</v>
      </c>
      <c r="L37" s="17">
        <f t="shared" si="1"/>
        <v>0.67227208789045934</v>
      </c>
      <c r="M37" s="17">
        <f t="shared" si="2"/>
        <v>-0.24305874531763</v>
      </c>
    </row>
    <row r="38" spans="1:13" x14ac:dyDescent="0.3">
      <c r="A38" s="8" t="s">
        <v>88</v>
      </c>
      <c r="B38" s="9" t="s">
        <v>390</v>
      </c>
      <c r="C38" s="9" t="s">
        <v>16</v>
      </c>
      <c r="D38" s="9" t="s">
        <v>34</v>
      </c>
      <c r="E38" s="9" t="s">
        <v>616</v>
      </c>
      <c r="F38" s="9" t="s">
        <v>617</v>
      </c>
      <c r="G38" s="9" t="s">
        <v>621</v>
      </c>
      <c r="H38" s="10">
        <v>724694767</v>
      </c>
      <c r="I38" s="10">
        <v>815460939.41816318</v>
      </c>
      <c r="J38" s="10">
        <v>508119061</v>
      </c>
      <c r="K38" s="10">
        <f t="shared" si="0"/>
        <v>630067635.63999999</v>
      </c>
      <c r="L38" s="17">
        <f t="shared" si="1"/>
        <v>0.77265213474180316</v>
      </c>
      <c r="M38" s="17">
        <f t="shared" si="2"/>
        <v>-0.1305751547671932</v>
      </c>
    </row>
    <row r="39" spans="1:13" x14ac:dyDescent="0.3">
      <c r="A39" s="8" t="s">
        <v>89</v>
      </c>
      <c r="B39" s="9" t="s">
        <v>391</v>
      </c>
      <c r="C39" s="9" t="s">
        <v>16</v>
      </c>
      <c r="D39" s="9" t="s">
        <v>36</v>
      </c>
      <c r="E39" s="9" t="s">
        <v>616</v>
      </c>
      <c r="F39" s="9" t="s">
        <v>617</v>
      </c>
      <c r="G39" s="9" t="s">
        <v>622</v>
      </c>
      <c r="H39" s="10">
        <v>614492978</v>
      </c>
      <c r="I39" s="10">
        <v>702122352.22941637</v>
      </c>
      <c r="J39" s="10">
        <v>413719454</v>
      </c>
      <c r="K39" s="10">
        <f t="shared" si="0"/>
        <v>513012122.95999998</v>
      </c>
      <c r="L39" s="17">
        <f t="shared" si="1"/>
        <v>0.73065915268336989</v>
      </c>
      <c r="M39" s="17">
        <f t="shared" si="2"/>
        <v>-0.16514567077770581</v>
      </c>
    </row>
    <row r="40" spans="1:13" x14ac:dyDescent="0.3">
      <c r="A40" s="8" t="s">
        <v>90</v>
      </c>
      <c r="B40" s="9" t="s">
        <v>392</v>
      </c>
      <c r="C40" s="9" t="s">
        <v>16</v>
      </c>
      <c r="D40" s="9" t="s">
        <v>34</v>
      </c>
      <c r="E40" s="9" t="s">
        <v>616</v>
      </c>
      <c r="F40" s="9" t="s">
        <v>617</v>
      </c>
      <c r="G40" s="9" t="s">
        <v>621</v>
      </c>
      <c r="H40" s="10">
        <v>427288251</v>
      </c>
      <c r="I40" s="10">
        <v>504847695.48653907</v>
      </c>
      <c r="J40" s="10">
        <v>342081281</v>
      </c>
      <c r="K40" s="10">
        <f t="shared" si="0"/>
        <v>424180788.44</v>
      </c>
      <c r="L40" s="17">
        <f t="shared" si="1"/>
        <v>0.84021536045876644</v>
      </c>
      <c r="M40" s="17">
        <f t="shared" si="2"/>
        <v>-7.2725204887508187E-3</v>
      </c>
    </row>
    <row r="41" spans="1:13" x14ac:dyDescent="0.3">
      <c r="A41" s="8" t="s">
        <v>91</v>
      </c>
      <c r="B41" s="9" t="s">
        <v>393</v>
      </c>
      <c r="C41" s="9" t="s">
        <v>14</v>
      </c>
      <c r="D41" s="9" t="s">
        <v>28</v>
      </c>
      <c r="E41" s="9" t="s">
        <v>616</v>
      </c>
      <c r="F41" s="9" t="s">
        <v>617</v>
      </c>
      <c r="G41" s="9" t="s">
        <v>620</v>
      </c>
      <c r="H41" s="10">
        <v>663683506</v>
      </c>
      <c r="I41" s="10">
        <v>773343124.05470479</v>
      </c>
      <c r="J41" s="10">
        <v>565716305</v>
      </c>
      <c r="K41" s="10">
        <f t="shared" si="0"/>
        <v>701488218.19999993</v>
      </c>
      <c r="L41" s="17">
        <f t="shared" si="1"/>
        <v>0.90708534980182742</v>
      </c>
      <c r="M41" s="17">
        <f t="shared" si="2"/>
        <v>5.6961958310291244E-2</v>
      </c>
    </row>
    <row r="42" spans="1:13" x14ac:dyDescent="0.3">
      <c r="A42" s="8" t="s">
        <v>92</v>
      </c>
      <c r="B42" s="9" t="s">
        <v>394</v>
      </c>
      <c r="C42" s="9" t="s">
        <v>16</v>
      </c>
      <c r="D42" s="9" t="s">
        <v>34</v>
      </c>
      <c r="E42" s="9" t="s">
        <v>616</v>
      </c>
      <c r="F42" s="9" t="s">
        <v>617</v>
      </c>
      <c r="G42" s="9" t="s">
        <v>621</v>
      </c>
      <c r="H42" s="10">
        <v>672847632</v>
      </c>
      <c r="I42" s="10">
        <v>757123900.90365458</v>
      </c>
      <c r="J42" s="10">
        <v>557640296</v>
      </c>
      <c r="K42" s="10">
        <f t="shared" si="0"/>
        <v>691473967.03999996</v>
      </c>
      <c r="L42" s="17">
        <f t="shared" si="1"/>
        <v>0.91329036927073748</v>
      </c>
      <c r="M42" s="17">
        <f t="shared" si="2"/>
        <v>2.7682842525036874E-2</v>
      </c>
    </row>
    <row r="43" spans="1:13" x14ac:dyDescent="0.3">
      <c r="A43" s="8" t="s">
        <v>93</v>
      </c>
      <c r="B43" s="9" t="s">
        <v>395</v>
      </c>
      <c r="C43" s="9" t="s">
        <v>14</v>
      </c>
      <c r="D43" s="9" t="s">
        <v>30</v>
      </c>
      <c r="E43" s="9" t="s">
        <v>616</v>
      </c>
      <c r="F43" s="9" t="s">
        <v>617</v>
      </c>
      <c r="G43" s="9" t="s">
        <v>620</v>
      </c>
      <c r="H43" s="10">
        <v>669542167</v>
      </c>
      <c r="I43" s="10">
        <v>753490611.68922675</v>
      </c>
      <c r="J43" s="10">
        <v>487907067</v>
      </c>
      <c r="K43" s="10">
        <f t="shared" si="0"/>
        <v>605004763.08000004</v>
      </c>
      <c r="L43" s="17">
        <f t="shared" si="1"/>
        <v>0.8029360335673712</v>
      </c>
      <c r="M43" s="17">
        <f t="shared" si="2"/>
        <v>-9.6390350154003004E-2</v>
      </c>
    </row>
    <row r="44" spans="1:13" x14ac:dyDescent="0.3">
      <c r="A44" s="8" t="s">
        <v>94</v>
      </c>
      <c r="B44" s="9" t="s">
        <v>396</v>
      </c>
      <c r="C44" s="9" t="s">
        <v>14</v>
      </c>
      <c r="D44" s="9" t="s">
        <v>32</v>
      </c>
      <c r="E44" s="9" t="s">
        <v>616</v>
      </c>
      <c r="F44" s="9" t="s">
        <v>617</v>
      </c>
      <c r="G44" s="9" t="s">
        <v>619</v>
      </c>
      <c r="H44" s="10">
        <v>626969094</v>
      </c>
      <c r="I44" s="10">
        <v>705947732.93018067</v>
      </c>
      <c r="J44" s="10">
        <v>414249050</v>
      </c>
      <c r="K44" s="10">
        <f t="shared" si="0"/>
        <v>513668822</v>
      </c>
      <c r="L44" s="17">
        <f t="shared" si="1"/>
        <v>0.72763010353176194</v>
      </c>
      <c r="M44" s="17">
        <f t="shared" si="2"/>
        <v>-0.18071109578489047</v>
      </c>
    </row>
    <row r="45" spans="1:13" x14ac:dyDescent="0.3">
      <c r="A45" s="8" t="s">
        <v>95</v>
      </c>
      <c r="B45" s="9" t="s">
        <v>397</v>
      </c>
      <c r="C45" s="9" t="s">
        <v>16</v>
      </c>
      <c r="D45" s="9" t="s">
        <v>38</v>
      </c>
      <c r="E45" s="9" t="s">
        <v>616</v>
      </c>
      <c r="F45" s="9" t="s">
        <v>617</v>
      </c>
      <c r="G45" s="9" t="s">
        <v>621</v>
      </c>
      <c r="H45" s="10">
        <v>448394845</v>
      </c>
      <c r="I45" s="10">
        <v>539922456.79203784</v>
      </c>
      <c r="J45" s="10">
        <v>325426197</v>
      </c>
      <c r="K45" s="10">
        <f t="shared" si="0"/>
        <v>403528484.28000003</v>
      </c>
      <c r="L45" s="17">
        <f t="shared" si="1"/>
        <v>0.74738229389007849</v>
      </c>
      <c r="M45" s="17">
        <f t="shared" si="2"/>
        <v>-0.10005993873546867</v>
      </c>
    </row>
    <row r="46" spans="1:13" x14ac:dyDescent="0.3">
      <c r="A46" s="8" t="s">
        <v>31</v>
      </c>
      <c r="B46" s="9" t="s">
        <v>342</v>
      </c>
      <c r="C46" s="9" t="s">
        <v>14</v>
      </c>
      <c r="D46" s="9" t="s">
        <v>32</v>
      </c>
      <c r="E46" s="9" t="s">
        <v>616</v>
      </c>
      <c r="F46" s="9" t="s">
        <v>617</v>
      </c>
      <c r="G46" s="9" t="s">
        <v>619</v>
      </c>
      <c r="H46" s="10">
        <v>928760576</v>
      </c>
      <c r="I46" s="10">
        <v>1045754453.8266253</v>
      </c>
      <c r="J46" s="10">
        <v>585195327</v>
      </c>
      <c r="K46" s="10">
        <f t="shared" si="0"/>
        <v>725642205.4799999</v>
      </c>
      <c r="L46" s="17">
        <f t="shared" si="1"/>
        <v>0.69389348792608962</v>
      </c>
      <c r="M46" s="17">
        <f t="shared" si="2"/>
        <v>-0.21869831231940673</v>
      </c>
    </row>
    <row r="47" spans="1:13" x14ac:dyDescent="0.3">
      <c r="A47" s="8" t="s">
        <v>96</v>
      </c>
      <c r="B47" s="9" t="s">
        <v>398</v>
      </c>
      <c r="C47" s="9" t="s">
        <v>14</v>
      </c>
      <c r="D47" s="9" t="s">
        <v>32</v>
      </c>
      <c r="E47" s="9" t="s">
        <v>616</v>
      </c>
      <c r="F47" s="9" t="s">
        <v>617</v>
      </c>
      <c r="G47" s="9" t="s">
        <v>619</v>
      </c>
      <c r="H47" s="10">
        <v>677435925</v>
      </c>
      <c r="I47" s="10">
        <v>762771815.9500984</v>
      </c>
      <c r="J47" s="10">
        <v>443326330</v>
      </c>
      <c r="K47" s="10">
        <f t="shared" si="0"/>
        <v>549724649.19999993</v>
      </c>
      <c r="L47" s="17">
        <f t="shared" si="1"/>
        <v>0.72069344685378844</v>
      </c>
      <c r="M47" s="17">
        <f t="shared" si="2"/>
        <v>-0.18852155766613657</v>
      </c>
    </row>
    <row r="48" spans="1:13" x14ac:dyDescent="0.3">
      <c r="A48" s="8" t="s">
        <v>97</v>
      </c>
      <c r="B48" s="9" t="s">
        <v>399</v>
      </c>
      <c r="C48" s="9" t="s">
        <v>16</v>
      </c>
      <c r="D48" s="9" t="s">
        <v>44</v>
      </c>
      <c r="E48" s="9" t="s">
        <v>616</v>
      </c>
      <c r="F48" s="9" t="s">
        <v>617</v>
      </c>
      <c r="G48" s="9" t="s">
        <v>622</v>
      </c>
      <c r="H48" s="10">
        <v>543040833</v>
      </c>
      <c r="I48" s="10">
        <v>605642322.35669315</v>
      </c>
      <c r="J48" s="10">
        <v>313216669</v>
      </c>
      <c r="K48" s="10">
        <f t="shared" si="0"/>
        <v>388388669.56</v>
      </c>
      <c r="L48" s="17">
        <f t="shared" si="1"/>
        <v>0.64128389847111511</v>
      </c>
      <c r="M48" s="17">
        <f t="shared" si="2"/>
        <v>-0.28478919823695836</v>
      </c>
    </row>
    <row r="49" spans="1:13" x14ac:dyDescent="0.3">
      <c r="A49" s="8" t="s">
        <v>98</v>
      </c>
      <c r="B49" s="9" t="s">
        <v>400</v>
      </c>
      <c r="C49" s="9" t="s">
        <v>16</v>
      </c>
      <c r="D49" s="9" t="s">
        <v>22</v>
      </c>
      <c r="E49" s="9" t="s">
        <v>616</v>
      </c>
      <c r="F49" s="9" t="s">
        <v>617</v>
      </c>
      <c r="G49" s="9" t="s">
        <v>618</v>
      </c>
      <c r="H49" s="10">
        <v>861796141</v>
      </c>
      <c r="I49" s="10">
        <v>975156280.86407578</v>
      </c>
      <c r="J49" s="10">
        <v>733789913</v>
      </c>
      <c r="K49" s="10">
        <f t="shared" si="0"/>
        <v>909899492.12</v>
      </c>
      <c r="L49" s="17">
        <f t="shared" si="1"/>
        <v>0.93308068662978572</v>
      </c>
      <c r="M49" s="17">
        <f t="shared" si="2"/>
        <v>5.5817552239422252E-2</v>
      </c>
    </row>
    <row r="50" spans="1:13" x14ac:dyDescent="0.3">
      <c r="A50" s="8" t="s">
        <v>99</v>
      </c>
      <c r="B50" s="9" t="s">
        <v>401</v>
      </c>
      <c r="C50" s="9" t="s">
        <v>16</v>
      </c>
      <c r="D50" s="9" t="s">
        <v>42</v>
      </c>
      <c r="E50" s="9" t="s">
        <v>616</v>
      </c>
      <c r="F50" s="9" t="s">
        <v>617</v>
      </c>
      <c r="G50" s="9" t="s">
        <v>618</v>
      </c>
      <c r="H50" s="10">
        <v>820876863</v>
      </c>
      <c r="I50" s="10">
        <v>975963180.28663659</v>
      </c>
      <c r="J50" s="10">
        <v>541610468</v>
      </c>
      <c r="K50" s="10">
        <f t="shared" si="0"/>
        <v>671596980.31999993</v>
      </c>
      <c r="L50" s="17">
        <f t="shared" si="1"/>
        <v>0.68813762023558567</v>
      </c>
      <c r="M50" s="17">
        <f t="shared" si="2"/>
        <v>-0.18185417254231961</v>
      </c>
    </row>
    <row r="51" spans="1:13" x14ac:dyDescent="0.3">
      <c r="A51" s="8" t="s">
        <v>100</v>
      </c>
      <c r="B51" s="9" t="s">
        <v>402</v>
      </c>
      <c r="C51" s="9" t="s">
        <v>16</v>
      </c>
      <c r="D51" s="9" t="s">
        <v>44</v>
      </c>
      <c r="E51" s="9" t="s">
        <v>616</v>
      </c>
      <c r="F51" s="9" t="s">
        <v>617</v>
      </c>
      <c r="G51" s="9" t="s">
        <v>622</v>
      </c>
      <c r="H51" s="10">
        <v>192287030</v>
      </c>
      <c r="I51" s="10">
        <v>350817786.67441463</v>
      </c>
      <c r="J51" s="10">
        <v>131835811</v>
      </c>
      <c r="K51" s="10">
        <f t="shared" si="0"/>
        <v>163476405.64000002</v>
      </c>
      <c r="L51" s="17">
        <f t="shared" si="1"/>
        <v>0.46598665133167394</v>
      </c>
      <c r="M51" s="17">
        <f t="shared" si="2"/>
        <v>-0.14983134515104832</v>
      </c>
    </row>
    <row r="52" spans="1:13" x14ac:dyDescent="0.3">
      <c r="A52" s="8" t="s">
        <v>101</v>
      </c>
      <c r="B52" s="9" t="s">
        <v>403</v>
      </c>
      <c r="C52" s="9" t="s">
        <v>16</v>
      </c>
      <c r="D52" s="9" t="s">
        <v>42</v>
      </c>
      <c r="E52" s="9" t="s">
        <v>616</v>
      </c>
      <c r="F52" s="9" t="s">
        <v>617</v>
      </c>
      <c r="G52" s="9" t="s">
        <v>618</v>
      </c>
      <c r="H52" s="10">
        <v>504011210</v>
      </c>
      <c r="I52" s="10">
        <v>599553876.71157408</v>
      </c>
      <c r="J52" s="10">
        <v>302721593</v>
      </c>
      <c r="K52" s="10">
        <f t="shared" si="0"/>
        <v>375374775.31999999</v>
      </c>
      <c r="L52" s="17">
        <f t="shared" si="1"/>
        <v>0.62609014785935679</v>
      </c>
      <c r="M52" s="17">
        <f t="shared" si="2"/>
        <v>-0.25522534445216011</v>
      </c>
    </row>
    <row r="53" spans="1:13" x14ac:dyDescent="0.3">
      <c r="A53" s="8" t="s">
        <v>102</v>
      </c>
      <c r="B53" s="9" t="s">
        <v>404</v>
      </c>
      <c r="C53" s="9" t="s">
        <v>16</v>
      </c>
      <c r="D53" s="9" t="s">
        <v>42</v>
      </c>
      <c r="E53" s="9" t="s">
        <v>616</v>
      </c>
      <c r="F53" s="9" t="s">
        <v>617</v>
      </c>
      <c r="G53" s="9" t="s">
        <v>618</v>
      </c>
      <c r="H53" s="10">
        <v>674710678</v>
      </c>
      <c r="I53" s="10">
        <v>802612026.760409</v>
      </c>
      <c r="J53" s="10">
        <v>108855646</v>
      </c>
      <c r="K53" s="10">
        <f t="shared" si="0"/>
        <v>134981001.03999999</v>
      </c>
      <c r="L53" s="17">
        <f t="shared" si="1"/>
        <v>0.16817714728849151</v>
      </c>
      <c r="M53" s="17">
        <f t="shared" si="2"/>
        <v>-0.79994239688022251</v>
      </c>
    </row>
    <row r="54" spans="1:13" x14ac:dyDescent="0.3">
      <c r="A54" s="8" t="s">
        <v>103</v>
      </c>
      <c r="B54" s="9" t="s">
        <v>405</v>
      </c>
      <c r="C54" s="9" t="s">
        <v>14</v>
      </c>
      <c r="D54" s="9" t="s">
        <v>26</v>
      </c>
      <c r="E54" s="9" t="s">
        <v>616</v>
      </c>
      <c r="F54" s="9" t="s">
        <v>617</v>
      </c>
      <c r="G54" s="9" t="s">
        <v>619</v>
      </c>
      <c r="H54" s="10">
        <v>579039950</v>
      </c>
      <c r="I54" s="10">
        <v>656654313.80516386</v>
      </c>
      <c r="J54" s="10">
        <v>415318953</v>
      </c>
      <c r="K54" s="10">
        <f t="shared" si="0"/>
        <v>514995501.71999997</v>
      </c>
      <c r="L54" s="17">
        <f t="shared" si="1"/>
        <v>0.78427186252035264</v>
      </c>
      <c r="M54" s="17">
        <f t="shared" si="2"/>
        <v>-0.11060454167281555</v>
      </c>
    </row>
    <row r="55" spans="1:13" x14ac:dyDescent="0.3">
      <c r="A55" s="8" t="s">
        <v>104</v>
      </c>
      <c r="B55" s="9" t="s">
        <v>406</v>
      </c>
      <c r="C55" s="9" t="s">
        <v>16</v>
      </c>
      <c r="D55" s="9" t="s">
        <v>36</v>
      </c>
      <c r="E55" s="9" t="s">
        <v>616</v>
      </c>
      <c r="F55" s="9" t="s">
        <v>617</v>
      </c>
      <c r="G55" s="9" t="s">
        <v>622</v>
      </c>
      <c r="H55" s="10">
        <v>325456577</v>
      </c>
      <c r="I55" s="10">
        <v>401882098.80812413</v>
      </c>
      <c r="J55" s="10">
        <v>217040951</v>
      </c>
      <c r="K55" s="10">
        <f t="shared" si="0"/>
        <v>269130779.23999995</v>
      </c>
      <c r="L55" s="17">
        <f t="shared" si="1"/>
        <v>0.66967595729735307</v>
      </c>
      <c r="M55" s="17">
        <f t="shared" si="2"/>
        <v>-0.17306701336074107</v>
      </c>
    </row>
    <row r="56" spans="1:13" x14ac:dyDescent="0.3">
      <c r="A56" s="8" t="s">
        <v>105</v>
      </c>
      <c r="B56" s="9" t="s">
        <v>407</v>
      </c>
      <c r="C56" s="9" t="s">
        <v>14</v>
      </c>
      <c r="D56" s="9" t="s">
        <v>32</v>
      </c>
      <c r="E56" s="9" t="s">
        <v>616</v>
      </c>
      <c r="F56" s="9" t="s">
        <v>617</v>
      </c>
      <c r="G56" s="9" t="s">
        <v>619</v>
      </c>
      <c r="H56" s="10">
        <v>521796118</v>
      </c>
      <c r="I56" s="10">
        <v>596339227.41369188</v>
      </c>
      <c r="J56" s="10">
        <v>442890859</v>
      </c>
      <c r="K56" s="10">
        <f t="shared" si="0"/>
        <v>549184665.15999997</v>
      </c>
      <c r="L56" s="17">
        <f t="shared" si="1"/>
        <v>0.92092661343410187</v>
      </c>
      <c r="M56" s="17">
        <f t="shared" si="2"/>
        <v>5.2488982219679847E-2</v>
      </c>
    </row>
    <row r="57" spans="1:13" x14ac:dyDescent="0.3">
      <c r="A57" s="8" t="s">
        <v>106</v>
      </c>
      <c r="B57" s="9" t="s">
        <v>408</v>
      </c>
      <c r="C57" s="9" t="s">
        <v>16</v>
      </c>
      <c r="D57" s="9" t="s">
        <v>34</v>
      </c>
      <c r="E57" s="9" t="s">
        <v>616</v>
      </c>
      <c r="F57" s="9" t="s">
        <v>617</v>
      </c>
      <c r="G57" s="9" t="s">
        <v>621</v>
      </c>
      <c r="H57" s="10">
        <v>450822949</v>
      </c>
      <c r="I57" s="10">
        <v>507289797.03730345</v>
      </c>
      <c r="J57" s="10">
        <v>350443468</v>
      </c>
      <c r="K57" s="10">
        <f t="shared" si="0"/>
        <v>434549900.31999999</v>
      </c>
      <c r="L57" s="17">
        <f t="shared" si="1"/>
        <v>0.85661076342926223</v>
      </c>
      <c r="M57" s="17">
        <f t="shared" si="2"/>
        <v>-3.6096318335382717E-2</v>
      </c>
    </row>
    <row r="58" spans="1:13" x14ac:dyDescent="0.3">
      <c r="A58" s="8" t="s">
        <v>107</v>
      </c>
      <c r="B58" s="9" t="s">
        <v>409</v>
      </c>
      <c r="C58" s="9" t="s">
        <v>16</v>
      </c>
      <c r="D58" s="9" t="s">
        <v>34</v>
      </c>
      <c r="E58" s="9" t="s">
        <v>616</v>
      </c>
      <c r="F58" s="9" t="s">
        <v>617</v>
      </c>
      <c r="G58" s="9" t="s">
        <v>621</v>
      </c>
      <c r="H58" s="10">
        <v>554784858</v>
      </c>
      <c r="I58" s="10">
        <v>624273350.18614447</v>
      </c>
      <c r="J58" s="10">
        <v>272785242</v>
      </c>
      <c r="K58" s="10">
        <f t="shared" si="0"/>
        <v>338253700.07999998</v>
      </c>
      <c r="L58" s="17">
        <f t="shared" si="1"/>
        <v>0.54183588003418737</v>
      </c>
      <c r="M58" s="17">
        <f t="shared" si="2"/>
        <v>-0.39029752668556073</v>
      </c>
    </row>
    <row r="59" spans="1:13" x14ac:dyDescent="0.3">
      <c r="A59" s="8" t="s">
        <v>108</v>
      </c>
      <c r="B59" s="9" t="s">
        <v>410</v>
      </c>
      <c r="C59" s="9" t="s">
        <v>14</v>
      </c>
      <c r="D59" s="9" t="s">
        <v>24</v>
      </c>
      <c r="E59" s="9" t="s">
        <v>616</v>
      </c>
      <c r="F59" s="9" t="s">
        <v>617</v>
      </c>
      <c r="G59" s="9" t="s">
        <v>619</v>
      </c>
      <c r="H59" s="10">
        <v>472703511</v>
      </c>
      <c r="I59" s="10">
        <v>555257813.17661905</v>
      </c>
      <c r="J59" s="10">
        <v>381380880</v>
      </c>
      <c r="K59" s="10">
        <f t="shared" si="0"/>
        <v>472912291.19999999</v>
      </c>
      <c r="L59" s="17">
        <f t="shared" si="1"/>
        <v>0.85169858033060009</v>
      </c>
      <c r="M59" s="17">
        <f t="shared" si="2"/>
        <v>4.4167262383627202E-4</v>
      </c>
    </row>
    <row r="60" spans="1:13" x14ac:dyDescent="0.3">
      <c r="A60" s="8" t="s">
        <v>109</v>
      </c>
      <c r="B60" s="9" t="s">
        <v>411</v>
      </c>
      <c r="C60" s="9" t="s">
        <v>16</v>
      </c>
      <c r="D60" s="9" t="s">
        <v>38</v>
      </c>
      <c r="E60" s="9" t="s">
        <v>616</v>
      </c>
      <c r="F60" s="9" t="s">
        <v>617</v>
      </c>
      <c r="G60" s="9" t="s">
        <v>621</v>
      </c>
      <c r="H60" s="10">
        <v>380387585</v>
      </c>
      <c r="I60" s="10">
        <v>458033395.63572967</v>
      </c>
      <c r="J60" s="10">
        <v>265576970</v>
      </c>
      <c r="K60" s="10">
        <f t="shared" si="0"/>
        <v>329315442.80000001</v>
      </c>
      <c r="L60" s="17">
        <f t="shared" si="1"/>
        <v>0.71897692600105079</v>
      </c>
      <c r="M60" s="17">
        <f t="shared" si="2"/>
        <v>-0.13426343081097136</v>
      </c>
    </row>
    <row r="61" spans="1:13" x14ac:dyDescent="0.3">
      <c r="A61" s="8" t="s">
        <v>33</v>
      </c>
      <c r="B61" s="9" t="s">
        <v>343</v>
      </c>
      <c r="C61" s="9" t="s">
        <v>16</v>
      </c>
      <c r="D61" s="9" t="s">
        <v>36</v>
      </c>
      <c r="E61" s="9" t="s">
        <v>616</v>
      </c>
      <c r="F61" s="9" t="s">
        <v>617</v>
      </c>
      <c r="G61" s="9" t="s">
        <v>622</v>
      </c>
      <c r="H61" s="10">
        <v>544867686</v>
      </c>
      <c r="I61" s="10">
        <v>622978195.34049869</v>
      </c>
      <c r="J61" s="10">
        <v>317209735</v>
      </c>
      <c r="K61" s="10">
        <f t="shared" si="0"/>
        <v>393340071.40000004</v>
      </c>
      <c r="L61" s="17">
        <f t="shared" si="1"/>
        <v>0.63138657876302351</v>
      </c>
      <c r="M61" s="17">
        <f t="shared" si="2"/>
        <v>-0.2780998368840687</v>
      </c>
    </row>
    <row r="62" spans="1:13" x14ac:dyDescent="0.3">
      <c r="A62" s="8" t="s">
        <v>110</v>
      </c>
      <c r="B62" s="9" t="s">
        <v>412</v>
      </c>
      <c r="C62" s="9" t="s">
        <v>14</v>
      </c>
      <c r="D62" s="9" t="s">
        <v>32</v>
      </c>
      <c r="E62" s="9" t="s">
        <v>616</v>
      </c>
      <c r="F62" s="9" t="s">
        <v>617</v>
      </c>
      <c r="G62" s="9" t="s">
        <v>619</v>
      </c>
      <c r="H62" s="10">
        <v>422933512</v>
      </c>
      <c r="I62" s="10">
        <v>476210101.48853123</v>
      </c>
      <c r="J62" s="10">
        <v>260299301</v>
      </c>
      <c r="K62" s="10">
        <f t="shared" si="0"/>
        <v>322771133.23999995</v>
      </c>
      <c r="L62" s="17">
        <f t="shared" si="1"/>
        <v>0.67779144589979556</v>
      </c>
      <c r="M62" s="17">
        <f t="shared" si="2"/>
        <v>-0.23682771858475959</v>
      </c>
    </row>
    <row r="63" spans="1:13" x14ac:dyDescent="0.3">
      <c r="A63" s="8" t="s">
        <v>111</v>
      </c>
      <c r="B63" s="9" t="s">
        <v>413</v>
      </c>
      <c r="C63" s="9" t="s">
        <v>16</v>
      </c>
      <c r="D63" s="9" t="s">
        <v>34</v>
      </c>
      <c r="E63" s="9" t="s">
        <v>616</v>
      </c>
      <c r="F63" s="9" t="s">
        <v>617</v>
      </c>
      <c r="G63" s="9" t="s">
        <v>621</v>
      </c>
      <c r="H63" s="10">
        <v>306637906</v>
      </c>
      <c r="I63" s="10">
        <v>400252354.20788205</v>
      </c>
      <c r="J63" s="10">
        <v>147327697</v>
      </c>
      <c r="K63" s="10">
        <f t="shared" si="0"/>
        <v>182686344.28</v>
      </c>
      <c r="L63" s="17">
        <f t="shared" si="1"/>
        <v>0.45642790694272051</v>
      </c>
      <c r="M63" s="17">
        <f t="shared" si="2"/>
        <v>-0.40422778558890887</v>
      </c>
    </row>
    <row r="64" spans="1:13" x14ac:dyDescent="0.3">
      <c r="A64" s="8" t="s">
        <v>112</v>
      </c>
      <c r="B64" s="9" t="s">
        <v>414</v>
      </c>
      <c r="C64" s="9" t="s">
        <v>14</v>
      </c>
      <c r="D64" s="9" t="s">
        <v>32</v>
      </c>
      <c r="E64" s="9" t="s">
        <v>616</v>
      </c>
      <c r="F64" s="9" t="s">
        <v>617</v>
      </c>
      <c r="G64" s="9" t="s">
        <v>619</v>
      </c>
      <c r="H64" s="10">
        <v>423678678</v>
      </c>
      <c r="I64" s="10">
        <v>477049012.71102327</v>
      </c>
      <c r="J64" s="10">
        <v>215686329</v>
      </c>
      <c r="K64" s="10">
        <f>IFERROR(J64/$A$1*$B$1,0)</f>
        <v>267451047.96000001</v>
      </c>
      <c r="L64" s="17">
        <f>IFERROR(K64/I64,0)</f>
        <v>0.56063641435940015</v>
      </c>
      <c r="M64" s="17">
        <f>IFERROR((K64-H64)/H64,0)</f>
        <v>-0.36874083628064946</v>
      </c>
    </row>
    <row r="65" spans="1:13" x14ac:dyDescent="0.3">
      <c r="A65" s="8" t="s">
        <v>113</v>
      </c>
      <c r="B65" s="9" t="s">
        <v>415</v>
      </c>
      <c r="C65" s="9" t="s">
        <v>14</v>
      </c>
      <c r="D65" s="9" t="s">
        <v>24</v>
      </c>
      <c r="E65" s="9" t="s">
        <v>616</v>
      </c>
      <c r="F65" s="9" t="s">
        <v>617</v>
      </c>
      <c r="G65" s="9" t="s">
        <v>619</v>
      </c>
      <c r="H65" s="10">
        <v>406444780</v>
      </c>
      <c r="I65" s="10">
        <v>477427434.54484487</v>
      </c>
      <c r="J65" s="10">
        <v>244692838</v>
      </c>
      <c r="K65" s="10">
        <f t="shared" ref="K65:K68" si="7">IFERROR(J65/$A$1*$B$1,0)</f>
        <v>303419119.12</v>
      </c>
      <c r="L65" s="17">
        <f t="shared" ref="L65:L69" si="8">IFERROR(K65/I65,0)</f>
        <v>0.63552929129274782</v>
      </c>
      <c r="M65" s="17">
        <f t="shared" ref="M65:M69" si="9">IFERROR((K65-H65)/H65,0)</f>
        <v>-0.25348009360582757</v>
      </c>
    </row>
    <row r="66" spans="1:13" x14ac:dyDescent="0.3">
      <c r="A66" s="8" t="s">
        <v>114</v>
      </c>
      <c r="B66" s="9" t="s">
        <v>416</v>
      </c>
      <c r="C66" s="9" t="s">
        <v>16</v>
      </c>
      <c r="D66" s="9" t="s">
        <v>38</v>
      </c>
      <c r="E66" s="9" t="s">
        <v>616</v>
      </c>
      <c r="F66" s="9" t="s">
        <v>617</v>
      </c>
      <c r="G66" s="9" t="s">
        <v>621</v>
      </c>
      <c r="H66" s="10">
        <v>587930583</v>
      </c>
      <c r="I66" s="10">
        <v>707934409.34323096</v>
      </c>
      <c r="J66" s="10">
        <v>329569044</v>
      </c>
      <c r="K66" s="10">
        <f t="shared" si="7"/>
        <v>408665614.56</v>
      </c>
      <c r="L66" s="17">
        <f t="shared" si="8"/>
        <v>0.57726479906398342</v>
      </c>
      <c r="M66" s="17">
        <f t="shared" si="9"/>
        <v>-0.30490839160853789</v>
      </c>
    </row>
    <row r="67" spans="1:13" x14ac:dyDescent="0.3">
      <c r="A67" s="8" t="s">
        <v>115</v>
      </c>
      <c r="B67" s="9" t="s">
        <v>417</v>
      </c>
      <c r="C67" s="9" t="s">
        <v>16</v>
      </c>
      <c r="D67" s="9" t="s">
        <v>34</v>
      </c>
      <c r="E67" s="9" t="s">
        <v>616</v>
      </c>
      <c r="F67" s="9" t="s">
        <v>617</v>
      </c>
      <c r="G67" s="9" t="s">
        <v>621</v>
      </c>
      <c r="H67" s="10">
        <v>589498607</v>
      </c>
      <c r="I67" s="10">
        <v>662727853.29560637</v>
      </c>
      <c r="J67" s="10">
        <v>353816613</v>
      </c>
      <c r="K67" s="10">
        <f t="shared" si="7"/>
        <v>438732600.12</v>
      </c>
      <c r="L67" s="17">
        <f t="shared" si="8"/>
        <v>0.66201020213391515</v>
      </c>
      <c r="M67" s="17">
        <f t="shared" si="9"/>
        <v>-0.25575294850527103</v>
      </c>
    </row>
    <row r="68" spans="1:13" x14ac:dyDescent="0.3">
      <c r="A68" s="8" t="s">
        <v>50</v>
      </c>
      <c r="B68" s="9" t="s">
        <v>354</v>
      </c>
      <c r="C68" s="9" t="s">
        <v>14</v>
      </c>
      <c r="D68" s="9" t="s">
        <v>30</v>
      </c>
      <c r="E68" s="9" t="s">
        <v>616</v>
      </c>
      <c r="F68" s="9" t="s">
        <v>617</v>
      </c>
      <c r="G68" s="9" t="s">
        <v>620</v>
      </c>
      <c r="H68" s="10">
        <v>1697268459</v>
      </c>
      <c r="I68" s="10">
        <v>1891188883.8023508</v>
      </c>
      <c r="J68" s="10">
        <v>1200345881</v>
      </c>
      <c r="K68" s="10">
        <f t="shared" si="7"/>
        <v>1488428892.4400001</v>
      </c>
      <c r="L68" s="17">
        <f t="shared" si="8"/>
        <v>0.78703343975215356</v>
      </c>
      <c r="M68" s="17">
        <f t="shared" si="9"/>
        <v>-0.12304451040293558</v>
      </c>
    </row>
    <row r="69" spans="1:13" x14ac:dyDescent="0.3">
      <c r="A69" s="4"/>
      <c r="B69" s="7"/>
      <c r="C69" s="7"/>
      <c r="D69" s="7"/>
      <c r="E69" s="7"/>
      <c r="F69" s="7"/>
      <c r="G69" s="7"/>
      <c r="H69" s="12">
        <f>SUM(H5:H68)</f>
        <v>47070780551</v>
      </c>
      <c r="I69" s="12">
        <f>SUM(I5:I68)</f>
        <v>54522315134.749481</v>
      </c>
      <c r="J69" s="12">
        <f>SUM(J5:J68)</f>
        <v>32784061385</v>
      </c>
      <c r="K69" s="12">
        <f>SUM(K5:K68)</f>
        <v>40652236117.400002</v>
      </c>
      <c r="L69" s="13">
        <f t="shared" si="8"/>
        <v>0.74560729890008903</v>
      </c>
      <c r="M69" s="13">
        <f t="shared" si="9"/>
        <v>-0.13635942209723223</v>
      </c>
    </row>
    <row r="82" spans="1:22" s="15" customFormat="1" ht="23.35" customHeight="1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P82"/>
      <c r="Q82"/>
      <c r="R82"/>
      <c r="S82"/>
      <c r="T82"/>
      <c r="U82"/>
      <c r="V82"/>
    </row>
  </sheetData>
  <autoFilter ref="A4:M69" xr:uid="{60EBAEF1-B3ED-49C0-9A75-083393D4FE3D}"/>
  <mergeCells count="2">
    <mergeCell ref="A3:M3"/>
    <mergeCell ref="P3:V3"/>
  </mergeCells>
  <conditionalFormatting sqref="V5:V7 M5:M69 V10:V22">
    <cfRule type="cellIs" dxfId="36" priority="1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FF941-9F65-4ADC-928D-3D5648EC87F8}">
  <dimension ref="A1:Z208"/>
  <sheetViews>
    <sheetView showGridLines="0" zoomScale="68" zoomScaleNormal="70" workbookViewId="0">
      <pane ySplit="4" topLeftCell="A5" activePane="bottomLeft" state="frozen"/>
      <selection activeCell="J6" sqref="J6"/>
      <selection pane="bottomLeft" activeCell="J6" sqref="J6"/>
    </sheetView>
  </sheetViews>
  <sheetFormatPr defaultRowHeight="15.05" x14ac:dyDescent="0.3"/>
  <cols>
    <col min="1" max="1" width="8.5546875" bestFit="1" customWidth="1"/>
    <col min="2" max="2" width="38.77734375" bestFit="1" customWidth="1"/>
    <col min="3" max="3" width="15.109375" bestFit="1" customWidth="1"/>
    <col min="4" max="4" width="23" bestFit="1" customWidth="1"/>
    <col min="5" max="6" width="23" customWidth="1"/>
    <col min="7" max="7" width="19.44140625" bestFit="1" customWidth="1"/>
    <col min="8" max="13" width="15.6640625" customWidth="1"/>
    <col min="16" max="16" width="23" bestFit="1" customWidth="1"/>
    <col min="17" max="22" width="16.44140625" customWidth="1"/>
    <col min="25" max="25" width="14.21875" style="15" customWidth="1"/>
    <col min="26" max="26" width="25.6640625" style="15" customWidth="1"/>
  </cols>
  <sheetData>
    <row r="1" spans="1:26" x14ac:dyDescent="0.3">
      <c r="A1" s="1">
        <v>25</v>
      </c>
      <c r="B1" s="1">
        <v>31</v>
      </c>
      <c r="G1" s="15"/>
      <c r="H1" s="15"/>
      <c r="I1" s="15"/>
      <c r="J1" s="15"/>
      <c r="K1" s="15"/>
    </row>
    <row r="2" spans="1:26" x14ac:dyDescent="0.3">
      <c r="A2" s="16"/>
      <c r="B2" s="16"/>
    </row>
    <row r="3" spans="1:26" s="3" customFormat="1" ht="23.5" customHeight="1" x14ac:dyDescent="0.3">
      <c r="A3" s="2" t="str">
        <f>"TELKOMSEL (01 - "&amp;A1&amp;" MEI 2026)"</f>
        <v>TELKOMSEL (01 - 25 MEI 2026)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P3" s="2" t="str">
        <f>A3</f>
        <v>TELKOMSEL (01 - 25 MEI 2026)</v>
      </c>
      <c r="Q3" s="2"/>
      <c r="R3" s="2"/>
      <c r="S3" s="2"/>
      <c r="T3" s="2"/>
      <c r="U3" s="2"/>
      <c r="V3" s="2"/>
      <c r="Y3" s="19" t="str">
        <f>A3</f>
        <v>TELKOMSEL (01 - 25 MEI 2026)</v>
      </c>
      <c r="Z3" s="19"/>
    </row>
    <row r="4" spans="1:26" s="3" customFormat="1" ht="23.5" customHeight="1" x14ac:dyDescent="0.3">
      <c r="A4" s="4" t="s">
        <v>0</v>
      </c>
      <c r="B4" s="5" t="s">
        <v>1</v>
      </c>
      <c r="C4" s="5" t="s">
        <v>2</v>
      </c>
      <c r="D4" s="5" t="s">
        <v>3</v>
      </c>
      <c r="E4" s="5" t="s">
        <v>4</v>
      </c>
      <c r="F4" s="5" t="s">
        <v>5</v>
      </c>
      <c r="G4" s="5" t="s">
        <v>6</v>
      </c>
      <c r="H4" s="7" t="s">
        <v>7</v>
      </c>
      <c r="I4" s="7" t="s">
        <v>8</v>
      </c>
      <c r="J4" s="7" t="s">
        <v>9</v>
      </c>
      <c r="K4" s="7" t="s">
        <v>10</v>
      </c>
      <c r="L4" s="7" t="s">
        <v>11</v>
      </c>
      <c r="M4" s="7" t="s">
        <v>12</v>
      </c>
      <c r="P4" s="7" t="s">
        <v>2</v>
      </c>
      <c r="Q4" s="7" t="s">
        <v>7</v>
      </c>
      <c r="R4" s="7" t="s">
        <v>8</v>
      </c>
      <c r="S4" s="7" t="s">
        <v>9</v>
      </c>
      <c r="T4" s="7" t="s">
        <v>10</v>
      </c>
      <c r="U4" s="7" t="s">
        <v>11</v>
      </c>
      <c r="V4" s="7" t="s">
        <v>12</v>
      </c>
      <c r="Y4" s="7" t="s">
        <v>116</v>
      </c>
      <c r="Z4" s="7" t="s">
        <v>117</v>
      </c>
    </row>
    <row r="5" spans="1:26" x14ac:dyDescent="0.3">
      <c r="A5" s="8" t="s">
        <v>19</v>
      </c>
      <c r="B5" s="9" t="s">
        <v>335</v>
      </c>
      <c r="C5" s="9" t="s">
        <v>14</v>
      </c>
      <c r="D5" s="9" t="s">
        <v>26</v>
      </c>
      <c r="E5" s="9" t="s">
        <v>616</v>
      </c>
      <c r="F5" s="9" t="s">
        <v>617</v>
      </c>
      <c r="G5" s="9" t="s">
        <v>619</v>
      </c>
      <c r="H5" s="10">
        <v>550000</v>
      </c>
      <c r="I5" s="10">
        <v>5312580</v>
      </c>
      <c r="J5" s="10">
        <v>3852703</v>
      </c>
      <c r="K5" s="10">
        <f t="shared" ref="K5:K68" si="0">IFERROR(J5/$A$1*$B$1,0)</f>
        <v>4777351.72</v>
      </c>
      <c r="L5" s="17">
        <f t="shared" ref="L5:L68" si="1">IFERROR((K5/I5),0)</f>
        <v>0.89925266443046503</v>
      </c>
      <c r="M5" s="17">
        <f t="shared" ref="M5:M68" si="2">IFERROR((K5-H5)/H5,0)</f>
        <v>7.6860940363636363</v>
      </c>
      <c r="P5" s="9" t="s">
        <v>118</v>
      </c>
      <c r="Q5" s="10">
        <f t="shared" ref="Q5:T8" si="3">SUMIF($C:$C,$P5,H:H)</f>
        <v>1382880632</v>
      </c>
      <c r="R5" s="10">
        <f t="shared" si="3"/>
        <v>2644411224</v>
      </c>
      <c r="S5" s="10">
        <f t="shared" si="3"/>
        <v>1692540537</v>
      </c>
      <c r="T5" s="10">
        <f t="shared" si="3"/>
        <v>2098750265.8800001</v>
      </c>
      <c r="U5" s="17">
        <f>IFERROR((T5/R5),0)</f>
        <v>0.79365502870063453</v>
      </c>
      <c r="V5" s="17">
        <f>IFERROR((T5-Q5)/Q5,0)</f>
        <v>0.51766552897965534</v>
      </c>
      <c r="Y5" s="20">
        <v>46143</v>
      </c>
      <c r="Z5" s="10">
        <v>166860091</v>
      </c>
    </row>
    <row r="6" spans="1:26" x14ac:dyDescent="0.3">
      <c r="A6" s="8" t="s">
        <v>119</v>
      </c>
      <c r="B6" s="9" t="s">
        <v>418</v>
      </c>
      <c r="C6" s="9" t="s">
        <v>14</v>
      </c>
      <c r="D6" s="9" t="s">
        <v>32</v>
      </c>
      <c r="E6" s="9" t="s">
        <v>616</v>
      </c>
      <c r="F6" s="9" t="s">
        <v>617</v>
      </c>
      <c r="G6" s="9" t="s">
        <v>619</v>
      </c>
      <c r="H6" s="10">
        <v>15061801</v>
      </c>
      <c r="I6" s="10">
        <v>15724800</v>
      </c>
      <c r="J6" s="10">
        <v>19023604</v>
      </c>
      <c r="K6" s="10">
        <f t="shared" si="0"/>
        <v>23589268.960000001</v>
      </c>
      <c r="L6" s="17">
        <f t="shared" si="1"/>
        <v>1.5001315730565732</v>
      </c>
      <c r="M6" s="17">
        <f t="shared" si="2"/>
        <v>0.56616522552648263</v>
      </c>
      <c r="P6" s="9" t="s">
        <v>14</v>
      </c>
      <c r="Q6" s="10">
        <f t="shared" si="3"/>
        <v>153243694</v>
      </c>
      <c r="R6" s="10">
        <f t="shared" si="3"/>
        <v>435968988</v>
      </c>
      <c r="S6" s="10">
        <f t="shared" si="3"/>
        <v>206917481</v>
      </c>
      <c r="T6" s="10">
        <f t="shared" si="3"/>
        <v>256577676.44</v>
      </c>
      <c r="U6" s="17">
        <f>IFERROR((T6/R6),0)</f>
        <v>0.58852276997280362</v>
      </c>
      <c r="V6" s="17">
        <f>IFERROR((T6-Q6)/Q6,0)</f>
        <v>0.67431148220689585</v>
      </c>
      <c r="Y6" s="20">
        <v>46144</v>
      </c>
      <c r="Z6" s="10">
        <v>163129279</v>
      </c>
    </row>
    <row r="7" spans="1:26" x14ac:dyDescent="0.3">
      <c r="A7" s="8" t="s">
        <v>41</v>
      </c>
      <c r="B7" s="9" t="s">
        <v>347</v>
      </c>
      <c r="C7" s="9" t="s">
        <v>14</v>
      </c>
      <c r="D7" s="9" t="s">
        <v>32</v>
      </c>
      <c r="E7" s="9" t="s">
        <v>616</v>
      </c>
      <c r="F7" s="9" t="s">
        <v>617</v>
      </c>
      <c r="G7" s="9" t="s">
        <v>619</v>
      </c>
      <c r="H7" s="10">
        <v>11300000</v>
      </c>
      <c r="I7" s="10">
        <v>60895380</v>
      </c>
      <c r="J7" s="10">
        <v>27930000</v>
      </c>
      <c r="K7" s="10">
        <f t="shared" si="0"/>
        <v>34633200</v>
      </c>
      <c r="L7" s="17">
        <f t="shared" si="1"/>
        <v>0.56873280041934215</v>
      </c>
      <c r="M7" s="17">
        <f t="shared" si="2"/>
        <v>2.0648849557522122</v>
      </c>
      <c r="P7" s="9" t="s">
        <v>120</v>
      </c>
      <c r="Q7" s="10">
        <f t="shared" si="3"/>
        <v>451032166</v>
      </c>
      <c r="R7" s="10">
        <f t="shared" si="3"/>
        <v>833699148</v>
      </c>
      <c r="S7" s="10">
        <f t="shared" si="3"/>
        <v>439474594</v>
      </c>
      <c r="T7" s="10">
        <f t="shared" si="3"/>
        <v>544948496.55999994</v>
      </c>
      <c r="U7" s="17">
        <f>IFERROR((T7/R7),0)</f>
        <v>0.65365125761169651</v>
      </c>
      <c r="V7" s="17">
        <f>IFERROR((T7-Q7)/Q7,0)</f>
        <v>0.20822534985232061</v>
      </c>
      <c r="Y7" s="20">
        <v>46145</v>
      </c>
      <c r="Z7" s="10">
        <v>136169010</v>
      </c>
    </row>
    <row r="8" spans="1:26" x14ac:dyDescent="0.3">
      <c r="A8" s="8" t="s">
        <v>121</v>
      </c>
      <c r="B8" s="9" t="s">
        <v>419</v>
      </c>
      <c r="C8" s="9" t="s">
        <v>14</v>
      </c>
      <c r="D8" s="9" t="s">
        <v>28</v>
      </c>
      <c r="E8" s="9" t="s">
        <v>616</v>
      </c>
      <c r="F8" s="9" t="s">
        <v>617</v>
      </c>
      <c r="G8" s="9" t="s">
        <v>620</v>
      </c>
      <c r="H8" s="10">
        <v>0</v>
      </c>
      <c r="I8" s="10">
        <v>5842200</v>
      </c>
      <c r="J8" s="10">
        <v>550000</v>
      </c>
      <c r="K8" s="10">
        <f t="shared" si="0"/>
        <v>682000</v>
      </c>
      <c r="L8" s="17">
        <f t="shared" si="1"/>
        <v>0.11673684570880832</v>
      </c>
      <c r="M8" s="17">
        <f t="shared" si="2"/>
        <v>0</v>
      </c>
      <c r="P8" s="9" t="s">
        <v>16</v>
      </c>
      <c r="Q8" s="10">
        <f t="shared" si="3"/>
        <v>200960360</v>
      </c>
      <c r="R8" s="10">
        <f t="shared" si="3"/>
        <v>480909156</v>
      </c>
      <c r="S8" s="10">
        <f t="shared" si="3"/>
        <v>202235630</v>
      </c>
      <c r="T8" s="10">
        <f t="shared" si="3"/>
        <v>250772181.20000005</v>
      </c>
      <c r="U8" s="17">
        <f>IFERROR((T8/R8),0)</f>
        <v>0.52145437047990006</v>
      </c>
      <c r="V8" s="17">
        <f>IFERROR((T8-Q8)/Q8,0)</f>
        <v>0.24786888916799338</v>
      </c>
      <c r="Y8" s="20">
        <v>46146</v>
      </c>
      <c r="Z8" s="10">
        <v>42709099</v>
      </c>
    </row>
    <row r="9" spans="1:26" x14ac:dyDescent="0.3">
      <c r="A9" s="8" t="s">
        <v>122</v>
      </c>
      <c r="B9" s="9" t="s">
        <v>420</v>
      </c>
      <c r="C9" s="9" t="s">
        <v>14</v>
      </c>
      <c r="D9" s="9" t="s">
        <v>30</v>
      </c>
      <c r="E9" s="9" t="s">
        <v>616</v>
      </c>
      <c r="F9" s="9" t="s">
        <v>617</v>
      </c>
      <c r="G9" s="9" t="s">
        <v>620</v>
      </c>
      <c r="H9" s="10">
        <v>5400000</v>
      </c>
      <c r="I9" s="10">
        <v>6006000</v>
      </c>
      <c r="J9" s="10">
        <v>1000000</v>
      </c>
      <c r="K9" s="10">
        <f t="shared" si="0"/>
        <v>1240000</v>
      </c>
      <c r="L9" s="17">
        <f t="shared" si="1"/>
        <v>0.20646020646020646</v>
      </c>
      <c r="M9" s="17">
        <f t="shared" si="2"/>
        <v>-0.77037037037037037</v>
      </c>
      <c r="P9" s="4" t="s">
        <v>62</v>
      </c>
      <c r="Q9" s="12">
        <f>SUM(Q5:Q8)</f>
        <v>2188116852</v>
      </c>
      <c r="R9" s="12">
        <f>SUM(R5:R8)</f>
        <v>4394988516</v>
      </c>
      <c r="S9" s="12">
        <f>SUM(S5:S8)</f>
        <v>2541168242</v>
      </c>
      <c r="T9" s="12">
        <f>SUM(T5:T8)</f>
        <v>3151048620.0799999</v>
      </c>
      <c r="U9" s="13">
        <f>IFERROR((T9/R9),0)</f>
        <v>0.71696401676786536</v>
      </c>
      <c r="V9" s="18">
        <f>IFERROR((T9-Q9)/Q9,0)</f>
        <v>0.44007328365477982</v>
      </c>
      <c r="Y9" s="20">
        <v>46147</v>
      </c>
      <c r="Z9" s="10">
        <v>48781802</v>
      </c>
    </row>
    <row r="10" spans="1:26" x14ac:dyDescent="0.3">
      <c r="A10" s="8" t="s">
        <v>51</v>
      </c>
      <c r="B10" s="9" t="s">
        <v>355</v>
      </c>
      <c r="C10" s="9" t="s">
        <v>16</v>
      </c>
      <c r="D10" s="9" t="s">
        <v>44</v>
      </c>
      <c r="E10" s="9" t="s">
        <v>616</v>
      </c>
      <c r="F10" s="9" t="s">
        <v>617</v>
      </c>
      <c r="G10" s="9" t="s">
        <v>622</v>
      </c>
      <c r="H10" s="10">
        <v>1900000</v>
      </c>
      <c r="I10" s="10">
        <v>8353800</v>
      </c>
      <c r="J10" s="10">
        <v>2350000</v>
      </c>
      <c r="K10" s="10">
        <f t="shared" si="0"/>
        <v>2914000</v>
      </c>
      <c r="L10" s="17">
        <f t="shared" si="1"/>
        <v>0.34882328999976059</v>
      </c>
      <c r="M10" s="17">
        <f t="shared" si="2"/>
        <v>0.53368421052631576</v>
      </c>
      <c r="Y10" s="20">
        <v>46148</v>
      </c>
      <c r="Z10" s="10">
        <v>90576576</v>
      </c>
    </row>
    <row r="11" spans="1:26" x14ac:dyDescent="0.3">
      <c r="A11" s="8" t="s">
        <v>123</v>
      </c>
      <c r="B11" s="9" t="s">
        <v>421</v>
      </c>
      <c r="C11" s="9" t="s">
        <v>14</v>
      </c>
      <c r="D11" s="9" t="s">
        <v>30</v>
      </c>
      <c r="E11" s="9" t="s">
        <v>616</v>
      </c>
      <c r="F11" s="9" t="s">
        <v>617</v>
      </c>
      <c r="G11" s="9" t="s">
        <v>620</v>
      </c>
      <c r="H11" s="10">
        <v>1000000</v>
      </c>
      <c r="I11" s="10">
        <v>4734912</v>
      </c>
      <c r="J11" s="10">
        <v>2700000</v>
      </c>
      <c r="K11" s="10">
        <f t="shared" si="0"/>
        <v>3348000</v>
      </c>
      <c r="L11" s="17">
        <f t="shared" si="1"/>
        <v>0.70708811483719236</v>
      </c>
      <c r="M11" s="17">
        <f t="shared" si="2"/>
        <v>2.3479999999999999</v>
      </c>
      <c r="P11" s="7" t="s">
        <v>3</v>
      </c>
      <c r="Q11" s="7" t="s">
        <v>7</v>
      </c>
      <c r="R11" s="7" t="s">
        <v>8</v>
      </c>
      <c r="S11" s="7" t="s">
        <v>9</v>
      </c>
      <c r="T11" s="7" t="s">
        <v>10</v>
      </c>
      <c r="U11" s="7" t="s">
        <v>11</v>
      </c>
      <c r="V11" s="7" t="s">
        <v>12</v>
      </c>
      <c r="Y11" s="20">
        <v>46149</v>
      </c>
      <c r="Z11" s="10">
        <v>98397748</v>
      </c>
    </row>
    <row r="12" spans="1:26" x14ac:dyDescent="0.3">
      <c r="A12" s="8" t="s">
        <v>55</v>
      </c>
      <c r="B12" s="9" t="s">
        <v>359</v>
      </c>
      <c r="C12" s="9" t="s">
        <v>16</v>
      </c>
      <c r="D12" s="9" t="s">
        <v>40</v>
      </c>
      <c r="E12" s="9" t="s">
        <v>616</v>
      </c>
      <c r="F12" s="9" t="s">
        <v>617</v>
      </c>
      <c r="G12" s="9" t="s">
        <v>623</v>
      </c>
      <c r="H12" s="10">
        <v>2410000</v>
      </c>
      <c r="I12" s="10">
        <v>4750200</v>
      </c>
      <c r="J12" s="10">
        <v>4221802</v>
      </c>
      <c r="K12" s="10">
        <f t="shared" si="0"/>
        <v>5235034.4799999995</v>
      </c>
      <c r="L12" s="17">
        <f t="shared" si="1"/>
        <v>1.1020661193212917</v>
      </c>
      <c r="M12" s="17">
        <f t="shared" si="2"/>
        <v>1.1722134771784229</v>
      </c>
      <c r="P12" s="9" t="s">
        <v>22</v>
      </c>
      <c r="Q12" s="10">
        <f t="shared" ref="Q12:T31" si="4">SUMIF($D:$D,$P12,H:H)</f>
        <v>1250000</v>
      </c>
      <c r="R12" s="10">
        <f t="shared" si="4"/>
        <v>18509400</v>
      </c>
      <c r="S12" s="10">
        <f t="shared" si="4"/>
        <v>9194866</v>
      </c>
      <c r="T12" s="10">
        <f t="shared" si="4"/>
        <v>11401633.84</v>
      </c>
      <c r="U12" s="17">
        <f t="shared" ref="U12:U32" si="5">IFERROR((T12/R12),0)</f>
        <v>0.6159915415950814</v>
      </c>
      <c r="V12" s="17">
        <f t="shared" ref="V12:V32" si="6">IFERROR((T12-Q12)/Q12,0)</f>
        <v>8.1213070720000005</v>
      </c>
      <c r="Y12" s="20">
        <v>46150</v>
      </c>
      <c r="Z12" s="10">
        <v>67609730</v>
      </c>
    </row>
    <row r="13" spans="1:26" x14ac:dyDescent="0.3">
      <c r="A13" s="8" t="s">
        <v>58</v>
      </c>
      <c r="B13" s="9" t="s">
        <v>362</v>
      </c>
      <c r="C13" s="9" t="s">
        <v>16</v>
      </c>
      <c r="D13" s="9" t="s">
        <v>36</v>
      </c>
      <c r="E13" s="9" t="s">
        <v>616</v>
      </c>
      <c r="F13" s="9" t="s">
        <v>617</v>
      </c>
      <c r="G13" s="9" t="s">
        <v>622</v>
      </c>
      <c r="H13" s="10">
        <v>13100000</v>
      </c>
      <c r="I13" s="10">
        <v>22331400</v>
      </c>
      <c r="J13" s="10">
        <v>3300000</v>
      </c>
      <c r="K13" s="10">
        <f t="shared" si="0"/>
        <v>4092000</v>
      </c>
      <c r="L13" s="17">
        <f t="shared" si="1"/>
        <v>0.18323974314194363</v>
      </c>
      <c r="M13" s="17">
        <f t="shared" si="2"/>
        <v>-0.68763358778625949</v>
      </c>
      <c r="P13" s="9" t="s">
        <v>44</v>
      </c>
      <c r="Q13" s="10">
        <f t="shared" si="4"/>
        <v>39630000</v>
      </c>
      <c r="R13" s="10">
        <f t="shared" si="4"/>
        <v>110112912</v>
      </c>
      <c r="S13" s="10">
        <f t="shared" si="4"/>
        <v>44597209</v>
      </c>
      <c r="T13" s="10">
        <f t="shared" si="4"/>
        <v>55300539.160000004</v>
      </c>
      <c r="U13" s="17">
        <f t="shared" si="5"/>
        <v>0.50221666247460606</v>
      </c>
      <c r="V13" s="17">
        <f t="shared" si="6"/>
        <v>0.39542112440070665</v>
      </c>
      <c r="Y13" s="20">
        <v>46151</v>
      </c>
      <c r="Z13" s="10">
        <v>138003243</v>
      </c>
    </row>
    <row r="14" spans="1:26" x14ac:dyDescent="0.3">
      <c r="A14" s="8" t="s">
        <v>124</v>
      </c>
      <c r="B14" s="9" t="s">
        <v>422</v>
      </c>
      <c r="C14" s="9" t="s">
        <v>16</v>
      </c>
      <c r="D14" s="9" t="s">
        <v>38</v>
      </c>
      <c r="E14" s="9" t="s">
        <v>616</v>
      </c>
      <c r="F14" s="9" t="s">
        <v>617</v>
      </c>
      <c r="G14" s="9" t="s">
        <v>621</v>
      </c>
      <c r="H14" s="10">
        <v>1300000</v>
      </c>
      <c r="I14" s="10">
        <v>9882600</v>
      </c>
      <c r="J14" s="10">
        <v>9909099</v>
      </c>
      <c r="K14" s="10">
        <f t="shared" si="0"/>
        <v>12287282.76</v>
      </c>
      <c r="L14" s="17">
        <f t="shared" si="1"/>
        <v>1.2433249104486674</v>
      </c>
      <c r="M14" s="17">
        <f t="shared" si="2"/>
        <v>8.4517559692307689</v>
      </c>
      <c r="P14" s="9" t="s">
        <v>42</v>
      </c>
      <c r="Q14" s="10">
        <f t="shared" si="4"/>
        <v>5070901</v>
      </c>
      <c r="R14" s="10">
        <f t="shared" si="4"/>
        <v>30357600</v>
      </c>
      <c r="S14" s="10">
        <f t="shared" si="4"/>
        <v>663954</v>
      </c>
      <c r="T14" s="10">
        <f t="shared" si="4"/>
        <v>823302.96000000008</v>
      </c>
      <c r="U14" s="17">
        <f t="shared" si="5"/>
        <v>2.7120159696418691E-2</v>
      </c>
      <c r="V14" s="17">
        <f t="shared" si="6"/>
        <v>-0.83764168142900053</v>
      </c>
      <c r="Y14" s="20">
        <v>46152</v>
      </c>
      <c r="Z14" s="10">
        <v>198837208</v>
      </c>
    </row>
    <row r="15" spans="1:26" x14ac:dyDescent="0.3">
      <c r="A15" s="8" t="s">
        <v>125</v>
      </c>
      <c r="B15" s="9" t="s">
        <v>423</v>
      </c>
      <c r="C15" s="9" t="s">
        <v>16</v>
      </c>
      <c r="D15" s="9" t="s">
        <v>36</v>
      </c>
      <c r="E15" s="9" t="s">
        <v>616</v>
      </c>
      <c r="F15" s="9" t="s">
        <v>617</v>
      </c>
      <c r="G15" s="9" t="s">
        <v>622</v>
      </c>
      <c r="H15" s="10">
        <v>400000</v>
      </c>
      <c r="I15" s="10">
        <v>5896800</v>
      </c>
      <c r="J15" s="10">
        <v>1200000</v>
      </c>
      <c r="K15" s="10">
        <f t="shared" si="0"/>
        <v>1488000</v>
      </c>
      <c r="L15" s="17">
        <f t="shared" si="1"/>
        <v>0.25234025234025231</v>
      </c>
      <c r="M15" s="17">
        <f t="shared" si="2"/>
        <v>2.72</v>
      </c>
      <c r="P15" s="9" t="s">
        <v>36</v>
      </c>
      <c r="Q15" s="10">
        <f t="shared" si="4"/>
        <v>27613152</v>
      </c>
      <c r="R15" s="10">
        <f t="shared" si="4"/>
        <v>80454192</v>
      </c>
      <c r="S15" s="10">
        <f t="shared" si="4"/>
        <v>17321802</v>
      </c>
      <c r="T15" s="10">
        <f t="shared" si="4"/>
        <v>21479034.48</v>
      </c>
      <c r="U15" s="17">
        <f t="shared" si="5"/>
        <v>0.26697222290169792</v>
      </c>
      <c r="V15" s="17">
        <f t="shared" si="6"/>
        <v>-0.22214477796667326</v>
      </c>
      <c r="Y15" s="20">
        <v>46153</v>
      </c>
      <c r="Z15" s="10">
        <v>48977208</v>
      </c>
    </row>
    <row r="16" spans="1:26" x14ac:dyDescent="0.3">
      <c r="A16" s="8" t="s">
        <v>126</v>
      </c>
      <c r="B16" s="9" t="s">
        <v>424</v>
      </c>
      <c r="C16" s="9" t="s">
        <v>16</v>
      </c>
      <c r="D16" s="9" t="s">
        <v>36</v>
      </c>
      <c r="E16" s="9" t="s">
        <v>616</v>
      </c>
      <c r="F16" s="9" t="s">
        <v>617</v>
      </c>
      <c r="G16" s="9" t="s">
        <v>621</v>
      </c>
      <c r="H16" s="10">
        <v>9900000</v>
      </c>
      <c r="I16" s="10">
        <v>20475000</v>
      </c>
      <c r="J16" s="10">
        <v>6850000</v>
      </c>
      <c r="K16" s="10">
        <f t="shared" si="0"/>
        <v>8494000</v>
      </c>
      <c r="L16" s="17">
        <f t="shared" si="1"/>
        <v>0.41484737484737483</v>
      </c>
      <c r="M16" s="17">
        <f t="shared" si="2"/>
        <v>-0.14202020202020202</v>
      </c>
      <c r="P16" s="9" t="s">
        <v>32</v>
      </c>
      <c r="Q16" s="10">
        <f t="shared" si="4"/>
        <v>43039189</v>
      </c>
      <c r="R16" s="10">
        <f t="shared" si="4"/>
        <v>123435312</v>
      </c>
      <c r="S16" s="10">
        <f t="shared" si="4"/>
        <v>60612614</v>
      </c>
      <c r="T16" s="10">
        <f t="shared" si="4"/>
        <v>75159641.359999985</v>
      </c>
      <c r="U16" s="17">
        <f t="shared" si="5"/>
        <v>0.60889902688462427</v>
      </c>
      <c r="V16" s="17">
        <f t="shared" si="6"/>
        <v>0.74630710072162332</v>
      </c>
      <c r="Y16" s="20">
        <v>46154</v>
      </c>
      <c r="Z16" s="10">
        <v>80127299</v>
      </c>
    </row>
    <row r="17" spans="1:26" x14ac:dyDescent="0.3">
      <c r="A17" s="8" t="s">
        <v>127</v>
      </c>
      <c r="B17" s="9" t="s">
        <v>425</v>
      </c>
      <c r="C17" s="9" t="s">
        <v>14</v>
      </c>
      <c r="D17" s="9" t="s">
        <v>28</v>
      </c>
      <c r="E17" s="9" t="s">
        <v>616</v>
      </c>
      <c r="F17" s="9" t="s">
        <v>617</v>
      </c>
      <c r="G17" s="9" t="s">
        <v>620</v>
      </c>
      <c r="H17" s="10">
        <v>2300000</v>
      </c>
      <c r="I17" s="10">
        <v>3876600</v>
      </c>
      <c r="J17" s="10">
        <v>400000</v>
      </c>
      <c r="K17" s="10">
        <f t="shared" si="0"/>
        <v>496000</v>
      </c>
      <c r="L17" s="17">
        <f t="shared" si="1"/>
        <v>0.12794717020069132</v>
      </c>
      <c r="M17" s="17">
        <f t="shared" si="2"/>
        <v>-0.78434782608695652</v>
      </c>
      <c r="P17" s="9" t="s">
        <v>26</v>
      </c>
      <c r="Q17" s="10">
        <f t="shared" si="4"/>
        <v>9880000</v>
      </c>
      <c r="R17" s="10">
        <f t="shared" si="4"/>
        <v>34687380</v>
      </c>
      <c r="S17" s="10">
        <f t="shared" si="4"/>
        <v>11305406</v>
      </c>
      <c r="T17" s="10">
        <f t="shared" si="4"/>
        <v>14018703.439999999</v>
      </c>
      <c r="U17" s="17">
        <f t="shared" si="5"/>
        <v>0.40414419999434953</v>
      </c>
      <c r="V17" s="17">
        <f t="shared" si="6"/>
        <v>0.41889710931174085</v>
      </c>
      <c r="Y17" s="20">
        <v>46155</v>
      </c>
      <c r="Z17" s="10">
        <v>88543064</v>
      </c>
    </row>
    <row r="18" spans="1:26" x14ac:dyDescent="0.3">
      <c r="A18" s="8" t="s">
        <v>59</v>
      </c>
      <c r="B18" s="9" t="s">
        <v>363</v>
      </c>
      <c r="C18" s="9" t="s">
        <v>14</v>
      </c>
      <c r="D18" s="9" t="s">
        <v>30</v>
      </c>
      <c r="E18" s="9" t="s">
        <v>616</v>
      </c>
      <c r="F18" s="9" t="s">
        <v>617</v>
      </c>
      <c r="G18" s="9" t="s">
        <v>620</v>
      </c>
      <c r="H18" s="10">
        <v>9200000</v>
      </c>
      <c r="I18" s="10">
        <v>17472000</v>
      </c>
      <c r="J18" s="10">
        <v>18200000</v>
      </c>
      <c r="K18" s="10">
        <f t="shared" si="0"/>
        <v>22568000</v>
      </c>
      <c r="L18" s="17">
        <f t="shared" si="1"/>
        <v>1.2916666666666667</v>
      </c>
      <c r="M18" s="17">
        <f t="shared" si="2"/>
        <v>1.4530434782608697</v>
      </c>
      <c r="P18" s="9" t="s">
        <v>30</v>
      </c>
      <c r="Q18" s="10">
        <f t="shared" si="4"/>
        <v>22450000</v>
      </c>
      <c r="R18" s="10">
        <f t="shared" si="4"/>
        <v>57533112</v>
      </c>
      <c r="S18" s="10">
        <f t="shared" si="4"/>
        <v>32159460</v>
      </c>
      <c r="T18" s="10">
        <f t="shared" si="4"/>
        <v>39877730.399999999</v>
      </c>
      <c r="U18" s="17">
        <f t="shared" si="5"/>
        <v>0.69312660159944062</v>
      </c>
      <c r="V18" s="17">
        <f t="shared" si="6"/>
        <v>0.77629088641425381</v>
      </c>
      <c r="Y18" s="20">
        <v>46156</v>
      </c>
      <c r="Z18" s="10">
        <v>148579450</v>
      </c>
    </row>
    <row r="19" spans="1:26" x14ac:dyDescent="0.3">
      <c r="A19" s="8" t="s">
        <v>128</v>
      </c>
      <c r="B19" s="9" t="s">
        <v>426</v>
      </c>
      <c r="C19" s="9" t="s">
        <v>16</v>
      </c>
      <c r="D19" s="9" t="s">
        <v>42</v>
      </c>
      <c r="E19" s="9" t="s">
        <v>616</v>
      </c>
      <c r="F19" s="9" t="s">
        <v>617</v>
      </c>
      <c r="G19" s="9" t="s">
        <v>618</v>
      </c>
      <c r="H19" s="10">
        <v>2300000</v>
      </c>
      <c r="I19" s="10">
        <v>14250600</v>
      </c>
      <c r="J19" s="10">
        <v>0</v>
      </c>
      <c r="K19" s="10">
        <f t="shared" si="0"/>
        <v>0</v>
      </c>
      <c r="L19" s="17">
        <f t="shared" si="1"/>
        <v>0</v>
      </c>
      <c r="M19" s="17">
        <f t="shared" si="2"/>
        <v>-1</v>
      </c>
      <c r="P19" s="9" t="s">
        <v>28</v>
      </c>
      <c r="Q19" s="10">
        <f t="shared" si="4"/>
        <v>19700000</v>
      </c>
      <c r="R19" s="10">
        <f t="shared" si="4"/>
        <v>99290100</v>
      </c>
      <c r="S19" s="10">
        <f t="shared" si="4"/>
        <v>18650000</v>
      </c>
      <c r="T19" s="10">
        <f t="shared" si="4"/>
        <v>23126000</v>
      </c>
      <c r="U19" s="17">
        <f t="shared" si="5"/>
        <v>0.23291345260000745</v>
      </c>
      <c r="V19" s="17">
        <f t="shared" si="6"/>
        <v>0.17390862944162436</v>
      </c>
      <c r="Y19" s="20">
        <v>46157</v>
      </c>
      <c r="Z19" s="10">
        <v>118701217</v>
      </c>
    </row>
    <row r="20" spans="1:26" x14ac:dyDescent="0.3">
      <c r="A20" s="8" t="s">
        <v>54</v>
      </c>
      <c r="B20" s="9" t="s">
        <v>358</v>
      </c>
      <c r="C20" s="9" t="s">
        <v>14</v>
      </c>
      <c r="D20" s="9" t="s">
        <v>30</v>
      </c>
      <c r="E20" s="9" t="s">
        <v>616</v>
      </c>
      <c r="F20" s="9" t="s">
        <v>617</v>
      </c>
      <c r="G20" s="9" t="s">
        <v>620</v>
      </c>
      <c r="H20" s="10">
        <v>1500000</v>
      </c>
      <c r="I20" s="10">
        <v>11793600</v>
      </c>
      <c r="J20" s="10">
        <v>4509460</v>
      </c>
      <c r="K20" s="10">
        <f t="shared" si="0"/>
        <v>5591730.3999999994</v>
      </c>
      <c r="L20" s="17">
        <f t="shared" si="1"/>
        <v>0.47413261429928094</v>
      </c>
      <c r="M20" s="17">
        <f t="shared" si="2"/>
        <v>2.7278202666666664</v>
      </c>
      <c r="P20" s="9" t="s">
        <v>40</v>
      </c>
      <c r="Q20" s="10">
        <f t="shared" si="4"/>
        <v>33845315</v>
      </c>
      <c r="R20" s="10">
        <f t="shared" si="4"/>
        <v>41420652</v>
      </c>
      <c r="S20" s="10">
        <f t="shared" si="4"/>
        <v>34133562</v>
      </c>
      <c r="T20" s="10">
        <f t="shared" si="4"/>
        <v>42325616.879999995</v>
      </c>
      <c r="U20" s="17">
        <f t="shared" si="5"/>
        <v>1.0218481563254966</v>
      </c>
      <c r="V20" s="17">
        <f t="shared" si="6"/>
        <v>0.25056058364355582</v>
      </c>
      <c r="Y20" s="20">
        <v>46158</v>
      </c>
      <c r="Z20" s="10">
        <v>100353424</v>
      </c>
    </row>
    <row r="21" spans="1:26" x14ac:dyDescent="0.3">
      <c r="A21" s="8" t="s">
        <v>52</v>
      </c>
      <c r="B21" s="9" t="s">
        <v>356</v>
      </c>
      <c r="C21" s="9" t="s">
        <v>16</v>
      </c>
      <c r="D21" s="9" t="s">
        <v>40</v>
      </c>
      <c r="E21" s="9" t="s">
        <v>616</v>
      </c>
      <c r="F21" s="9" t="s">
        <v>617</v>
      </c>
      <c r="G21" s="9" t="s">
        <v>623</v>
      </c>
      <c r="H21" s="10">
        <v>6700000</v>
      </c>
      <c r="I21" s="10">
        <v>6485388</v>
      </c>
      <c r="J21" s="10">
        <v>6910000</v>
      </c>
      <c r="K21" s="10">
        <f t="shared" si="0"/>
        <v>8568400</v>
      </c>
      <c r="L21" s="17">
        <f t="shared" si="1"/>
        <v>1.3211854094157511</v>
      </c>
      <c r="M21" s="17">
        <f t="shared" si="2"/>
        <v>0.27886567164179105</v>
      </c>
      <c r="P21" s="9" t="s">
        <v>34</v>
      </c>
      <c r="Q21" s="10">
        <f t="shared" si="4"/>
        <v>8599190</v>
      </c>
      <c r="R21" s="10">
        <f t="shared" si="4"/>
        <v>39694200</v>
      </c>
      <c r="S21" s="10">
        <f t="shared" si="4"/>
        <v>7346039</v>
      </c>
      <c r="T21" s="10">
        <f t="shared" si="4"/>
        <v>9109088.3600000013</v>
      </c>
      <c r="U21" s="17">
        <f t="shared" si="5"/>
        <v>0.22948159579989019</v>
      </c>
      <c r="V21" s="17">
        <f t="shared" si="6"/>
        <v>5.9296091841208445E-2</v>
      </c>
      <c r="Y21" s="20">
        <v>46159</v>
      </c>
      <c r="Z21" s="10">
        <v>149968920</v>
      </c>
    </row>
    <row r="22" spans="1:26" x14ac:dyDescent="0.3">
      <c r="A22" s="8" t="s">
        <v>27</v>
      </c>
      <c r="B22" s="9" t="s">
        <v>340</v>
      </c>
      <c r="C22" s="9" t="s">
        <v>14</v>
      </c>
      <c r="D22" s="9" t="s">
        <v>24</v>
      </c>
      <c r="E22" s="9" t="s">
        <v>616</v>
      </c>
      <c r="F22" s="9" t="s">
        <v>617</v>
      </c>
      <c r="G22" s="9" t="s">
        <v>619</v>
      </c>
      <c r="H22" s="10">
        <v>2350000</v>
      </c>
      <c r="I22" s="10">
        <v>8899800</v>
      </c>
      <c r="J22" s="10">
        <v>2479730</v>
      </c>
      <c r="K22" s="10">
        <f t="shared" si="0"/>
        <v>3074865.1999999997</v>
      </c>
      <c r="L22" s="17">
        <f t="shared" si="1"/>
        <v>0.34549823591541379</v>
      </c>
      <c r="M22" s="17">
        <f t="shared" si="2"/>
        <v>0.30845327659574456</v>
      </c>
      <c r="P22" s="9" t="s">
        <v>24</v>
      </c>
      <c r="Q22" s="10">
        <f t="shared" si="4"/>
        <v>58174505</v>
      </c>
      <c r="R22" s="10">
        <f t="shared" si="4"/>
        <v>121023084</v>
      </c>
      <c r="S22" s="10">
        <f t="shared" si="4"/>
        <v>84190001</v>
      </c>
      <c r="T22" s="10">
        <f t="shared" si="4"/>
        <v>104395601.23999999</v>
      </c>
      <c r="U22" s="17">
        <f t="shared" si="5"/>
        <v>0.86260899813129865</v>
      </c>
      <c r="V22" s="17">
        <f t="shared" si="6"/>
        <v>0.794524959688097</v>
      </c>
      <c r="Y22" s="20">
        <v>46160</v>
      </c>
      <c r="Z22" s="10">
        <v>43337388</v>
      </c>
    </row>
    <row r="23" spans="1:26" x14ac:dyDescent="0.3">
      <c r="A23" s="8" t="s">
        <v>49</v>
      </c>
      <c r="B23" s="9" t="s">
        <v>353</v>
      </c>
      <c r="C23" s="9" t="s">
        <v>16</v>
      </c>
      <c r="D23" s="9" t="s">
        <v>44</v>
      </c>
      <c r="E23" s="9" t="s">
        <v>616</v>
      </c>
      <c r="F23" s="9" t="s">
        <v>617</v>
      </c>
      <c r="G23" s="9" t="s">
        <v>622</v>
      </c>
      <c r="H23" s="10">
        <v>0</v>
      </c>
      <c r="I23" s="10">
        <v>3712800</v>
      </c>
      <c r="J23" s="10">
        <v>1018289</v>
      </c>
      <c r="K23" s="10">
        <f t="shared" si="0"/>
        <v>1262678.3599999999</v>
      </c>
      <c r="L23" s="17">
        <f t="shared" si="1"/>
        <v>0.34008790131437189</v>
      </c>
      <c r="M23" s="17">
        <f t="shared" si="2"/>
        <v>0</v>
      </c>
      <c r="P23" s="9" t="s">
        <v>38</v>
      </c>
      <c r="Q23" s="10">
        <f t="shared" si="4"/>
        <v>84951802</v>
      </c>
      <c r="R23" s="10">
        <f t="shared" si="4"/>
        <v>160360200</v>
      </c>
      <c r="S23" s="10">
        <f t="shared" si="4"/>
        <v>88978198</v>
      </c>
      <c r="T23" s="10">
        <f t="shared" si="4"/>
        <v>110332965.52000001</v>
      </c>
      <c r="U23" s="17">
        <f t="shared" si="5"/>
        <v>0.68803210222985511</v>
      </c>
      <c r="V23" s="17">
        <f t="shared" si="6"/>
        <v>0.29877133765802888</v>
      </c>
      <c r="Y23" s="20">
        <v>46161</v>
      </c>
      <c r="Z23" s="10">
        <v>77302433</v>
      </c>
    </row>
    <row r="24" spans="1:26" x14ac:dyDescent="0.3">
      <c r="A24" s="8" t="s">
        <v>15</v>
      </c>
      <c r="B24" s="9" t="s">
        <v>333</v>
      </c>
      <c r="C24" s="9" t="s">
        <v>14</v>
      </c>
      <c r="D24" s="9" t="s">
        <v>24</v>
      </c>
      <c r="E24" s="9" t="s">
        <v>616</v>
      </c>
      <c r="F24" s="9" t="s">
        <v>617</v>
      </c>
      <c r="G24" s="9" t="s">
        <v>619</v>
      </c>
      <c r="H24" s="10">
        <v>22300000</v>
      </c>
      <c r="I24" s="10">
        <v>29265600</v>
      </c>
      <c r="J24" s="10">
        <v>13579730</v>
      </c>
      <c r="K24" s="10">
        <f t="shared" si="0"/>
        <v>16838865.199999999</v>
      </c>
      <c r="L24" s="17">
        <f t="shared" si="1"/>
        <v>0.5753808293696353</v>
      </c>
      <c r="M24" s="17">
        <f t="shared" si="2"/>
        <v>-0.24489393721973096</v>
      </c>
      <c r="P24" s="9" t="s">
        <v>129</v>
      </c>
      <c r="Q24" s="10">
        <f t="shared" si="4"/>
        <v>12059099</v>
      </c>
      <c r="R24" s="10">
        <f t="shared" si="4"/>
        <v>77149800</v>
      </c>
      <c r="S24" s="10">
        <f t="shared" si="4"/>
        <v>18781980</v>
      </c>
      <c r="T24" s="10">
        <f t="shared" si="4"/>
        <v>23289655.199999999</v>
      </c>
      <c r="U24" s="17">
        <f t="shared" si="5"/>
        <v>0.30187576895857149</v>
      </c>
      <c r="V24" s="17">
        <f t="shared" si="6"/>
        <v>0.93129314221568293</v>
      </c>
      <c r="Y24" s="20">
        <v>46162</v>
      </c>
      <c r="Z24" s="10">
        <v>47046577</v>
      </c>
    </row>
    <row r="25" spans="1:26" x14ac:dyDescent="0.3">
      <c r="A25" s="8" t="s">
        <v>17</v>
      </c>
      <c r="B25" s="9" t="s">
        <v>334</v>
      </c>
      <c r="C25" s="9" t="s">
        <v>14</v>
      </c>
      <c r="D25" s="9" t="s">
        <v>24</v>
      </c>
      <c r="E25" s="9" t="s">
        <v>616</v>
      </c>
      <c r="F25" s="9" t="s">
        <v>617</v>
      </c>
      <c r="G25" s="9" t="s">
        <v>619</v>
      </c>
      <c r="H25" s="10">
        <v>1444505</v>
      </c>
      <c r="I25" s="10">
        <v>10701600</v>
      </c>
      <c r="J25" s="10">
        <v>550000</v>
      </c>
      <c r="K25" s="10">
        <f t="shared" si="0"/>
        <v>682000</v>
      </c>
      <c r="L25" s="17">
        <f t="shared" si="1"/>
        <v>6.3728788218584131E-2</v>
      </c>
      <c r="M25" s="17">
        <f t="shared" si="2"/>
        <v>-0.5278659471583691</v>
      </c>
      <c r="P25" s="9" t="s">
        <v>130</v>
      </c>
      <c r="Q25" s="10">
        <f t="shared" si="4"/>
        <v>525189550</v>
      </c>
      <c r="R25" s="10">
        <f t="shared" si="4"/>
        <v>834624336</v>
      </c>
      <c r="S25" s="10">
        <f t="shared" si="4"/>
        <v>546150000</v>
      </c>
      <c r="T25" s="10">
        <f t="shared" si="4"/>
        <v>677226000</v>
      </c>
      <c r="U25" s="17">
        <f t="shared" si="5"/>
        <v>0.81141415459517585</v>
      </c>
      <c r="V25" s="17">
        <f t="shared" si="6"/>
        <v>0.2894887188825444</v>
      </c>
      <c r="Y25" s="20">
        <v>46163</v>
      </c>
      <c r="Z25" s="10">
        <v>57974594</v>
      </c>
    </row>
    <row r="26" spans="1:26" x14ac:dyDescent="0.3">
      <c r="A26" s="8" t="s">
        <v>131</v>
      </c>
      <c r="B26" s="9" t="s">
        <v>427</v>
      </c>
      <c r="C26" s="9" t="s">
        <v>16</v>
      </c>
      <c r="D26" s="9" t="s">
        <v>36</v>
      </c>
      <c r="E26" s="9" t="s">
        <v>616</v>
      </c>
      <c r="F26" s="9" t="s">
        <v>617</v>
      </c>
      <c r="G26" s="9" t="s">
        <v>622</v>
      </c>
      <c r="H26" s="10">
        <v>1211802</v>
      </c>
      <c r="I26" s="10">
        <v>3876600</v>
      </c>
      <c r="J26" s="10">
        <v>2211802</v>
      </c>
      <c r="K26" s="10">
        <f t="shared" si="0"/>
        <v>2742634.48</v>
      </c>
      <c r="L26" s="17">
        <f t="shared" si="1"/>
        <v>0.70748451736057372</v>
      </c>
      <c r="M26" s="17">
        <f t="shared" si="2"/>
        <v>1.2632694780170357</v>
      </c>
      <c r="P26" s="9" t="s">
        <v>132</v>
      </c>
      <c r="Q26" s="10">
        <f t="shared" si="4"/>
        <v>414879191</v>
      </c>
      <c r="R26" s="10">
        <f t="shared" si="4"/>
        <v>873651324</v>
      </c>
      <c r="S26" s="10">
        <f t="shared" si="4"/>
        <v>601881081</v>
      </c>
      <c r="T26" s="10">
        <f t="shared" si="4"/>
        <v>746332540.44000006</v>
      </c>
      <c r="U26" s="17">
        <f t="shared" si="5"/>
        <v>0.85426819594678494</v>
      </c>
      <c r="V26" s="17">
        <f t="shared" si="6"/>
        <v>0.79891533880280841</v>
      </c>
      <c r="Y26" s="20">
        <v>46164</v>
      </c>
      <c r="Z26" s="10">
        <v>81448377</v>
      </c>
    </row>
    <row r="27" spans="1:26" x14ac:dyDescent="0.3">
      <c r="A27" s="8" t="s">
        <v>47</v>
      </c>
      <c r="B27" s="9" t="s">
        <v>351</v>
      </c>
      <c r="C27" s="9" t="s">
        <v>16</v>
      </c>
      <c r="D27" s="9" t="s">
        <v>40</v>
      </c>
      <c r="E27" s="9" t="s">
        <v>616</v>
      </c>
      <c r="F27" s="9" t="s">
        <v>617</v>
      </c>
      <c r="G27" s="9" t="s">
        <v>623</v>
      </c>
      <c r="H27" s="10">
        <v>6000000</v>
      </c>
      <c r="I27" s="10">
        <v>5077800</v>
      </c>
      <c r="J27" s="10">
        <v>2794416</v>
      </c>
      <c r="K27" s="10">
        <f t="shared" si="0"/>
        <v>3465075.84</v>
      </c>
      <c r="L27" s="17">
        <f t="shared" si="1"/>
        <v>0.68239706959706958</v>
      </c>
      <c r="M27" s="17">
        <f t="shared" si="2"/>
        <v>-0.42248736000000003</v>
      </c>
      <c r="P27" s="9" t="s">
        <v>133</v>
      </c>
      <c r="Q27" s="10">
        <f t="shared" si="4"/>
        <v>237533242</v>
      </c>
      <c r="R27" s="10">
        <f t="shared" si="4"/>
        <v>499731960</v>
      </c>
      <c r="S27" s="10">
        <f t="shared" si="4"/>
        <v>334529456</v>
      </c>
      <c r="T27" s="10">
        <f t="shared" si="4"/>
        <v>414816525.44</v>
      </c>
      <c r="U27" s="17">
        <f t="shared" si="5"/>
        <v>0.83007803911520883</v>
      </c>
      <c r="V27" s="17">
        <f t="shared" si="6"/>
        <v>0.74635146620867487</v>
      </c>
      <c r="Y27" s="20">
        <v>46165</v>
      </c>
      <c r="Z27" s="10">
        <v>146251802</v>
      </c>
    </row>
    <row r="28" spans="1:26" x14ac:dyDescent="0.3">
      <c r="A28" s="8" t="s">
        <v>35</v>
      </c>
      <c r="B28" s="9" t="s">
        <v>344</v>
      </c>
      <c r="C28" s="9" t="s">
        <v>16</v>
      </c>
      <c r="D28" s="9" t="s">
        <v>34</v>
      </c>
      <c r="E28" s="9" t="s">
        <v>616</v>
      </c>
      <c r="F28" s="9" t="s">
        <v>617</v>
      </c>
      <c r="G28" s="9" t="s">
        <v>621</v>
      </c>
      <c r="H28" s="10">
        <v>400000</v>
      </c>
      <c r="I28" s="10">
        <v>1419600</v>
      </c>
      <c r="J28" s="10">
        <v>550000</v>
      </c>
      <c r="K28" s="10">
        <f t="shared" si="0"/>
        <v>682000</v>
      </c>
      <c r="L28" s="17">
        <f t="shared" si="1"/>
        <v>0.48041701887855737</v>
      </c>
      <c r="M28" s="17">
        <f t="shared" si="2"/>
        <v>0.70499999999999996</v>
      </c>
      <c r="P28" s="9" t="s">
        <v>134</v>
      </c>
      <c r="Q28" s="10">
        <f t="shared" si="4"/>
        <v>205278649</v>
      </c>
      <c r="R28" s="10">
        <f t="shared" si="4"/>
        <v>436403604</v>
      </c>
      <c r="S28" s="10">
        <f t="shared" si="4"/>
        <v>209980000</v>
      </c>
      <c r="T28" s="10">
        <f t="shared" si="4"/>
        <v>260375200</v>
      </c>
      <c r="U28" s="17">
        <f t="shared" si="5"/>
        <v>0.59663851905311027</v>
      </c>
      <c r="V28" s="17">
        <f t="shared" si="6"/>
        <v>0.2683988386926689</v>
      </c>
      <c r="Y28" s="20">
        <v>46166</v>
      </c>
      <c r="Z28" s="10">
        <v>156632703</v>
      </c>
    </row>
    <row r="29" spans="1:26" x14ac:dyDescent="0.3">
      <c r="A29" s="8" t="s">
        <v>43</v>
      </c>
      <c r="B29" s="9" t="s">
        <v>348</v>
      </c>
      <c r="C29" s="9" t="s">
        <v>16</v>
      </c>
      <c r="D29" s="9" t="s">
        <v>40</v>
      </c>
      <c r="E29" s="9" t="s">
        <v>616</v>
      </c>
      <c r="F29" s="9" t="s">
        <v>617</v>
      </c>
      <c r="G29" s="9" t="s">
        <v>623</v>
      </c>
      <c r="H29" s="10">
        <v>3000000</v>
      </c>
      <c r="I29" s="10">
        <v>2893800</v>
      </c>
      <c r="J29" s="10">
        <v>1500000</v>
      </c>
      <c r="K29" s="10">
        <f t="shared" si="0"/>
        <v>1860000</v>
      </c>
      <c r="L29" s="17">
        <f t="shared" si="1"/>
        <v>0.64275347294215224</v>
      </c>
      <c r="M29" s="17">
        <f t="shared" si="2"/>
        <v>-0.38</v>
      </c>
      <c r="P29" s="9" t="s">
        <v>135</v>
      </c>
      <c r="Q29" s="10">
        <f t="shared" si="4"/>
        <v>81663605</v>
      </c>
      <c r="R29" s="10">
        <f t="shared" si="4"/>
        <v>175472388</v>
      </c>
      <c r="S29" s="10">
        <f t="shared" si="4"/>
        <v>81051802</v>
      </c>
      <c r="T29" s="10">
        <f t="shared" si="4"/>
        <v>100504234.48</v>
      </c>
      <c r="U29" s="17">
        <f t="shared" si="5"/>
        <v>0.57276381558105882</v>
      </c>
      <c r="V29" s="17">
        <f t="shared" si="6"/>
        <v>0.23071023474900482</v>
      </c>
      <c r="Y29" s="20">
        <v>46167</v>
      </c>
      <c r="Z29" s="10">
        <v>46850000</v>
      </c>
    </row>
    <row r="30" spans="1:26" x14ac:dyDescent="0.3">
      <c r="A30" s="8" t="s">
        <v>136</v>
      </c>
      <c r="B30" s="9" t="s">
        <v>428</v>
      </c>
      <c r="C30" s="9" t="s">
        <v>14</v>
      </c>
      <c r="D30" s="9" t="s">
        <v>26</v>
      </c>
      <c r="E30" s="9" t="s">
        <v>616</v>
      </c>
      <c r="F30" s="9" t="s">
        <v>617</v>
      </c>
      <c r="G30" s="9" t="s">
        <v>619</v>
      </c>
      <c r="H30" s="10">
        <v>4000000</v>
      </c>
      <c r="I30" s="10">
        <v>15015000</v>
      </c>
      <c r="J30" s="10">
        <v>3650000</v>
      </c>
      <c r="K30" s="10">
        <f t="shared" si="0"/>
        <v>4526000</v>
      </c>
      <c r="L30" s="17">
        <f t="shared" si="1"/>
        <v>0.30143190143190141</v>
      </c>
      <c r="M30" s="17">
        <f t="shared" si="2"/>
        <v>0.13150000000000001</v>
      </c>
      <c r="P30" s="9" t="s">
        <v>137</v>
      </c>
      <c r="Q30" s="10">
        <f t="shared" si="4"/>
        <v>129317209</v>
      </c>
      <c r="R30" s="10">
        <f t="shared" si="4"/>
        <v>208083200</v>
      </c>
      <c r="S30" s="10">
        <f t="shared" si="4"/>
        <v>118476307</v>
      </c>
      <c r="T30" s="10">
        <f t="shared" si="4"/>
        <v>146910620.68000001</v>
      </c>
      <c r="U30" s="17">
        <f t="shared" si="5"/>
        <v>0.70601865350013848</v>
      </c>
      <c r="V30" s="17">
        <f t="shared" si="6"/>
        <v>0.13604849513880249</v>
      </c>
      <c r="Y30" s="20">
        <v>46168</v>
      </c>
      <c r="Z30" s="10" t="s">
        <v>331</v>
      </c>
    </row>
    <row r="31" spans="1:26" x14ac:dyDescent="0.3">
      <c r="A31" s="8" t="s">
        <v>138</v>
      </c>
      <c r="B31" s="9" t="s">
        <v>429</v>
      </c>
      <c r="C31" s="9" t="s">
        <v>14</v>
      </c>
      <c r="D31" s="9" t="s">
        <v>28</v>
      </c>
      <c r="E31" s="9" t="s">
        <v>616</v>
      </c>
      <c r="F31" s="9" t="s">
        <v>617</v>
      </c>
      <c r="G31" s="9" t="s">
        <v>620</v>
      </c>
      <c r="H31" s="10">
        <v>0</v>
      </c>
      <c r="I31" s="10">
        <v>5241600</v>
      </c>
      <c r="J31" s="10">
        <v>0</v>
      </c>
      <c r="K31" s="10">
        <f t="shared" si="0"/>
        <v>0</v>
      </c>
      <c r="L31" s="17">
        <f t="shared" si="1"/>
        <v>0</v>
      </c>
      <c r="M31" s="17">
        <f t="shared" si="2"/>
        <v>0</v>
      </c>
      <c r="P31" s="9" t="s">
        <v>139</v>
      </c>
      <c r="Q31" s="10">
        <f t="shared" si="4"/>
        <v>227992253</v>
      </c>
      <c r="R31" s="10">
        <f t="shared" si="4"/>
        <v>372993760</v>
      </c>
      <c r="S31" s="10">
        <f t="shared" si="4"/>
        <v>221164505</v>
      </c>
      <c r="T31" s="10">
        <f t="shared" si="4"/>
        <v>274243986.19999999</v>
      </c>
      <c r="U31" s="17">
        <f t="shared" si="5"/>
        <v>0.73525086907620119</v>
      </c>
      <c r="V31" s="17">
        <f t="shared" si="6"/>
        <v>0.20286537192121168</v>
      </c>
      <c r="Y31" s="20">
        <v>46169</v>
      </c>
      <c r="Z31" s="10" t="s">
        <v>331</v>
      </c>
    </row>
    <row r="32" spans="1:26" x14ac:dyDescent="0.3">
      <c r="A32" s="8" t="s">
        <v>45</v>
      </c>
      <c r="B32" s="9" t="s">
        <v>349</v>
      </c>
      <c r="C32" s="9" t="s">
        <v>16</v>
      </c>
      <c r="D32" s="9" t="s">
        <v>34</v>
      </c>
      <c r="E32" s="9" t="s">
        <v>616</v>
      </c>
      <c r="F32" s="9" t="s">
        <v>617</v>
      </c>
      <c r="G32" s="9" t="s">
        <v>621</v>
      </c>
      <c r="H32" s="10">
        <v>4375586</v>
      </c>
      <c r="I32" s="10">
        <v>10483200</v>
      </c>
      <c r="J32" s="10">
        <v>2406307</v>
      </c>
      <c r="K32" s="10">
        <f t="shared" si="0"/>
        <v>2983820.68</v>
      </c>
      <c r="L32" s="17">
        <f t="shared" si="1"/>
        <v>0.28462880418192921</v>
      </c>
      <c r="M32" s="17">
        <f t="shared" si="2"/>
        <v>-0.31807518352970321</v>
      </c>
      <c r="P32" s="4" t="s">
        <v>62</v>
      </c>
      <c r="Q32" s="12">
        <f>SUM(Q12:Q31)</f>
        <v>2188116852</v>
      </c>
      <c r="R32" s="12">
        <f>SUM(R12:R31)</f>
        <v>4394988516</v>
      </c>
      <c r="S32" s="12">
        <f>SUM(S12:S31)</f>
        <v>2541168242</v>
      </c>
      <c r="T32" s="12">
        <f>SUM(T12:T31)</f>
        <v>3151048620.0799994</v>
      </c>
      <c r="U32" s="13">
        <f t="shared" si="5"/>
        <v>0.71696401676786525</v>
      </c>
      <c r="V32" s="18">
        <f t="shared" si="6"/>
        <v>0.4400732836547796</v>
      </c>
      <c r="Y32" s="20">
        <v>46170</v>
      </c>
      <c r="Z32" s="10" t="s">
        <v>331</v>
      </c>
    </row>
    <row r="33" spans="1:26" x14ac:dyDescent="0.3">
      <c r="A33" s="8" t="s">
        <v>46</v>
      </c>
      <c r="B33" s="9" t="s">
        <v>350</v>
      </c>
      <c r="C33" s="9" t="s">
        <v>16</v>
      </c>
      <c r="D33" s="9" t="s">
        <v>22</v>
      </c>
      <c r="E33" s="9" t="s">
        <v>616</v>
      </c>
      <c r="F33" s="9" t="s">
        <v>617</v>
      </c>
      <c r="G33" s="9" t="s">
        <v>618</v>
      </c>
      <c r="H33" s="10">
        <v>0</v>
      </c>
      <c r="I33" s="10">
        <v>1965600</v>
      </c>
      <c r="J33" s="10">
        <v>1650000</v>
      </c>
      <c r="K33" s="10">
        <f t="shared" si="0"/>
        <v>2046000</v>
      </c>
      <c r="L33" s="17">
        <f t="shared" si="1"/>
        <v>1.040903540903541</v>
      </c>
      <c r="M33" s="17">
        <f t="shared" si="2"/>
        <v>0</v>
      </c>
      <c r="Y33" s="20">
        <v>46171</v>
      </c>
      <c r="Z33" s="10" t="s">
        <v>331</v>
      </c>
    </row>
    <row r="34" spans="1:26" x14ac:dyDescent="0.3">
      <c r="A34" s="8" t="s">
        <v>140</v>
      </c>
      <c r="B34" s="9" t="s">
        <v>430</v>
      </c>
      <c r="C34" s="9" t="s">
        <v>14</v>
      </c>
      <c r="D34" s="9" t="s">
        <v>26</v>
      </c>
      <c r="E34" s="9" t="s">
        <v>616</v>
      </c>
      <c r="F34" s="9" t="s">
        <v>617</v>
      </c>
      <c r="G34" s="9" t="s">
        <v>619</v>
      </c>
      <c r="H34" s="10">
        <v>1000000</v>
      </c>
      <c r="I34" s="10">
        <v>2620800</v>
      </c>
      <c r="J34" s="10">
        <v>0</v>
      </c>
      <c r="K34" s="10">
        <f t="shared" si="0"/>
        <v>0</v>
      </c>
      <c r="L34" s="17">
        <f t="shared" si="1"/>
        <v>0</v>
      </c>
      <c r="M34" s="17">
        <f t="shared" si="2"/>
        <v>-1</v>
      </c>
      <c r="Y34" s="20">
        <v>46172</v>
      </c>
      <c r="Z34" s="10" t="s">
        <v>331</v>
      </c>
    </row>
    <row r="35" spans="1:26" x14ac:dyDescent="0.3">
      <c r="A35" s="8" t="s">
        <v>141</v>
      </c>
      <c r="B35" s="9" t="s">
        <v>431</v>
      </c>
      <c r="C35" s="9" t="s">
        <v>16</v>
      </c>
      <c r="D35" s="9" t="s">
        <v>36</v>
      </c>
      <c r="E35" s="9" t="s">
        <v>616</v>
      </c>
      <c r="F35" s="9" t="s">
        <v>624</v>
      </c>
      <c r="G35" s="9" t="s">
        <v>622</v>
      </c>
      <c r="H35" s="10">
        <v>1350</v>
      </c>
      <c r="I35" s="10">
        <v>6497400</v>
      </c>
      <c r="J35" s="10">
        <v>0</v>
      </c>
      <c r="K35" s="10">
        <f t="shared" si="0"/>
        <v>0</v>
      </c>
      <c r="L35" s="17">
        <f t="shared" si="1"/>
        <v>0</v>
      </c>
      <c r="M35" s="17">
        <f t="shared" si="2"/>
        <v>-1</v>
      </c>
      <c r="Y35" s="20">
        <v>46173</v>
      </c>
      <c r="Z35" s="10" t="s">
        <v>331</v>
      </c>
    </row>
    <row r="36" spans="1:26" x14ac:dyDescent="0.3">
      <c r="A36" s="8" t="s">
        <v>102</v>
      </c>
      <c r="B36" s="9" t="s">
        <v>404</v>
      </c>
      <c r="C36" s="9" t="s">
        <v>16</v>
      </c>
      <c r="D36" s="9" t="s">
        <v>42</v>
      </c>
      <c r="E36" s="9" t="s">
        <v>616</v>
      </c>
      <c r="F36" s="9" t="s">
        <v>617</v>
      </c>
      <c r="G36" s="9" t="s">
        <v>618</v>
      </c>
      <c r="H36" s="10">
        <v>211802</v>
      </c>
      <c r="I36" s="10">
        <v>2184000</v>
      </c>
      <c r="J36" s="10">
        <v>28548</v>
      </c>
      <c r="K36" s="10">
        <f t="shared" si="0"/>
        <v>35399.520000000004</v>
      </c>
      <c r="L36" s="17">
        <f t="shared" si="1"/>
        <v>1.620857142857143E-2</v>
      </c>
      <c r="M36" s="17">
        <f t="shared" si="2"/>
        <v>-0.83286503432451053</v>
      </c>
      <c r="Y36" s="7" t="s">
        <v>62</v>
      </c>
      <c r="Z36" s="12">
        <f>SUM(Z5:Z35)</f>
        <v>2543168242</v>
      </c>
    </row>
    <row r="37" spans="1:26" x14ac:dyDescent="0.3">
      <c r="A37" s="8" t="s">
        <v>88</v>
      </c>
      <c r="B37" s="9" t="s">
        <v>390</v>
      </c>
      <c r="C37" s="9" t="s">
        <v>16</v>
      </c>
      <c r="D37" s="9" t="s">
        <v>34</v>
      </c>
      <c r="E37" s="9" t="s">
        <v>616</v>
      </c>
      <c r="F37" s="9" t="s">
        <v>617</v>
      </c>
      <c r="G37" s="9" t="s">
        <v>621</v>
      </c>
      <c r="H37" s="10">
        <v>950000</v>
      </c>
      <c r="I37" s="10">
        <v>1419600</v>
      </c>
      <c r="J37" s="10">
        <v>300000</v>
      </c>
      <c r="K37" s="10">
        <f t="shared" si="0"/>
        <v>372000</v>
      </c>
      <c r="L37" s="17">
        <f t="shared" si="1"/>
        <v>0.26204564666103125</v>
      </c>
      <c r="M37" s="17">
        <f t="shared" si="2"/>
        <v>-0.60842105263157897</v>
      </c>
    </row>
    <row r="38" spans="1:26" x14ac:dyDescent="0.3">
      <c r="A38" s="8" t="s">
        <v>142</v>
      </c>
      <c r="B38" s="9" t="s">
        <v>432</v>
      </c>
      <c r="C38" s="9" t="s">
        <v>16</v>
      </c>
      <c r="D38" s="9" t="s">
        <v>38</v>
      </c>
      <c r="E38" s="9" t="s">
        <v>616</v>
      </c>
      <c r="F38" s="9" t="s">
        <v>624</v>
      </c>
      <c r="G38" s="9" t="s">
        <v>621</v>
      </c>
      <c r="H38" s="10">
        <v>0</v>
      </c>
      <c r="I38" s="10">
        <v>1419600</v>
      </c>
      <c r="J38" s="10">
        <v>0</v>
      </c>
      <c r="K38" s="10">
        <f t="shared" si="0"/>
        <v>0</v>
      </c>
      <c r="L38" s="17">
        <f t="shared" si="1"/>
        <v>0</v>
      </c>
      <c r="M38" s="17">
        <f t="shared" si="2"/>
        <v>0</v>
      </c>
    </row>
    <row r="39" spans="1:26" x14ac:dyDescent="0.3">
      <c r="A39" s="8" t="s">
        <v>57</v>
      </c>
      <c r="B39" s="9" t="s">
        <v>361</v>
      </c>
      <c r="C39" s="9" t="s">
        <v>14</v>
      </c>
      <c r="D39" s="9" t="s">
        <v>28</v>
      </c>
      <c r="E39" s="9" t="s">
        <v>616</v>
      </c>
      <c r="F39" s="9" t="s">
        <v>617</v>
      </c>
      <c r="G39" s="9" t="s">
        <v>620</v>
      </c>
      <c r="H39" s="10">
        <v>11900000</v>
      </c>
      <c r="I39" s="10">
        <v>52443300</v>
      </c>
      <c r="J39" s="10">
        <v>9200000</v>
      </c>
      <c r="K39" s="10">
        <f t="shared" si="0"/>
        <v>11408000</v>
      </c>
      <c r="L39" s="17">
        <f t="shared" si="1"/>
        <v>0.21753017067957203</v>
      </c>
      <c r="M39" s="17">
        <f t="shared" si="2"/>
        <v>-4.1344537815126051E-2</v>
      </c>
    </row>
    <row r="40" spans="1:26" x14ac:dyDescent="0.3">
      <c r="A40" s="8" t="s">
        <v>143</v>
      </c>
      <c r="B40" s="9" t="s">
        <v>433</v>
      </c>
      <c r="C40" s="9" t="s">
        <v>16</v>
      </c>
      <c r="D40" s="9" t="s">
        <v>22</v>
      </c>
      <c r="E40" s="9" t="s">
        <v>616</v>
      </c>
      <c r="F40" s="9" t="s">
        <v>617</v>
      </c>
      <c r="G40" s="9" t="s">
        <v>618</v>
      </c>
      <c r="H40" s="10">
        <v>0</v>
      </c>
      <c r="I40" s="10">
        <v>3112200</v>
      </c>
      <c r="J40" s="10">
        <v>1923604</v>
      </c>
      <c r="K40" s="10">
        <f t="shared" si="0"/>
        <v>2385268.96</v>
      </c>
      <c r="L40" s="17">
        <f t="shared" si="1"/>
        <v>0.7664253454148191</v>
      </c>
      <c r="M40" s="17">
        <f t="shared" si="2"/>
        <v>0</v>
      </c>
    </row>
    <row r="41" spans="1:26" x14ac:dyDescent="0.3">
      <c r="A41" s="8" t="s">
        <v>77</v>
      </c>
      <c r="B41" s="9" t="s">
        <v>379</v>
      </c>
      <c r="C41" s="9" t="s">
        <v>16</v>
      </c>
      <c r="D41" s="9" t="s">
        <v>44</v>
      </c>
      <c r="E41" s="9" t="s">
        <v>616</v>
      </c>
      <c r="F41" s="9" t="s">
        <v>617</v>
      </c>
      <c r="G41" s="9" t="s">
        <v>622</v>
      </c>
      <c r="H41" s="10">
        <v>0</v>
      </c>
      <c r="I41" s="10">
        <v>1807260</v>
      </c>
      <c r="J41" s="10">
        <v>1000000</v>
      </c>
      <c r="K41" s="10">
        <f t="shared" si="0"/>
        <v>1240000</v>
      </c>
      <c r="L41" s="17">
        <f t="shared" si="1"/>
        <v>0.68612153204298221</v>
      </c>
      <c r="M41" s="17">
        <f t="shared" si="2"/>
        <v>0</v>
      </c>
    </row>
    <row r="42" spans="1:26" x14ac:dyDescent="0.3">
      <c r="A42" s="8" t="s">
        <v>144</v>
      </c>
      <c r="B42" s="9" t="s">
        <v>434</v>
      </c>
      <c r="C42" s="9" t="s">
        <v>16</v>
      </c>
      <c r="D42" s="9" t="s">
        <v>40</v>
      </c>
      <c r="E42" s="9" t="s">
        <v>616</v>
      </c>
      <c r="F42" s="9" t="s">
        <v>617</v>
      </c>
      <c r="G42" s="9" t="s">
        <v>623</v>
      </c>
      <c r="H42" s="10">
        <v>1850000</v>
      </c>
      <c r="I42" s="10">
        <v>1419600</v>
      </c>
      <c r="J42" s="10">
        <v>1950000</v>
      </c>
      <c r="K42" s="10">
        <f t="shared" si="0"/>
        <v>2418000</v>
      </c>
      <c r="L42" s="17">
        <f t="shared" si="1"/>
        <v>1.7032967032967032</v>
      </c>
      <c r="M42" s="17">
        <f t="shared" si="2"/>
        <v>0.307027027027027</v>
      </c>
    </row>
    <row r="43" spans="1:26" x14ac:dyDescent="0.3">
      <c r="A43" s="8" t="s">
        <v>145</v>
      </c>
      <c r="B43" s="9" t="s">
        <v>435</v>
      </c>
      <c r="C43" s="9" t="s">
        <v>14</v>
      </c>
      <c r="D43" s="9" t="s">
        <v>26</v>
      </c>
      <c r="E43" s="9" t="s">
        <v>616</v>
      </c>
      <c r="F43" s="9" t="s">
        <v>617</v>
      </c>
      <c r="G43" s="9" t="s">
        <v>619</v>
      </c>
      <c r="H43" s="10">
        <v>3480000</v>
      </c>
      <c r="I43" s="10">
        <v>1419600</v>
      </c>
      <c r="J43" s="10">
        <v>800000</v>
      </c>
      <c r="K43" s="10">
        <f t="shared" si="0"/>
        <v>992000</v>
      </c>
      <c r="L43" s="17">
        <f t="shared" si="1"/>
        <v>0.69878839109608337</v>
      </c>
      <c r="M43" s="17">
        <f t="shared" si="2"/>
        <v>-0.71494252873563213</v>
      </c>
    </row>
    <row r="44" spans="1:26" x14ac:dyDescent="0.3">
      <c r="A44" s="8" t="s">
        <v>146</v>
      </c>
      <c r="B44" s="9" t="s">
        <v>436</v>
      </c>
      <c r="C44" s="9" t="s">
        <v>16</v>
      </c>
      <c r="D44" s="9" t="s">
        <v>40</v>
      </c>
      <c r="E44" s="9" t="s">
        <v>616</v>
      </c>
      <c r="F44" s="9" t="s">
        <v>617</v>
      </c>
      <c r="G44" s="9" t="s">
        <v>623</v>
      </c>
      <c r="H44" s="10">
        <v>1203604</v>
      </c>
      <c r="I44" s="10">
        <v>3931200</v>
      </c>
      <c r="J44" s="10">
        <v>2576307</v>
      </c>
      <c r="K44" s="10">
        <f t="shared" si="0"/>
        <v>3194620.68</v>
      </c>
      <c r="L44" s="17">
        <f t="shared" si="1"/>
        <v>0.81263244810744817</v>
      </c>
      <c r="M44" s="17">
        <f t="shared" si="2"/>
        <v>1.6542124153791449</v>
      </c>
    </row>
    <row r="45" spans="1:26" x14ac:dyDescent="0.3">
      <c r="A45" s="8" t="s">
        <v>53</v>
      </c>
      <c r="B45" s="9" t="s">
        <v>357</v>
      </c>
      <c r="C45" s="9" t="s">
        <v>16</v>
      </c>
      <c r="D45" s="9" t="s">
        <v>44</v>
      </c>
      <c r="E45" s="9" t="s">
        <v>616</v>
      </c>
      <c r="F45" s="9" t="s">
        <v>617</v>
      </c>
      <c r="G45" s="9" t="s">
        <v>622</v>
      </c>
      <c r="H45" s="10">
        <v>2000000</v>
      </c>
      <c r="I45" s="10">
        <v>4368000</v>
      </c>
      <c r="J45" s="10">
        <v>550000</v>
      </c>
      <c r="K45" s="10">
        <f t="shared" si="0"/>
        <v>682000</v>
      </c>
      <c r="L45" s="17">
        <f t="shared" si="1"/>
        <v>0.15613553113553114</v>
      </c>
      <c r="M45" s="17">
        <f t="shared" si="2"/>
        <v>-0.65900000000000003</v>
      </c>
    </row>
    <row r="46" spans="1:26" x14ac:dyDescent="0.3">
      <c r="A46" s="8" t="s">
        <v>69</v>
      </c>
      <c r="B46" s="9" t="s">
        <v>371</v>
      </c>
      <c r="C46" s="9" t="s">
        <v>14</v>
      </c>
      <c r="D46" s="9" t="s">
        <v>32</v>
      </c>
      <c r="E46" s="9" t="s">
        <v>616</v>
      </c>
      <c r="F46" s="9" t="s">
        <v>617</v>
      </c>
      <c r="G46" s="9" t="s">
        <v>619</v>
      </c>
      <c r="H46" s="10">
        <v>3800000</v>
      </c>
      <c r="I46" s="10">
        <v>1419600</v>
      </c>
      <c r="J46" s="10">
        <v>1550000</v>
      </c>
      <c r="K46" s="10">
        <f t="shared" si="0"/>
        <v>1922000</v>
      </c>
      <c r="L46" s="17">
        <f t="shared" si="1"/>
        <v>1.3539025077486615</v>
      </c>
      <c r="M46" s="17">
        <f t="shared" si="2"/>
        <v>-0.49421052631578949</v>
      </c>
    </row>
    <row r="47" spans="1:26" x14ac:dyDescent="0.3">
      <c r="A47" s="8" t="s">
        <v>99</v>
      </c>
      <c r="B47" s="9" t="s">
        <v>401</v>
      </c>
      <c r="C47" s="9" t="s">
        <v>16</v>
      </c>
      <c r="D47" s="9" t="s">
        <v>42</v>
      </c>
      <c r="E47" s="9" t="s">
        <v>616</v>
      </c>
      <c r="F47" s="9" t="s">
        <v>617</v>
      </c>
      <c r="G47" s="9" t="s">
        <v>618</v>
      </c>
      <c r="H47" s="10">
        <v>0</v>
      </c>
      <c r="I47" s="10">
        <v>1747200</v>
      </c>
      <c r="J47" s="10">
        <v>0</v>
      </c>
      <c r="K47" s="10">
        <f t="shared" si="0"/>
        <v>0</v>
      </c>
      <c r="L47" s="17">
        <f t="shared" si="1"/>
        <v>0</v>
      </c>
      <c r="M47" s="17">
        <f t="shared" si="2"/>
        <v>0</v>
      </c>
    </row>
    <row r="48" spans="1:26" x14ac:dyDescent="0.3">
      <c r="A48" s="8" t="s">
        <v>147</v>
      </c>
      <c r="B48" s="9" t="s">
        <v>437</v>
      </c>
      <c r="C48" s="9" t="s">
        <v>16</v>
      </c>
      <c r="D48" s="9" t="s">
        <v>42</v>
      </c>
      <c r="E48" s="9" t="s">
        <v>616</v>
      </c>
      <c r="F48" s="9" t="s">
        <v>617</v>
      </c>
      <c r="G48" s="9" t="s">
        <v>618</v>
      </c>
      <c r="H48" s="10">
        <v>0</v>
      </c>
      <c r="I48" s="10">
        <v>1419600</v>
      </c>
      <c r="J48" s="10">
        <v>0</v>
      </c>
      <c r="K48" s="10">
        <f t="shared" si="0"/>
        <v>0</v>
      </c>
      <c r="L48" s="17">
        <f t="shared" si="1"/>
        <v>0</v>
      </c>
      <c r="M48" s="17">
        <f t="shared" si="2"/>
        <v>0</v>
      </c>
    </row>
    <row r="49" spans="1:13" x14ac:dyDescent="0.3">
      <c r="A49" s="8" t="s">
        <v>73</v>
      </c>
      <c r="B49" s="9" t="s">
        <v>375</v>
      </c>
      <c r="C49" s="9" t="s">
        <v>14</v>
      </c>
      <c r="D49" s="9" t="s">
        <v>26</v>
      </c>
      <c r="E49" s="9" t="s">
        <v>616</v>
      </c>
      <c r="F49" s="9" t="s">
        <v>617</v>
      </c>
      <c r="G49" s="9" t="s">
        <v>619</v>
      </c>
      <c r="H49" s="10">
        <v>0</v>
      </c>
      <c r="I49" s="10">
        <v>1419600</v>
      </c>
      <c r="J49" s="10">
        <v>0</v>
      </c>
      <c r="K49" s="10">
        <f t="shared" si="0"/>
        <v>0</v>
      </c>
      <c r="L49" s="17">
        <f t="shared" si="1"/>
        <v>0</v>
      </c>
      <c r="M49" s="17">
        <f t="shared" si="2"/>
        <v>0</v>
      </c>
    </row>
    <row r="50" spans="1:13" x14ac:dyDescent="0.3">
      <c r="A50" s="8" t="s">
        <v>80</v>
      </c>
      <c r="B50" s="9" t="s">
        <v>382</v>
      </c>
      <c r="C50" s="9" t="s">
        <v>16</v>
      </c>
      <c r="D50" s="9" t="s">
        <v>44</v>
      </c>
      <c r="E50" s="9" t="s">
        <v>616</v>
      </c>
      <c r="F50" s="9" t="s">
        <v>617</v>
      </c>
      <c r="G50" s="9" t="s">
        <v>622</v>
      </c>
      <c r="H50" s="10">
        <v>9099</v>
      </c>
      <c r="I50" s="10">
        <v>1419600</v>
      </c>
      <c r="J50" s="10">
        <v>550000</v>
      </c>
      <c r="K50" s="10">
        <f t="shared" si="0"/>
        <v>682000</v>
      </c>
      <c r="L50" s="17">
        <f t="shared" si="1"/>
        <v>0.48041701887855737</v>
      </c>
      <c r="M50" s="17">
        <f t="shared" si="2"/>
        <v>73.953291570502259</v>
      </c>
    </row>
    <row r="51" spans="1:13" x14ac:dyDescent="0.3">
      <c r="A51" s="8" t="s">
        <v>148</v>
      </c>
      <c r="B51" s="9" t="s">
        <v>438</v>
      </c>
      <c r="C51" s="9" t="s">
        <v>14</v>
      </c>
      <c r="D51" s="9" t="s">
        <v>30</v>
      </c>
      <c r="E51" s="9" t="s">
        <v>616</v>
      </c>
      <c r="F51" s="9" t="s">
        <v>617</v>
      </c>
      <c r="G51" s="9" t="s">
        <v>620</v>
      </c>
      <c r="H51" s="10">
        <v>0</v>
      </c>
      <c r="I51" s="10">
        <v>2347800</v>
      </c>
      <c r="J51" s="10">
        <v>0</v>
      </c>
      <c r="K51" s="10">
        <f t="shared" si="0"/>
        <v>0</v>
      </c>
      <c r="L51" s="17">
        <f t="shared" si="1"/>
        <v>0</v>
      </c>
      <c r="M51" s="17">
        <f t="shared" si="2"/>
        <v>0</v>
      </c>
    </row>
    <row r="52" spans="1:13" x14ac:dyDescent="0.3">
      <c r="A52" s="8" t="s">
        <v>149</v>
      </c>
      <c r="B52" s="9" t="s">
        <v>439</v>
      </c>
      <c r="C52" s="9" t="s">
        <v>14</v>
      </c>
      <c r="D52" s="9" t="s">
        <v>32</v>
      </c>
      <c r="E52" s="9" t="s">
        <v>616</v>
      </c>
      <c r="F52" s="9" t="s">
        <v>617</v>
      </c>
      <c r="G52" s="9" t="s">
        <v>619</v>
      </c>
      <c r="H52" s="10">
        <v>550000</v>
      </c>
      <c r="I52" s="10">
        <v>2270268</v>
      </c>
      <c r="J52" s="10">
        <v>550000</v>
      </c>
      <c r="K52" s="10">
        <f t="shared" si="0"/>
        <v>682000</v>
      </c>
      <c r="L52" s="17">
        <f t="shared" si="1"/>
        <v>0.30040506230982422</v>
      </c>
      <c r="M52" s="17">
        <f t="shared" si="2"/>
        <v>0.24</v>
      </c>
    </row>
    <row r="53" spans="1:13" x14ac:dyDescent="0.3">
      <c r="A53" s="8" t="s">
        <v>21</v>
      </c>
      <c r="B53" s="9" t="s">
        <v>337</v>
      </c>
      <c r="C53" s="9" t="s">
        <v>14</v>
      </c>
      <c r="D53" s="9" t="s">
        <v>30</v>
      </c>
      <c r="E53" s="9" t="s">
        <v>616</v>
      </c>
      <c r="F53" s="9" t="s">
        <v>617</v>
      </c>
      <c r="G53" s="9" t="s">
        <v>620</v>
      </c>
      <c r="H53" s="10">
        <v>800000</v>
      </c>
      <c r="I53" s="10">
        <v>2948400</v>
      </c>
      <c r="J53" s="10">
        <v>2200000</v>
      </c>
      <c r="K53" s="10">
        <f t="shared" si="0"/>
        <v>2728000</v>
      </c>
      <c r="L53" s="17">
        <f t="shared" si="1"/>
        <v>0.92524759191425854</v>
      </c>
      <c r="M53" s="17">
        <f t="shared" si="2"/>
        <v>2.41</v>
      </c>
    </row>
    <row r="54" spans="1:13" x14ac:dyDescent="0.3">
      <c r="A54" s="8" t="s">
        <v>150</v>
      </c>
      <c r="B54" s="9" t="s">
        <v>440</v>
      </c>
      <c r="C54" s="9" t="s">
        <v>16</v>
      </c>
      <c r="D54" s="9" t="s">
        <v>42</v>
      </c>
      <c r="E54" s="9" t="s">
        <v>616</v>
      </c>
      <c r="F54" s="9" t="s">
        <v>624</v>
      </c>
      <c r="G54" s="9" t="s">
        <v>618</v>
      </c>
      <c r="H54" s="10">
        <v>9099</v>
      </c>
      <c r="I54" s="10">
        <v>1419600</v>
      </c>
      <c r="J54" s="10">
        <v>0</v>
      </c>
      <c r="K54" s="10">
        <f t="shared" si="0"/>
        <v>0</v>
      </c>
      <c r="L54" s="17">
        <f t="shared" si="1"/>
        <v>0</v>
      </c>
      <c r="M54" s="17">
        <f t="shared" si="2"/>
        <v>-1</v>
      </c>
    </row>
    <row r="55" spans="1:13" x14ac:dyDescent="0.3">
      <c r="A55" s="8" t="s">
        <v>79</v>
      </c>
      <c r="B55" s="9" t="s">
        <v>381</v>
      </c>
      <c r="C55" s="9" t="s">
        <v>16</v>
      </c>
      <c r="D55" s="9" t="s">
        <v>42</v>
      </c>
      <c r="E55" s="9" t="s">
        <v>616</v>
      </c>
      <c r="F55" s="9" t="s">
        <v>617</v>
      </c>
      <c r="G55" s="9" t="s">
        <v>618</v>
      </c>
      <c r="H55" s="10">
        <v>2000000</v>
      </c>
      <c r="I55" s="10">
        <v>1419600</v>
      </c>
      <c r="J55" s="10">
        <v>0</v>
      </c>
      <c r="K55" s="10">
        <f t="shared" si="0"/>
        <v>0</v>
      </c>
      <c r="L55" s="17">
        <f t="shared" si="1"/>
        <v>0</v>
      </c>
      <c r="M55" s="17">
        <f t="shared" si="2"/>
        <v>-1</v>
      </c>
    </row>
    <row r="56" spans="1:13" x14ac:dyDescent="0.3">
      <c r="A56" s="8" t="s">
        <v>65</v>
      </c>
      <c r="B56" s="9" t="s">
        <v>367</v>
      </c>
      <c r="C56" s="9" t="s">
        <v>14</v>
      </c>
      <c r="D56" s="9" t="s">
        <v>26</v>
      </c>
      <c r="E56" s="9" t="s">
        <v>616</v>
      </c>
      <c r="F56" s="9" t="s">
        <v>617</v>
      </c>
      <c r="G56" s="9" t="s">
        <v>619</v>
      </c>
      <c r="H56" s="10">
        <v>400000</v>
      </c>
      <c r="I56" s="10">
        <v>1419600</v>
      </c>
      <c r="J56" s="10">
        <v>202703</v>
      </c>
      <c r="K56" s="10">
        <f t="shared" si="0"/>
        <v>251351.72</v>
      </c>
      <c r="L56" s="17">
        <f t="shared" si="1"/>
        <v>0.17705812905043675</v>
      </c>
      <c r="M56" s="17">
        <f t="shared" si="2"/>
        <v>-0.37162069999999997</v>
      </c>
    </row>
    <row r="57" spans="1:13" x14ac:dyDescent="0.3">
      <c r="A57" s="8" t="s">
        <v>96</v>
      </c>
      <c r="B57" s="9" t="s">
        <v>398</v>
      </c>
      <c r="C57" s="9" t="s">
        <v>14</v>
      </c>
      <c r="D57" s="9" t="s">
        <v>32</v>
      </c>
      <c r="E57" s="9" t="s">
        <v>616</v>
      </c>
      <c r="F57" s="9" t="s">
        <v>617</v>
      </c>
      <c r="G57" s="9" t="s">
        <v>619</v>
      </c>
      <c r="H57" s="10">
        <v>300000</v>
      </c>
      <c r="I57" s="10">
        <v>1419600</v>
      </c>
      <c r="J57" s="10">
        <v>300000</v>
      </c>
      <c r="K57" s="10">
        <f t="shared" si="0"/>
        <v>372000</v>
      </c>
      <c r="L57" s="17">
        <f t="shared" si="1"/>
        <v>0.26204564666103125</v>
      </c>
      <c r="M57" s="17">
        <f t="shared" si="2"/>
        <v>0.24</v>
      </c>
    </row>
    <row r="58" spans="1:13" x14ac:dyDescent="0.3">
      <c r="A58" s="8" t="s">
        <v>151</v>
      </c>
      <c r="B58" s="9" t="s">
        <v>441</v>
      </c>
      <c r="C58" s="9" t="s">
        <v>16</v>
      </c>
      <c r="D58" s="9" t="s">
        <v>36</v>
      </c>
      <c r="E58" s="9" t="s">
        <v>616</v>
      </c>
      <c r="F58" s="9" t="s">
        <v>617</v>
      </c>
      <c r="G58" s="9" t="s">
        <v>622</v>
      </c>
      <c r="H58" s="10">
        <v>1000000</v>
      </c>
      <c r="I58" s="10">
        <v>4422600</v>
      </c>
      <c r="J58" s="10">
        <v>1760000</v>
      </c>
      <c r="K58" s="10">
        <f t="shared" si="0"/>
        <v>2182400</v>
      </c>
      <c r="L58" s="17">
        <f t="shared" si="1"/>
        <v>0.49346538235427123</v>
      </c>
      <c r="M58" s="17">
        <f t="shared" si="2"/>
        <v>1.1823999999999999</v>
      </c>
    </row>
    <row r="59" spans="1:13" x14ac:dyDescent="0.3">
      <c r="A59" s="8" t="s">
        <v>152</v>
      </c>
      <c r="B59" s="9" t="s">
        <v>442</v>
      </c>
      <c r="C59" s="9" t="s">
        <v>16</v>
      </c>
      <c r="D59" s="9" t="s">
        <v>40</v>
      </c>
      <c r="E59" s="9" t="s">
        <v>616</v>
      </c>
      <c r="F59" s="9" t="s">
        <v>617</v>
      </c>
      <c r="G59" s="9" t="s">
        <v>623</v>
      </c>
      <c r="H59" s="10">
        <v>2133422</v>
      </c>
      <c r="I59" s="10">
        <v>3610152</v>
      </c>
      <c r="J59" s="10">
        <v>2983964</v>
      </c>
      <c r="K59" s="10">
        <f t="shared" si="0"/>
        <v>3700115.36</v>
      </c>
      <c r="L59" s="17">
        <f t="shared" si="1"/>
        <v>1.0249195490937777</v>
      </c>
      <c r="M59" s="17">
        <f t="shared" si="2"/>
        <v>0.73435699078757033</v>
      </c>
    </row>
    <row r="60" spans="1:13" x14ac:dyDescent="0.3">
      <c r="A60" s="8" t="s">
        <v>67</v>
      </c>
      <c r="B60" s="9" t="s">
        <v>369</v>
      </c>
      <c r="C60" s="9" t="s">
        <v>14</v>
      </c>
      <c r="D60" s="9" t="s">
        <v>24</v>
      </c>
      <c r="E60" s="9" t="s">
        <v>616</v>
      </c>
      <c r="F60" s="9" t="s">
        <v>617</v>
      </c>
      <c r="G60" s="9" t="s">
        <v>619</v>
      </c>
      <c r="H60" s="10">
        <v>0</v>
      </c>
      <c r="I60" s="10">
        <v>4477200</v>
      </c>
      <c r="J60" s="10">
        <v>0</v>
      </c>
      <c r="K60" s="10">
        <f t="shared" si="0"/>
        <v>0</v>
      </c>
      <c r="L60" s="17">
        <f t="shared" si="1"/>
        <v>0</v>
      </c>
      <c r="M60" s="17">
        <f t="shared" si="2"/>
        <v>0</v>
      </c>
    </row>
    <row r="61" spans="1:13" x14ac:dyDescent="0.3">
      <c r="A61" s="8" t="s">
        <v>83</v>
      </c>
      <c r="B61" s="9" t="s">
        <v>385</v>
      </c>
      <c r="C61" s="9" t="s">
        <v>14</v>
      </c>
      <c r="D61" s="9" t="s">
        <v>32</v>
      </c>
      <c r="E61" s="9" t="s">
        <v>616</v>
      </c>
      <c r="F61" s="9" t="s">
        <v>617</v>
      </c>
      <c r="G61" s="9" t="s">
        <v>619</v>
      </c>
      <c r="H61" s="10">
        <v>603784</v>
      </c>
      <c r="I61" s="10">
        <v>1419600</v>
      </c>
      <c r="J61" s="10">
        <v>423604</v>
      </c>
      <c r="K61" s="10">
        <f t="shared" si="0"/>
        <v>525268.96</v>
      </c>
      <c r="L61" s="17">
        <f t="shared" si="1"/>
        <v>0.37001194702733159</v>
      </c>
      <c r="M61" s="17">
        <f t="shared" si="2"/>
        <v>-0.13003829183946583</v>
      </c>
    </row>
    <row r="62" spans="1:13" x14ac:dyDescent="0.3">
      <c r="A62" s="8" t="s">
        <v>81</v>
      </c>
      <c r="B62" s="9" t="s">
        <v>383</v>
      </c>
      <c r="C62" s="9" t="s">
        <v>16</v>
      </c>
      <c r="D62" s="9" t="s">
        <v>40</v>
      </c>
      <c r="E62" s="9" t="s">
        <v>616</v>
      </c>
      <c r="F62" s="9" t="s">
        <v>617</v>
      </c>
      <c r="G62" s="9" t="s">
        <v>623</v>
      </c>
      <c r="H62" s="10">
        <v>2100000</v>
      </c>
      <c r="I62" s="10">
        <v>3767400</v>
      </c>
      <c r="J62" s="10">
        <v>3425000</v>
      </c>
      <c r="K62" s="10">
        <f t="shared" si="0"/>
        <v>4247000</v>
      </c>
      <c r="L62" s="17">
        <f t="shared" si="1"/>
        <v>1.1273026490417795</v>
      </c>
      <c r="M62" s="17">
        <f t="shared" si="2"/>
        <v>1.0223809523809524</v>
      </c>
    </row>
    <row r="63" spans="1:13" x14ac:dyDescent="0.3">
      <c r="A63" s="8" t="s">
        <v>31</v>
      </c>
      <c r="B63" s="9" t="s">
        <v>342</v>
      </c>
      <c r="C63" s="9" t="s">
        <v>14</v>
      </c>
      <c r="D63" s="9" t="s">
        <v>32</v>
      </c>
      <c r="E63" s="9" t="s">
        <v>616</v>
      </c>
      <c r="F63" s="9" t="s">
        <v>617</v>
      </c>
      <c r="G63" s="9" t="s">
        <v>619</v>
      </c>
      <c r="H63" s="10">
        <v>0</v>
      </c>
      <c r="I63" s="10">
        <v>2184000</v>
      </c>
      <c r="J63" s="10">
        <v>211802</v>
      </c>
      <c r="K63" s="10">
        <f t="shared" si="0"/>
        <v>262634.48</v>
      </c>
      <c r="L63" s="17">
        <f t="shared" si="1"/>
        <v>0.12025388278388277</v>
      </c>
      <c r="M63" s="17">
        <f t="shared" si="2"/>
        <v>0</v>
      </c>
    </row>
    <row r="64" spans="1:13" x14ac:dyDescent="0.3">
      <c r="A64" s="8" t="s">
        <v>89</v>
      </c>
      <c r="B64" s="9" t="s">
        <v>391</v>
      </c>
      <c r="C64" s="9" t="s">
        <v>16</v>
      </c>
      <c r="D64" s="9" t="s">
        <v>36</v>
      </c>
      <c r="E64" s="9" t="s">
        <v>616</v>
      </c>
      <c r="F64" s="9" t="s">
        <v>617</v>
      </c>
      <c r="G64" s="9" t="s">
        <v>622</v>
      </c>
      <c r="H64" s="10">
        <v>0</v>
      </c>
      <c r="I64" s="10">
        <v>1747200</v>
      </c>
      <c r="J64" s="10">
        <v>0</v>
      </c>
      <c r="K64" s="10">
        <f t="shared" si="0"/>
        <v>0</v>
      </c>
      <c r="L64" s="17">
        <f t="shared" si="1"/>
        <v>0</v>
      </c>
      <c r="M64" s="17">
        <f t="shared" si="2"/>
        <v>0</v>
      </c>
    </row>
    <row r="65" spans="1:13" x14ac:dyDescent="0.3">
      <c r="A65" s="8" t="s">
        <v>153</v>
      </c>
      <c r="B65" s="9" t="s">
        <v>443</v>
      </c>
      <c r="C65" s="9" t="s">
        <v>16</v>
      </c>
      <c r="D65" s="9" t="s">
        <v>40</v>
      </c>
      <c r="E65" s="9" t="s">
        <v>616</v>
      </c>
      <c r="F65" s="9" t="s">
        <v>617</v>
      </c>
      <c r="G65" s="9" t="s">
        <v>623</v>
      </c>
      <c r="H65" s="10">
        <v>1012883</v>
      </c>
      <c r="I65" s="10">
        <v>1419600</v>
      </c>
      <c r="J65" s="10">
        <v>1198469</v>
      </c>
      <c r="K65" s="10">
        <f t="shared" si="0"/>
        <v>1486101.56</v>
      </c>
      <c r="L65" s="17">
        <f t="shared" si="1"/>
        <v>1.0468452803606649</v>
      </c>
      <c r="M65" s="17">
        <f t="shared" si="2"/>
        <v>0.46719962720274705</v>
      </c>
    </row>
    <row r="66" spans="1:13" x14ac:dyDescent="0.3">
      <c r="A66" s="8" t="s">
        <v>154</v>
      </c>
      <c r="B66" s="9" t="s">
        <v>444</v>
      </c>
      <c r="C66" s="9" t="s">
        <v>14</v>
      </c>
      <c r="D66" s="9" t="s">
        <v>24</v>
      </c>
      <c r="E66" s="9" t="s">
        <v>616</v>
      </c>
      <c r="F66" s="9" t="s">
        <v>617</v>
      </c>
      <c r="G66" s="9" t="s">
        <v>619</v>
      </c>
      <c r="H66" s="10">
        <v>2111802</v>
      </c>
      <c r="I66" s="10">
        <v>4368000</v>
      </c>
      <c r="J66" s="10">
        <v>4361802</v>
      </c>
      <c r="K66" s="10">
        <f t="shared" si="0"/>
        <v>5408634.4799999995</v>
      </c>
      <c r="L66" s="17">
        <f t="shared" si="1"/>
        <v>1.2382404945054943</v>
      </c>
      <c r="M66" s="17">
        <f t="shared" si="2"/>
        <v>1.5611465847650488</v>
      </c>
    </row>
    <row r="67" spans="1:13" x14ac:dyDescent="0.3">
      <c r="A67" s="8" t="s">
        <v>82</v>
      </c>
      <c r="B67" s="9" t="s">
        <v>384</v>
      </c>
      <c r="C67" s="9" t="s">
        <v>16</v>
      </c>
      <c r="D67" s="9" t="s">
        <v>44</v>
      </c>
      <c r="E67" s="9" t="s">
        <v>616</v>
      </c>
      <c r="F67" s="9" t="s">
        <v>617</v>
      </c>
      <c r="G67" s="9" t="s">
        <v>622</v>
      </c>
      <c r="H67" s="10">
        <v>0</v>
      </c>
      <c r="I67" s="10">
        <v>1419600</v>
      </c>
      <c r="J67" s="10">
        <v>360000</v>
      </c>
      <c r="K67" s="10">
        <f t="shared" si="0"/>
        <v>446400</v>
      </c>
      <c r="L67" s="17">
        <f t="shared" si="1"/>
        <v>0.31445477599323751</v>
      </c>
      <c r="M67" s="17">
        <f t="shared" si="2"/>
        <v>0</v>
      </c>
    </row>
    <row r="68" spans="1:13" x14ac:dyDescent="0.3">
      <c r="A68" s="8" t="s">
        <v>110</v>
      </c>
      <c r="B68" s="9" t="s">
        <v>412</v>
      </c>
      <c r="C68" s="9" t="s">
        <v>14</v>
      </c>
      <c r="D68" s="9" t="s">
        <v>32</v>
      </c>
      <c r="E68" s="9" t="s">
        <v>616</v>
      </c>
      <c r="F68" s="9" t="s">
        <v>617</v>
      </c>
      <c r="G68" s="9" t="s">
        <v>619</v>
      </c>
      <c r="H68" s="10">
        <v>2500000</v>
      </c>
      <c r="I68" s="10">
        <v>1192464</v>
      </c>
      <c r="J68" s="10">
        <v>550000</v>
      </c>
      <c r="K68" s="10">
        <f t="shared" si="0"/>
        <v>682000</v>
      </c>
      <c r="L68" s="17">
        <f t="shared" si="1"/>
        <v>0.57192502247447308</v>
      </c>
      <c r="M68" s="17">
        <f t="shared" si="2"/>
        <v>-0.72719999999999996</v>
      </c>
    </row>
    <row r="69" spans="1:13" x14ac:dyDescent="0.3">
      <c r="A69" s="8" t="s">
        <v>100</v>
      </c>
      <c r="B69" s="9" t="s">
        <v>402</v>
      </c>
      <c r="C69" s="9" t="s">
        <v>16</v>
      </c>
      <c r="D69" s="9" t="s">
        <v>44</v>
      </c>
      <c r="E69" s="9" t="s">
        <v>616</v>
      </c>
      <c r="F69" s="9" t="s">
        <v>617</v>
      </c>
      <c r="G69" s="9" t="s">
        <v>622</v>
      </c>
      <c r="H69" s="10">
        <v>0</v>
      </c>
      <c r="I69" s="10">
        <v>1419600</v>
      </c>
      <c r="J69" s="10">
        <v>0</v>
      </c>
      <c r="K69" s="10">
        <f t="shared" ref="K69:K132" si="7">IFERROR(J69/$A$1*$B$1,0)</f>
        <v>0</v>
      </c>
      <c r="L69" s="17">
        <f t="shared" ref="L69:L132" si="8">IFERROR((K69/I69),0)</f>
        <v>0</v>
      </c>
      <c r="M69" s="17">
        <f t="shared" ref="M69:M132" si="9">IFERROR((K69-H69)/H69,0)</f>
        <v>0</v>
      </c>
    </row>
    <row r="70" spans="1:13" x14ac:dyDescent="0.3">
      <c r="A70" s="8" t="s">
        <v>92</v>
      </c>
      <c r="B70" s="9" t="s">
        <v>394</v>
      </c>
      <c r="C70" s="9" t="s">
        <v>16</v>
      </c>
      <c r="D70" s="9" t="s">
        <v>34</v>
      </c>
      <c r="E70" s="9" t="s">
        <v>616</v>
      </c>
      <c r="F70" s="9" t="s">
        <v>617</v>
      </c>
      <c r="G70" s="9" t="s">
        <v>621</v>
      </c>
      <c r="H70" s="10">
        <v>0</v>
      </c>
      <c r="I70" s="10">
        <v>3931200</v>
      </c>
      <c r="J70" s="10">
        <v>0</v>
      </c>
      <c r="K70" s="10">
        <f t="shared" si="7"/>
        <v>0</v>
      </c>
      <c r="L70" s="17">
        <f t="shared" si="8"/>
        <v>0</v>
      </c>
      <c r="M70" s="17">
        <f t="shared" si="9"/>
        <v>0</v>
      </c>
    </row>
    <row r="71" spans="1:13" x14ac:dyDescent="0.3">
      <c r="A71" s="8" t="s">
        <v>76</v>
      </c>
      <c r="B71" s="9" t="s">
        <v>378</v>
      </c>
      <c r="C71" s="9" t="s">
        <v>16</v>
      </c>
      <c r="D71" s="9" t="s">
        <v>22</v>
      </c>
      <c r="E71" s="9" t="s">
        <v>616</v>
      </c>
      <c r="F71" s="9" t="s">
        <v>617</v>
      </c>
      <c r="G71" s="9" t="s">
        <v>618</v>
      </c>
      <c r="H71" s="10">
        <v>0</v>
      </c>
      <c r="I71" s="10">
        <v>3603600</v>
      </c>
      <c r="J71" s="10">
        <v>700000</v>
      </c>
      <c r="K71" s="10">
        <f t="shared" si="7"/>
        <v>868000</v>
      </c>
      <c r="L71" s="17">
        <f t="shared" si="8"/>
        <v>0.24087024087024086</v>
      </c>
      <c r="M71" s="17">
        <f t="shared" si="9"/>
        <v>0</v>
      </c>
    </row>
    <row r="72" spans="1:13" x14ac:dyDescent="0.3">
      <c r="A72" s="8" t="s">
        <v>93</v>
      </c>
      <c r="B72" s="9" t="s">
        <v>395</v>
      </c>
      <c r="C72" s="9" t="s">
        <v>14</v>
      </c>
      <c r="D72" s="9" t="s">
        <v>30</v>
      </c>
      <c r="E72" s="9" t="s">
        <v>616</v>
      </c>
      <c r="F72" s="9" t="s">
        <v>617</v>
      </c>
      <c r="G72" s="9" t="s">
        <v>620</v>
      </c>
      <c r="H72" s="10">
        <v>3000000</v>
      </c>
      <c r="I72" s="10">
        <v>1528800</v>
      </c>
      <c r="J72" s="10">
        <v>1000000</v>
      </c>
      <c r="K72" s="10">
        <f t="shared" si="7"/>
        <v>1240000</v>
      </c>
      <c r="L72" s="17">
        <f t="shared" si="8"/>
        <v>0.8110936682365254</v>
      </c>
      <c r="M72" s="17">
        <f t="shared" si="9"/>
        <v>-0.58666666666666667</v>
      </c>
    </row>
    <row r="73" spans="1:13" x14ac:dyDescent="0.3">
      <c r="A73" s="8" t="s">
        <v>155</v>
      </c>
      <c r="B73" s="9" t="s">
        <v>445</v>
      </c>
      <c r="C73" s="9" t="s">
        <v>14</v>
      </c>
      <c r="D73" s="9" t="s">
        <v>24</v>
      </c>
      <c r="E73" s="9" t="s">
        <v>616</v>
      </c>
      <c r="F73" s="9" t="s">
        <v>624</v>
      </c>
      <c r="G73" s="9" t="s">
        <v>619</v>
      </c>
      <c r="H73" s="10">
        <v>0</v>
      </c>
      <c r="I73" s="10">
        <v>1419600</v>
      </c>
      <c r="J73" s="10">
        <v>0</v>
      </c>
      <c r="K73" s="10">
        <f t="shared" si="7"/>
        <v>0</v>
      </c>
      <c r="L73" s="17">
        <f t="shared" si="8"/>
        <v>0</v>
      </c>
      <c r="M73" s="17">
        <f t="shared" si="9"/>
        <v>0</v>
      </c>
    </row>
    <row r="74" spans="1:13" x14ac:dyDescent="0.3">
      <c r="A74" s="8" t="s">
        <v>91</v>
      </c>
      <c r="B74" s="9" t="s">
        <v>393</v>
      </c>
      <c r="C74" s="9" t="s">
        <v>14</v>
      </c>
      <c r="D74" s="9" t="s">
        <v>28</v>
      </c>
      <c r="E74" s="9" t="s">
        <v>616</v>
      </c>
      <c r="F74" s="9" t="s">
        <v>617</v>
      </c>
      <c r="G74" s="9" t="s">
        <v>620</v>
      </c>
      <c r="H74" s="10">
        <v>0</v>
      </c>
      <c r="I74" s="10">
        <v>1911000</v>
      </c>
      <c r="J74" s="10">
        <v>550000</v>
      </c>
      <c r="K74" s="10">
        <f t="shared" si="7"/>
        <v>682000</v>
      </c>
      <c r="L74" s="17">
        <f t="shared" si="8"/>
        <v>0.35688121402407119</v>
      </c>
      <c r="M74" s="17">
        <f t="shared" si="9"/>
        <v>0</v>
      </c>
    </row>
    <row r="75" spans="1:13" x14ac:dyDescent="0.3">
      <c r="A75" s="8" t="s">
        <v>64</v>
      </c>
      <c r="B75" s="9" t="s">
        <v>366</v>
      </c>
      <c r="C75" s="9" t="s">
        <v>14</v>
      </c>
      <c r="D75" s="9" t="s">
        <v>32</v>
      </c>
      <c r="E75" s="9" t="s">
        <v>616</v>
      </c>
      <c r="F75" s="9" t="s">
        <v>617</v>
      </c>
      <c r="G75" s="9" t="s">
        <v>619</v>
      </c>
      <c r="H75" s="10">
        <v>423604</v>
      </c>
      <c r="I75" s="10">
        <v>2620800</v>
      </c>
      <c r="J75" s="10">
        <v>211802</v>
      </c>
      <c r="K75" s="10">
        <f t="shared" si="7"/>
        <v>262634.48</v>
      </c>
      <c r="L75" s="17">
        <f t="shared" si="8"/>
        <v>0.10021156898656898</v>
      </c>
      <c r="M75" s="17">
        <f t="shared" si="9"/>
        <v>-0.38000000000000006</v>
      </c>
    </row>
    <row r="76" spans="1:13" x14ac:dyDescent="0.3">
      <c r="A76" s="8" t="s">
        <v>156</v>
      </c>
      <c r="B76" s="9" t="s">
        <v>446</v>
      </c>
      <c r="C76" s="9" t="s">
        <v>14</v>
      </c>
      <c r="D76" s="9" t="s">
        <v>28</v>
      </c>
      <c r="E76" s="9" t="s">
        <v>616</v>
      </c>
      <c r="F76" s="9" t="s">
        <v>624</v>
      </c>
      <c r="G76" s="9" t="s">
        <v>620</v>
      </c>
      <c r="H76" s="10">
        <v>0</v>
      </c>
      <c r="I76" s="10">
        <v>3330600</v>
      </c>
      <c r="J76" s="10">
        <v>0</v>
      </c>
      <c r="K76" s="10">
        <f t="shared" si="7"/>
        <v>0</v>
      </c>
      <c r="L76" s="17">
        <f t="shared" si="8"/>
        <v>0</v>
      </c>
      <c r="M76" s="17">
        <f t="shared" si="9"/>
        <v>0</v>
      </c>
    </row>
    <row r="77" spans="1:13" x14ac:dyDescent="0.3">
      <c r="A77" s="8" t="s">
        <v>75</v>
      </c>
      <c r="B77" s="9" t="s">
        <v>377</v>
      </c>
      <c r="C77" s="9" t="s">
        <v>16</v>
      </c>
      <c r="D77" s="9" t="s">
        <v>42</v>
      </c>
      <c r="E77" s="9" t="s">
        <v>616</v>
      </c>
      <c r="F77" s="9" t="s">
        <v>617</v>
      </c>
      <c r="G77" s="9" t="s">
        <v>618</v>
      </c>
      <c r="H77" s="10">
        <v>0</v>
      </c>
      <c r="I77" s="10">
        <v>1419600</v>
      </c>
      <c r="J77" s="10">
        <v>0</v>
      </c>
      <c r="K77" s="10">
        <f t="shared" si="7"/>
        <v>0</v>
      </c>
      <c r="L77" s="17">
        <f t="shared" si="8"/>
        <v>0</v>
      </c>
      <c r="M77" s="17">
        <f t="shared" si="9"/>
        <v>0</v>
      </c>
    </row>
    <row r="78" spans="1:13" x14ac:dyDescent="0.3">
      <c r="A78" s="8" t="s">
        <v>97</v>
      </c>
      <c r="B78" s="9" t="s">
        <v>399</v>
      </c>
      <c r="C78" s="9" t="s">
        <v>16</v>
      </c>
      <c r="D78" s="9" t="s">
        <v>44</v>
      </c>
      <c r="E78" s="9" t="s">
        <v>616</v>
      </c>
      <c r="F78" s="9" t="s">
        <v>617</v>
      </c>
      <c r="G78" s="9" t="s">
        <v>622</v>
      </c>
      <c r="H78" s="10">
        <v>611802</v>
      </c>
      <c r="I78" s="10">
        <v>3985800</v>
      </c>
      <c r="J78" s="10">
        <v>0</v>
      </c>
      <c r="K78" s="10">
        <f t="shared" si="7"/>
        <v>0</v>
      </c>
      <c r="L78" s="17">
        <f t="shared" si="8"/>
        <v>0</v>
      </c>
      <c r="M78" s="17">
        <f t="shared" si="9"/>
        <v>-1</v>
      </c>
    </row>
    <row r="79" spans="1:13" x14ac:dyDescent="0.3">
      <c r="A79" s="8" t="s">
        <v>111</v>
      </c>
      <c r="B79" s="9" t="s">
        <v>413</v>
      </c>
      <c r="C79" s="9" t="s">
        <v>16</v>
      </c>
      <c r="D79" s="9" t="s">
        <v>34</v>
      </c>
      <c r="E79" s="9" t="s">
        <v>616</v>
      </c>
      <c r="F79" s="9" t="s">
        <v>617</v>
      </c>
      <c r="G79" s="9" t="s">
        <v>621</v>
      </c>
      <c r="H79" s="10">
        <v>0</v>
      </c>
      <c r="I79" s="10">
        <v>1583400</v>
      </c>
      <c r="J79" s="10">
        <v>382883</v>
      </c>
      <c r="K79" s="10">
        <f t="shared" si="7"/>
        <v>474774.92</v>
      </c>
      <c r="L79" s="17">
        <f t="shared" si="8"/>
        <v>0.29984521914866741</v>
      </c>
      <c r="M79" s="17">
        <f t="shared" si="9"/>
        <v>0</v>
      </c>
    </row>
    <row r="80" spans="1:13" x14ac:dyDescent="0.3">
      <c r="A80" s="8" t="s">
        <v>101</v>
      </c>
      <c r="B80" s="9" t="s">
        <v>403</v>
      </c>
      <c r="C80" s="9" t="s">
        <v>16</v>
      </c>
      <c r="D80" s="9" t="s">
        <v>42</v>
      </c>
      <c r="E80" s="9" t="s">
        <v>616</v>
      </c>
      <c r="F80" s="9" t="s">
        <v>617</v>
      </c>
      <c r="G80" s="9" t="s">
        <v>618</v>
      </c>
      <c r="H80" s="10">
        <v>0</v>
      </c>
      <c r="I80" s="10">
        <v>2238600</v>
      </c>
      <c r="J80" s="10">
        <v>0</v>
      </c>
      <c r="K80" s="10">
        <f t="shared" si="7"/>
        <v>0</v>
      </c>
      <c r="L80" s="17">
        <f t="shared" si="8"/>
        <v>0</v>
      </c>
      <c r="M80" s="17">
        <f t="shared" si="9"/>
        <v>0</v>
      </c>
    </row>
    <row r="81" spans="1:13" x14ac:dyDescent="0.3">
      <c r="A81" s="8" t="s">
        <v>84</v>
      </c>
      <c r="B81" s="9" t="s">
        <v>386</v>
      </c>
      <c r="C81" s="9" t="s">
        <v>16</v>
      </c>
      <c r="D81" s="9" t="s">
        <v>44</v>
      </c>
      <c r="E81" s="9" t="s">
        <v>616</v>
      </c>
      <c r="F81" s="9" t="s">
        <v>617</v>
      </c>
      <c r="G81" s="9" t="s">
        <v>622</v>
      </c>
      <c r="H81" s="10">
        <v>9099</v>
      </c>
      <c r="I81" s="10">
        <v>2948400</v>
      </c>
      <c r="J81" s="10">
        <v>0</v>
      </c>
      <c r="K81" s="10">
        <f t="shared" si="7"/>
        <v>0</v>
      </c>
      <c r="L81" s="17">
        <f t="shared" si="8"/>
        <v>0</v>
      </c>
      <c r="M81" s="17">
        <f t="shared" si="9"/>
        <v>-1</v>
      </c>
    </row>
    <row r="82" spans="1:13" x14ac:dyDescent="0.3">
      <c r="A82" s="8" t="s">
        <v>104</v>
      </c>
      <c r="B82" s="9" t="s">
        <v>406</v>
      </c>
      <c r="C82" s="9" t="s">
        <v>16</v>
      </c>
      <c r="D82" s="9" t="s">
        <v>36</v>
      </c>
      <c r="E82" s="9" t="s">
        <v>616</v>
      </c>
      <c r="F82" s="9" t="s">
        <v>617</v>
      </c>
      <c r="G82" s="9" t="s">
        <v>622</v>
      </c>
      <c r="H82" s="10">
        <v>0</v>
      </c>
      <c r="I82" s="10">
        <v>1965600</v>
      </c>
      <c r="J82" s="10">
        <v>1000000</v>
      </c>
      <c r="K82" s="10">
        <f t="shared" si="7"/>
        <v>1240000</v>
      </c>
      <c r="L82" s="17">
        <f t="shared" si="8"/>
        <v>0.63085063085063087</v>
      </c>
      <c r="M82" s="17">
        <f t="shared" si="9"/>
        <v>0</v>
      </c>
    </row>
    <row r="83" spans="1:13" x14ac:dyDescent="0.3">
      <c r="A83" s="8" t="s">
        <v>157</v>
      </c>
      <c r="B83" s="9" t="s">
        <v>447</v>
      </c>
      <c r="C83" s="9" t="s">
        <v>16</v>
      </c>
      <c r="D83" s="9" t="s">
        <v>42</v>
      </c>
      <c r="E83" s="9" t="s">
        <v>616</v>
      </c>
      <c r="F83" s="9" t="s">
        <v>624</v>
      </c>
      <c r="G83" s="9" t="s">
        <v>618</v>
      </c>
      <c r="H83" s="10">
        <v>0</v>
      </c>
      <c r="I83" s="10">
        <v>1419600</v>
      </c>
      <c r="J83" s="10">
        <v>0</v>
      </c>
      <c r="K83" s="10">
        <f t="shared" si="7"/>
        <v>0</v>
      </c>
      <c r="L83" s="17">
        <f t="shared" si="8"/>
        <v>0</v>
      </c>
      <c r="M83" s="17">
        <f t="shared" si="9"/>
        <v>0</v>
      </c>
    </row>
    <row r="84" spans="1:13" x14ac:dyDescent="0.3">
      <c r="A84" s="8" t="s">
        <v>72</v>
      </c>
      <c r="B84" s="9" t="s">
        <v>374</v>
      </c>
      <c r="C84" s="9" t="s">
        <v>14</v>
      </c>
      <c r="D84" s="9" t="s">
        <v>30</v>
      </c>
      <c r="E84" s="9" t="s">
        <v>616</v>
      </c>
      <c r="F84" s="9" t="s">
        <v>617</v>
      </c>
      <c r="G84" s="9" t="s">
        <v>620</v>
      </c>
      <c r="H84" s="10">
        <v>1000000</v>
      </c>
      <c r="I84" s="10">
        <v>6497400</v>
      </c>
      <c r="J84" s="10">
        <v>1000000</v>
      </c>
      <c r="K84" s="10">
        <f t="shared" si="7"/>
        <v>1240000</v>
      </c>
      <c r="L84" s="17">
        <f t="shared" si="8"/>
        <v>0.1908455689968295</v>
      </c>
      <c r="M84" s="17">
        <f t="shared" si="9"/>
        <v>0.24</v>
      </c>
    </row>
    <row r="85" spans="1:13" x14ac:dyDescent="0.3">
      <c r="A85" s="8" t="s">
        <v>106</v>
      </c>
      <c r="B85" s="9" t="s">
        <v>408</v>
      </c>
      <c r="C85" s="9" t="s">
        <v>16</v>
      </c>
      <c r="D85" s="9" t="s">
        <v>34</v>
      </c>
      <c r="E85" s="9" t="s">
        <v>616</v>
      </c>
      <c r="F85" s="9" t="s">
        <v>617</v>
      </c>
      <c r="G85" s="9" t="s">
        <v>621</v>
      </c>
      <c r="H85" s="10">
        <v>300000</v>
      </c>
      <c r="I85" s="10">
        <v>1419600</v>
      </c>
      <c r="J85" s="10">
        <v>761802</v>
      </c>
      <c r="K85" s="10">
        <f t="shared" si="7"/>
        <v>944634.4800000001</v>
      </c>
      <c r="L85" s="17">
        <f t="shared" si="8"/>
        <v>0.66542299239222324</v>
      </c>
      <c r="M85" s="17">
        <f t="shared" si="9"/>
        <v>2.1487816000000004</v>
      </c>
    </row>
    <row r="86" spans="1:13" x14ac:dyDescent="0.3">
      <c r="A86" s="8" t="s">
        <v>78</v>
      </c>
      <c r="B86" s="9" t="s">
        <v>380</v>
      </c>
      <c r="C86" s="9" t="s">
        <v>16</v>
      </c>
      <c r="D86" s="9" t="s">
        <v>38</v>
      </c>
      <c r="E86" s="9" t="s">
        <v>616</v>
      </c>
      <c r="F86" s="9" t="s">
        <v>617</v>
      </c>
      <c r="G86" s="9" t="s">
        <v>621</v>
      </c>
      <c r="H86" s="10">
        <v>300000</v>
      </c>
      <c r="I86" s="10">
        <v>4968600</v>
      </c>
      <c r="J86" s="10">
        <v>300000</v>
      </c>
      <c r="K86" s="10">
        <f t="shared" si="7"/>
        <v>372000</v>
      </c>
      <c r="L86" s="17">
        <f t="shared" si="8"/>
        <v>7.4870184760294653E-2</v>
      </c>
      <c r="M86" s="17">
        <f t="shared" si="9"/>
        <v>0.24</v>
      </c>
    </row>
    <row r="87" spans="1:13" x14ac:dyDescent="0.3">
      <c r="A87" s="8" t="s">
        <v>85</v>
      </c>
      <c r="B87" s="9" t="s">
        <v>387</v>
      </c>
      <c r="C87" s="9" t="s">
        <v>16</v>
      </c>
      <c r="D87" s="9" t="s">
        <v>34</v>
      </c>
      <c r="E87" s="9" t="s">
        <v>616</v>
      </c>
      <c r="F87" s="9" t="s">
        <v>617</v>
      </c>
      <c r="G87" s="9" t="s">
        <v>621</v>
      </c>
      <c r="H87" s="10">
        <v>300000</v>
      </c>
      <c r="I87" s="10">
        <v>3658200</v>
      </c>
      <c r="J87" s="10">
        <v>0</v>
      </c>
      <c r="K87" s="10">
        <f t="shared" si="7"/>
        <v>0</v>
      </c>
      <c r="L87" s="17">
        <f t="shared" si="8"/>
        <v>0</v>
      </c>
      <c r="M87" s="17">
        <f t="shared" si="9"/>
        <v>-1</v>
      </c>
    </row>
    <row r="88" spans="1:13" x14ac:dyDescent="0.3">
      <c r="A88" s="8" t="s">
        <v>90</v>
      </c>
      <c r="B88" s="9" t="s">
        <v>392</v>
      </c>
      <c r="C88" s="9" t="s">
        <v>16</v>
      </c>
      <c r="D88" s="9" t="s">
        <v>34</v>
      </c>
      <c r="E88" s="9" t="s">
        <v>616</v>
      </c>
      <c r="F88" s="9" t="s">
        <v>617</v>
      </c>
      <c r="G88" s="9" t="s">
        <v>621</v>
      </c>
      <c r="H88" s="10">
        <v>550000</v>
      </c>
      <c r="I88" s="10">
        <v>1419600</v>
      </c>
      <c r="J88" s="10">
        <v>220901</v>
      </c>
      <c r="K88" s="10">
        <f t="shared" si="7"/>
        <v>273917.24000000005</v>
      </c>
      <c r="L88" s="17">
        <f t="shared" si="8"/>
        <v>0.19295381797689493</v>
      </c>
      <c r="M88" s="17">
        <f t="shared" si="9"/>
        <v>-0.50196865454545447</v>
      </c>
    </row>
    <row r="89" spans="1:13" x14ac:dyDescent="0.3">
      <c r="A89" s="8" t="s">
        <v>95</v>
      </c>
      <c r="B89" s="9" t="s">
        <v>397</v>
      </c>
      <c r="C89" s="9" t="s">
        <v>16</v>
      </c>
      <c r="D89" s="9" t="s">
        <v>38</v>
      </c>
      <c r="E89" s="9" t="s">
        <v>616</v>
      </c>
      <c r="F89" s="9" t="s">
        <v>617</v>
      </c>
      <c r="G89" s="9" t="s">
        <v>621</v>
      </c>
      <c r="H89" s="10">
        <v>1200000</v>
      </c>
      <c r="I89" s="10">
        <v>8299200</v>
      </c>
      <c r="J89" s="10">
        <v>0</v>
      </c>
      <c r="K89" s="10">
        <f t="shared" si="7"/>
        <v>0</v>
      </c>
      <c r="L89" s="17">
        <f t="shared" si="8"/>
        <v>0</v>
      </c>
      <c r="M89" s="17">
        <f t="shared" si="9"/>
        <v>-1</v>
      </c>
    </row>
    <row r="90" spans="1:13" x14ac:dyDescent="0.3">
      <c r="A90" s="8" t="s">
        <v>158</v>
      </c>
      <c r="B90" s="9" t="s">
        <v>448</v>
      </c>
      <c r="C90" s="9" t="s">
        <v>16</v>
      </c>
      <c r="D90" s="9" t="s">
        <v>40</v>
      </c>
      <c r="E90" s="9" t="s">
        <v>616</v>
      </c>
      <c r="F90" s="9" t="s">
        <v>617</v>
      </c>
      <c r="G90" s="9" t="s">
        <v>623</v>
      </c>
      <c r="H90" s="10">
        <v>2750000</v>
      </c>
      <c r="I90" s="10">
        <v>2524704</v>
      </c>
      <c r="J90" s="10">
        <v>2200000</v>
      </c>
      <c r="K90" s="10">
        <f t="shared" si="7"/>
        <v>2728000</v>
      </c>
      <c r="L90" s="17">
        <f t="shared" si="8"/>
        <v>1.0805227068202847</v>
      </c>
      <c r="M90" s="17">
        <f t="shared" si="9"/>
        <v>-8.0000000000000002E-3</v>
      </c>
    </row>
    <row r="91" spans="1:13" x14ac:dyDescent="0.3">
      <c r="A91" s="8" t="s">
        <v>159</v>
      </c>
      <c r="B91" s="9" t="s">
        <v>449</v>
      </c>
      <c r="C91" s="9" t="s">
        <v>16</v>
      </c>
      <c r="D91" s="9" t="s">
        <v>40</v>
      </c>
      <c r="E91" s="9" t="s">
        <v>616</v>
      </c>
      <c r="F91" s="9" t="s">
        <v>617</v>
      </c>
      <c r="G91" s="9" t="s">
        <v>623</v>
      </c>
      <c r="H91" s="10">
        <v>2100000</v>
      </c>
      <c r="I91" s="10">
        <v>2374008</v>
      </c>
      <c r="J91" s="10">
        <v>850000</v>
      </c>
      <c r="K91" s="10">
        <f t="shared" si="7"/>
        <v>1054000</v>
      </c>
      <c r="L91" s="17">
        <f t="shared" si="8"/>
        <v>0.44397491499607417</v>
      </c>
      <c r="M91" s="17">
        <f t="shared" si="9"/>
        <v>-0.49809523809523809</v>
      </c>
    </row>
    <row r="92" spans="1:13" x14ac:dyDescent="0.3">
      <c r="A92" s="8" t="s">
        <v>160</v>
      </c>
      <c r="B92" s="9" t="s">
        <v>450</v>
      </c>
      <c r="C92" s="9" t="s">
        <v>16</v>
      </c>
      <c r="D92" s="9" t="s">
        <v>40</v>
      </c>
      <c r="E92" s="9" t="s">
        <v>616</v>
      </c>
      <c r="F92" s="9" t="s">
        <v>617</v>
      </c>
      <c r="G92" s="9" t="s">
        <v>623</v>
      </c>
      <c r="H92" s="10">
        <v>1735406</v>
      </c>
      <c r="I92" s="10">
        <v>1747200</v>
      </c>
      <c r="J92" s="10">
        <v>1861802</v>
      </c>
      <c r="K92" s="10">
        <f t="shared" si="7"/>
        <v>2308634.48</v>
      </c>
      <c r="L92" s="17">
        <f t="shared" si="8"/>
        <v>1.321333836996337</v>
      </c>
      <c r="M92" s="17">
        <f t="shared" si="9"/>
        <v>0.33031375943151053</v>
      </c>
    </row>
    <row r="93" spans="1:13" x14ac:dyDescent="0.3">
      <c r="A93" s="8" t="s">
        <v>161</v>
      </c>
      <c r="B93" s="9" t="s">
        <v>451</v>
      </c>
      <c r="C93" s="9" t="s">
        <v>16</v>
      </c>
      <c r="D93" s="9" t="s">
        <v>36</v>
      </c>
      <c r="E93" s="9" t="s">
        <v>616</v>
      </c>
      <c r="F93" s="9" t="s">
        <v>617</v>
      </c>
      <c r="G93" s="9" t="s">
        <v>622</v>
      </c>
      <c r="H93" s="10">
        <v>1000000</v>
      </c>
      <c r="I93" s="10">
        <v>1419600</v>
      </c>
      <c r="J93" s="10">
        <v>0</v>
      </c>
      <c r="K93" s="10">
        <f t="shared" si="7"/>
        <v>0</v>
      </c>
      <c r="L93" s="17">
        <f t="shared" si="8"/>
        <v>0</v>
      </c>
      <c r="M93" s="17">
        <f t="shared" si="9"/>
        <v>-1</v>
      </c>
    </row>
    <row r="94" spans="1:13" x14ac:dyDescent="0.3">
      <c r="A94" s="8" t="s">
        <v>107</v>
      </c>
      <c r="B94" s="9" t="s">
        <v>409</v>
      </c>
      <c r="C94" s="9" t="s">
        <v>16</v>
      </c>
      <c r="D94" s="9" t="s">
        <v>34</v>
      </c>
      <c r="E94" s="9" t="s">
        <v>616</v>
      </c>
      <c r="F94" s="9" t="s">
        <v>617</v>
      </c>
      <c r="G94" s="9" t="s">
        <v>621</v>
      </c>
      <c r="H94" s="10">
        <v>400000</v>
      </c>
      <c r="I94" s="10">
        <v>1583400</v>
      </c>
      <c r="J94" s="10">
        <v>0</v>
      </c>
      <c r="K94" s="10">
        <f t="shared" si="7"/>
        <v>0</v>
      </c>
      <c r="L94" s="17">
        <f t="shared" si="8"/>
        <v>0</v>
      </c>
      <c r="M94" s="17">
        <f t="shared" si="9"/>
        <v>-1</v>
      </c>
    </row>
    <row r="95" spans="1:13" x14ac:dyDescent="0.3">
      <c r="A95" s="8" t="s">
        <v>114</v>
      </c>
      <c r="B95" s="9" t="s">
        <v>416</v>
      </c>
      <c r="C95" s="9" t="s">
        <v>16</v>
      </c>
      <c r="D95" s="9" t="s">
        <v>38</v>
      </c>
      <c r="E95" s="9" t="s">
        <v>616</v>
      </c>
      <c r="F95" s="9" t="s">
        <v>617</v>
      </c>
      <c r="G95" s="9" t="s">
        <v>621</v>
      </c>
      <c r="H95" s="10">
        <v>202703</v>
      </c>
      <c r="I95" s="10">
        <v>1419600</v>
      </c>
      <c r="J95" s="10">
        <v>27297</v>
      </c>
      <c r="K95" s="10">
        <f t="shared" si="7"/>
        <v>33848.280000000006</v>
      </c>
      <c r="L95" s="17">
        <f t="shared" si="8"/>
        <v>2.3843533389687241E-2</v>
      </c>
      <c r="M95" s="17">
        <f t="shared" si="9"/>
        <v>-0.83301539691075122</v>
      </c>
    </row>
    <row r="96" spans="1:13" x14ac:dyDescent="0.3">
      <c r="A96" s="8" t="s">
        <v>109</v>
      </c>
      <c r="B96" s="9" t="s">
        <v>411</v>
      </c>
      <c r="C96" s="9" t="s">
        <v>16</v>
      </c>
      <c r="D96" s="9" t="s">
        <v>38</v>
      </c>
      <c r="E96" s="9" t="s">
        <v>616</v>
      </c>
      <c r="F96" s="9" t="s">
        <v>617</v>
      </c>
      <c r="G96" s="9" t="s">
        <v>621</v>
      </c>
      <c r="H96" s="10">
        <v>0</v>
      </c>
      <c r="I96" s="10">
        <v>1419600</v>
      </c>
      <c r="J96" s="10">
        <v>0</v>
      </c>
      <c r="K96" s="10">
        <f t="shared" si="7"/>
        <v>0</v>
      </c>
      <c r="L96" s="17">
        <f t="shared" si="8"/>
        <v>0</v>
      </c>
      <c r="M96" s="17">
        <f t="shared" si="9"/>
        <v>0</v>
      </c>
    </row>
    <row r="97" spans="1:13" x14ac:dyDescent="0.3">
      <c r="A97" s="8" t="s">
        <v>87</v>
      </c>
      <c r="B97" s="9" t="s">
        <v>389</v>
      </c>
      <c r="C97" s="9" t="s">
        <v>14</v>
      </c>
      <c r="D97" s="9" t="s">
        <v>32</v>
      </c>
      <c r="E97" s="9" t="s">
        <v>616</v>
      </c>
      <c r="F97" s="9" t="s">
        <v>617</v>
      </c>
      <c r="G97" s="9" t="s">
        <v>619</v>
      </c>
      <c r="H97" s="10">
        <v>1000000</v>
      </c>
      <c r="I97" s="10">
        <v>1419600</v>
      </c>
      <c r="J97" s="10">
        <v>400000</v>
      </c>
      <c r="K97" s="10">
        <f t="shared" si="7"/>
        <v>496000</v>
      </c>
      <c r="L97" s="17">
        <f t="shared" si="8"/>
        <v>0.34939419554804169</v>
      </c>
      <c r="M97" s="17">
        <f t="shared" si="9"/>
        <v>-0.504</v>
      </c>
    </row>
    <row r="98" spans="1:13" x14ac:dyDescent="0.3">
      <c r="A98" s="8" t="s">
        <v>162</v>
      </c>
      <c r="B98" s="9" t="s">
        <v>452</v>
      </c>
      <c r="C98" s="9" t="s">
        <v>16</v>
      </c>
      <c r="D98" s="9" t="s">
        <v>40</v>
      </c>
      <c r="E98" s="9" t="s">
        <v>616</v>
      </c>
      <c r="F98" s="9" t="s">
        <v>617</v>
      </c>
      <c r="G98" s="9" t="s">
        <v>623</v>
      </c>
      <c r="H98" s="10">
        <v>850000</v>
      </c>
      <c r="I98" s="10">
        <v>1419600</v>
      </c>
      <c r="J98" s="10">
        <v>1661802</v>
      </c>
      <c r="K98" s="10">
        <f t="shared" si="7"/>
        <v>2060634.48</v>
      </c>
      <c r="L98" s="17">
        <f t="shared" si="8"/>
        <v>1.451559932375317</v>
      </c>
      <c r="M98" s="17">
        <f t="shared" si="9"/>
        <v>1.4242758588235294</v>
      </c>
    </row>
    <row r="99" spans="1:13" x14ac:dyDescent="0.3">
      <c r="A99" s="8" t="s">
        <v>66</v>
      </c>
      <c r="B99" s="9" t="s">
        <v>368</v>
      </c>
      <c r="C99" s="9" t="s">
        <v>14</v>
      </c>
      <c r="D99" s="9" t="s">
        <v>28</v>
      </c>
      <c r="E99" s="9" t="s">
        <v>616</v>
      </c>
      <c r="F99" s="9" t="s">
        <v>617</v>
      </c>
      <c r="G99" s="9" t="s">
        <v>620</v>
      </c>
      <c r="H99" s="10">
        <v>0</v>
      </c>
      <c r="I99" s="10">
        <v>1528800</v>
      </c>
      <c r="J99" s="10">
        <v>550000</v>
      </c>
      <c r="K99" s="10">
        <f t="shared" si="7"/>
        <v>682000</v>
      </c>
      <c r="L99" s="17">
        <f t="shared" si="8"/>
        <v>0.44610151753008898</v>
      </c>
      <c r="M99" s="17">
        <f t="shared" si="9"/>
        <v>0</v>
      </c>
    </row>
    <row r="100" spans="1:13" x14ac:dyDescent="0.3">
      <c r="A100" s="8" t="s">
        <v>112</v>
      </c>
      <c r="B100" s="9" t="s">
        <v>414</v>
      </c>
      <c r="C100" s="9" t="s">
        <v>14</v>
      </c>
      <c r="D100" s="9" t="s">
        <v>32</v>
      </c>
      <c r="E100" s="9" t="s">
        <v>616</v>
      </c>
      <c r="F100" s="9" t="s">
        <v>617</v>
      </c>
      <c r="G100" s="9" t="s">
        <v>619</v>
      </c>
      <c r="H100" s="10">
        <v>900000</v>
      </c>
      <c r="I100" s="10">
        <v>1419600</v>
      </c>
      <c r="J100" s="10">
        <v>511802</v>
      </c>
      <c r="K100" s="10">
        <f t="shared" si="7"/>
        <v>634634.4800000001</v>
      </c>
      <c r="L100" s="17">
        <f t="shared" si="8"/>
        <v>0.44705162017469718</v>
      </c>
      <c r="M100" s="17">
        <f t="shared" si="9"/>
        <v>-0.29485057777777768</v>
      </c>
    </row>
    <row r="101" spans="1:13" x14ac:dyDescent="0.3">
      <c r="A101" s="8" t="s">
        <v>33</v>
      </c>
      <c r="B101" s="9" t="s">
        <v>343</v>
      </c>
      <c r="C101" s="9" t="s">
        <v>16</v>
      </c>
      <c r="D101" s="9" t="s">
        <v>36</v>
      </c>
      <c r="E101" s="9" t="s">
        <v>616</v>
      </c>
      <c r="F101" s="9" t="s">
        <v>617</v>
      </c>
      <c r="G101" s="9" t="s">
        <v>622</v>
      </c>
      <c r="H101" s="10">
        <v>0</v>
      </c>
      <c r="I101" s="10">
        <v>1419600</v>
      </c>
      <c r="J101" s="10">
        <v>1000000</v>
      </c>
      <c r="K101" s="10">
        <f t="shared" si="7"/>
        <v>1240000</v>
      </c>
      <c r="L101" s="17">
        <f t="shared" si="8"/>
        <v>0.87348548887010424</v>
      </c>
      <c r="M101" s="17">
        <f t="shared" si="9"/>
        <v>0</v>
      </c>
    </row>
    <row r="102" spans="1:13" x14ac:dyDescent="0.3">
      <c r="A102" s="8" t="s">
        <v>105</v>
      </c>
      <c r="B102" s="9" t="s">
        <v>407</v>
      </c>
      <c r="C102" s="9" t="s">
        <v>14</v>
      </c>
      <c r="D102" s="9" t="s">
        <v>32</v>
      </c>
      <c r="E102" s="9" t="s">
        <v>616</v>
      </c>
      <c r="F102" s="9" t="s">
        <v>617</v>
      </c>
      <c r="G102" s="9" t="s">
        <v>619</v>
      </c>
      <c r="H102" s="10">
        <v>0</v>
      </c>
      <c r="I102" s="10">
        <v>6006000</v>
      </c>
      <c r="J102" s="10">
        <v>550000</v>
      </c>
      <c r="K102" s="10">
        <f t="shared" si="7"/>
        <v>682000</v>
      </c>
      <c r="L102" s="17">
        <f t="shared" si="8"/>
        <v>0.11355311355311355</v>
      </c>
      <c r="M102" s="17">
        <f t="shared" si="9"/>
        <v>0</v>
      </c>
    </row>
    <row r="103" spans="1:13" x14ac:dyDescent="0.3">
      <c r="A103" s="8" t="s">
        <v>94</v>
      </c>
      <c r="B103" s="9" t="s">
        <v>396</v>
      </c>
      <c r="C103" s="9" t="s">
        <v>14</v>
      </c>
      <c r="D103" s="9" t="s">
        <v>32</v>
      </c>
      <c r="E103" s="9" t="s">
        <v>616</v>
      </c>
      <c r="F103" s="9" t="s">
        <v>617</v>
      </c>
      <c r="G103" s="9" t="s">
        <v>619</v>
      </c>
      <c r="H103" s="10">
        <v>0</v>
      </c>
      <c r="I103" s="10">
        <v>3767400</v>
      </c>
      <c r="J103" s="10">
        <v>300000</v>
      </c>
      <c r="K103" s="10">
        <f t="shared" si="7"/>
        <v>372000</v>
      </c>
      <c r="L103" s="17">
        <f t="shared" si="8"/>
        <v>9.8741837872272656E-2</v>
      </c>
      <c r="M103" s="17">
        <f t="shared" si="9"/>
        <v>0</v>
      </c>
    </row>
    <row r="104" spans="1:13" x14ac:dyDescent="0.3">
      <c r="A104" s="8" t="s">
        <v>103</v>
      </c>
      <c r="B104" s="9" t="s">
        <v>405</v>
      </c>
      <c r="C104" s="9" t="s">
        <v>14</v>
      </c>
      <c r="D104" s="9" t="s">
        <v>26</v>
      </c>
      <c r="E104" s="9" t="s">
        <v>616</v>
      </c>
      <c r="F104" s="9" t="s">
        <v>617</v>
      </c>
      <c r="G104" s="9" t="s">
        <v>619</v>
      </c>
      <c r="H104" s="10">
        <v>450000</v>
      </c>
      <c r="I104" s="10">
        <v>1801800</v>
      </c>
      <c r="J104" s="10">
        <v>2000000</v>
      </c>
      <c r="K104" s="10">
        <f t="shared" si="7"/>
        <v>2480000</v>
      </c>
      <c r="L104" s="17">
        <f t="shared" si="8"/>
        <v>1.3764013764013765</v>
      </c>
      <c r="M104" s="17">
        <f t="shared" si="9"/>
        <v>4.5111111111111111</v>
      </c>
    </row>
    <row r="105" spans="1:13" x14ac:dyDescent="0.3">
      <c r="A105" s="8" t="s">
        <v>108</v>
      </c>
      <c r="B105" s="9" t="s">
        <v>410</v>
      </c>
      <c r="C105" s="9" t="s">
        <v>14</v>
      </c>
      <c r="D105" s="9" t="s">
        <v>24</v>
      </c>
      <c r="E105" s="9" t="s">
        <v>616</v>
      </c>
      <c r="F105" s="9" t="s">
        <v>617</v>
      </c>
      <c r="G105" s="9" t="s">
        <v>619</v>
      </c>
      <c r="H105" s="10">
        <v>1200000</v>
      </c>
      <c r="I105" s="10">
        <v>1419600</v>
      </c>
      <c r="J105" s="10">
        <v>400000</v>
      </c>
      <c r="K105" s="10">
        <f t="shared" si="7"/>
        <v>496000</v>
      </c>
      <c r="L105" s="17">
        <f t="shared" si="8"/>
        <v>0.34939419554804169</v>
      </c>
      <c r="M105" s="17">
        <f t="shared" si="9"/>
        <v>-0.58666666666666667</v>
      </c>
    </row>
    <row r="106" spans="1:13" x14ac:dyDescent="0.3">
      <c r="A106" s="8" t="s">
        <v>113</v>
      </c>
      <c r="B106" s="9" t="s">
        <v>415</v>
      </c>
      <c r="C106" s="9" t="s">
        <v>14</v>
      </c>
      <c r="D106" s="9" t="s">
        <v>24</v>
      </c>
      <c r="E106" s="9" t="s">
        <v>616</v>
      </c>
      <c r="F106" s="9" t="s">
        <v>617</v>
      </c>
      <c r="G106" s="9" t="s">
        <v>619</v>
      </c>
      <c r="H106" s="10">
        <v>0</v>
      </c>
      <c r="I106" s="10">
        <v>1419600</v>
      </c>
      <c r="J106" s="10">
        <v>550000</v>
      </c>
      <c r="K106" s="10">
        <f t="shared" si="7"/>
        <v>682000</v>
      </c>
      <c r="L106" s="17">
        <f t="shared" si="8"/>
        <v>0.48041701887855737</v>
      </c>
      <c r="M106" s="17">
        <f t="shared" si="9"/>
        <v>0</v>
      </c>
    </row>
    <row r="107" spans="1:13" x14ac:dyDescent="0.3">
      <c r="A107" s="8" t="s">
        <v>163</v>
      </c>
      <c r="B107" s="9" t="s">
        <v>453</v>
      </c>
      <c r="C107" s="9" t="s">
        <v>14</v>
      </c>
      <c r="D107" s="9" t="s">
        <v>26</v>
      </c>
      <c r="E107" s="9" t="s">
        <v>616</v>
      </c>
      <c r="F107" s="9" t="s">
        <v>617</v>
      </c>
      <c r="G107" s="9" t="s">
        <v>619</v>
      </c>
      <c r="H107" s="10">
        <v>0</v>
      </c>
      <c r="I107" s="10">
        <v>4258800</v>
      </c>
      <c r="J107" s="10">
        <v>0</v>
      </c>
      <c r="K107" s="10">
        <f t="shared" si="7"/>
        <v>0</v>
      </c>
      <c r="L107" s="17">
        <f t="shared" si="8"/>
        <v>0</v>
      </c>
      <c r="M107" s="17">
        <f t="shared" si="9"/>
        <v>0</v>
      </c>
    </row>
    <row r="108" spans="1:13" x14ac:dyDescent="0.3">
      <c r="A108" s="8" t="s">
        <v>98</v>
      </c>
      <c r="B108" s="9" t="s">
        <v>400</v>
      </c>
      <c r="C108" s="9" t="s">
        <v>16</v>
      </c>
      <c r="D108" s="9" t="s">
        <v>22</v>
      </c>
      <c r="E108" s="9" t="s">
        <v>616</v>
      </c>
      <c r="F108" s="9" t="s">
        <v>617</v>
      </c>
      <c r="G108" s="9" t="s">
        <v>618</v>
      </c>
      <c r="H108" s="10">
        <v>0</v>
      </c>
      <c r="I108" s="10">
        <v>1419600</v>
      </c>
      <c r="J108" s="10">
        <v>550000</v>
      </c>
      <c r="K108" s="10">
        <f t="shared" si="7"/>
        <v>682000</v>
      </c>
      <c r="L108" s="17">
        <f t="shared" si="8"/>
        <v>0.48041701887855737</v>
      </c>
      <c r="M108" s="17">
        <f t="shared" si="9"/>
        <v>0</v>
      </c>
    </row>
    <row r="109" spans="1:13" x14ac:dyDescent="0.3">
      <c r="A109" s="8" t="s">
        <v>86</v>
      </c>
      <c r="B109" s="9" t="s">
        <v>388</v>
      </c>
      <c r="C109" s="9" t="s">
        <v>16</v>
      </c>
      <c r="D109" s="9" t="s">
        <v>36</v>
      </c>
      <c r="E109" s="9" t="s">
        <v>616</v>
      </c>
      <c r="F109" s="9" t="s">
        <v>617</v>
      </c>
      <c r="G109" s="9" t="s">
        <v>622</v>
      </c>
      <c r="H109" s="10">
        <v>1000000</v>
      </c>
      <c r="I109" s="10">
        <v>10402392</v>
      </c>
      <c r="J109" s="10">
        <v>0</v>
      </c>
      <c r="K109" s="10">
        <f t="shared" si="7"/>
        <v>0</v>
      </c>
      <c r="L109" s="17">
        <f t="shared" si="8"/>
        <v>0</v>
      </c>
      <c r="M109" s="17">
        <f t="shared" si="9"/>
        <v>-1</v>
      </c>
    </row>
    <row r="110" spans="1:13" x14ac:dyDescent="0.3">
      <c r="A110" s="8" t="s">
        <v>164</v>
      </c>
      <c r="B110" s="9" t="s">
        <v>454</v>
      </c>
      <c r="C110" s="9" t="s">
        <v>16</v>
      </c>
      <c r="D110" s="9" t="s">
        <v>34</v>
      </c>
      <c r="E110" s="9" t="s">
        <v>616</v>
      </c>
      <c r="F110" s="9" t="s">
        <v>617</v>
      </c>
      <c r="G110" s="9" t="s">
        <v>621</v>
      </c>
      <c r="H110" s="10">
        <v>0</v>
      </c>
      <c r="I110" s="10">
        <v>1965600</v>
      </c>
      <c r="J110" s="10">
        <v>932433</v>
      </c>
      <c r="K110" s="10">
        <f t="shared" si="7"/>
        <v>1156216.92</v>
      </c>
      <c r="L110" s="17">
        <f t="shared" si="8"/>
        <v>0.58822594627594627</v>
      </c>
      <c r="M110" s="17">
        <f t="shared" si="9"/>
        <v>0</v>
      </c>
    </row>
    <row r="111" spans="1:13" x14ac:dyDescent="0.3">
      <c r="A111" s="8" t="s">
        <v>115</v>
      </c>
      <c r="B111" s="9" t="s">
        <v>417</v>
      </c>
      <c r="C111" s="9" t="s">
        <v>16</v>
      </c>
      <c r="D111" s="9" t="s">
        <v>34</v>
      </c>
      <c r="E111" s="9" t="s">
        <v>616</v>
      </c>
      <c r="F111" s="9" t="s">
        <v>617</v>
      </c>
      <c r="G111" s="9" t="s">
        <v>621</v>
      </c>
      <c r="H111" s="10">
        <v>0</v>
      </c>
      <c r="I111" s="10">
        <v>2839200</v>
      </c>
      <c r="J111" s="10">
        <v>0</v>
      </c>
      <c r="K111" s="10">
        <f t="shared" si="7"/>
        <v>0</v>
      </c>
      <c r="L111" s="17">
        <f t="shared" si="8"/>
        <v>0</v>
      </c>
      <c r="M111" s="17">
        <f t="shared" si="9"/>
        <v>0</v>
      </c>
    </row>
    <row r="112" spans="1:13" x14ac:dyDescent="0.3">
      <c r="A112" s="8" t="s">
        <v>165</v>
      </c>
      <c r="B112" s="9" t="s">
        <v>455</v>
      </c>
      <c r="C112" s="9" t="s">
        <v>14</v>
      </c>
      <c r="D112" s="9" t="s">
        <v>28</v>
      </c>
      <c r="E112" s="9" t="s">
        <v>616</v>
      </c>
      <c r="F112" s="9" t="s">
        <v>617</v>
      </c>
      <c r="G112" s="9" t="s">
        <v>620</v>
      </c>
      <c r="H112" s="10">
        <v>0</v>
      </c>
      <c r="I112" s="10">
        <v>12012000</v>
      </c>
      <c r="J112" s="10">
        <v>2000000</v>
      </c>
      <c r="K112" s="10">
        <f t="shared" si="7"/>
        <v>2480000</v>
      </c>
      <c r="L112" s="17">
        <f t="shared" si="8"/>
        <v>0.20646020646020646</v>
      </c>
      <c r="M112" s="17">
        <f t="shared" si="9"/>
        <v>0</v>
      </c>
    </row>
    <row r="113" spans="1:13" x14ac:dyDescent="0.3">
      <c r="A113" s="8" t="s">
        <v>56</v>
      </c>
      <c r="B113" s="9" t="s">
        <v>360</v>
      </c>
      <c r="C113" s="9" t="s">
        <v>16</v>
      </c>
      <c r="D113" s="9" t="s">
        <v>44</v>
      </c>
      <c r="E113" s="9" t="s">
        <v>616</v>
      </c>
      <c r="F113" s="9" t="s">
        <v>617</v>
      </c>
      <c r="G113" s="9" t="s">
        <v>622</v>
      </c>
      <c r="H113" s="10">
        <v>8900000</v>
      </c>
      <c r="I113" s="10">
        <v>22113000</v>
      </c>
      <c r="J113" s="10">
        <v>7400000</v>
      </c>
      <c r="K113" s="10">
        <f t="shared" si="7"/>
        <v>9176000</v>
      </c>
      <c r="L113" s="17">
        <f t="shared" si="8"/>
        <v>0.41495952607063719</v>
      </c>
      <c r="M113" s="17">
        <f t="shared" si="9"/>
        <v>3.1011235955056178E-2</v>
      </c>
    </row>
    <row r="114" spans="1:13" x14ac:dyDescent="0.3">
      <c r="A114" s="8" t="s">
        <v>166</v>
      </c>
      <c r="B114" s="9" t="s">
        <v>456</v>
      </c>
      <c r="C114" s="9" t="s">
        <v>16</v>
      </c>
      <c r="D114" s="9" t="s">
        <v>34</v>
      </c>
      <c r="E114" s="9" t="s">
        <v>616</v>
      </c>
      <c r="F114" s="9" t="s">
        <v>617</v>
      </c>
      <c r="G114" s="9" t="s">
        <v>621</v>
      </c>
      <c r="H114" s="10">
        <v>423604</v>
      </c>
      <c r="I114" s="10">
        <v>1638000</v>
      </c>
      <c r="J114" s="10">
        <v>1491713</v>
      </c>
      <c r="K114" s="10">
        <f t="shared" si="7"/>
        <v>1849724.1199999999</v>
      </c>
      <c r="L114" s="17">
        <f t="shared" si="8"/>
        <v>1.1292577045177044</v>
      </c>
      <c r="M114" s="17">
        <f t="shared" si="9"/>
        <v>3.366635159252509</v>
      </c>
    </row>
    <row r="115" spans="1:13" x14ac:dyDescent="0.3">
      <c r="A115" s="8" t="s">
        <v>39</v>
      </c>
      <c r="B115" s="9" t="s">
        <v>346</v>
      </c>
      <c r="C115" s="9" t="s">
        <v>16</v>
      </c>
      <c r="D115" s="9" t="s">
        <v>38</v>
      </c>
      <c r="E115" s="9" t="s">
        <v>616</v>
      </c>
      <c r="F115" s="9" t="s">
        <v>617</v>
      </c>
      <c r="G115" s="9" t="s">
        <v>621</v>
      </c>
      <c r="H115" s="10">
        <v>12100000</v>
      </c>
      <c r="I115" s="10">
        <v>31722600</v>
      </c>
      <c r="J115" s="10">
        <v>3550000</v>
      </c>
      <c r="K115" s="10">
        <f t="shared" si="7"/>
        <v>4402000</v>
      </c>
      <c r="L115" s="17">
        <f t="shared" si="8"/>
        <v>0.13876542275853807</v>
      </c>
      <c r="M115" s="17">
        <f t="shared" si="9"/>
        <v>-0.63619834710743806</v>
      </c>
    </row>
    <row r="116" spans="1:13" x14ac:dyDescent="0.3">
      <c r="A116" s="8" t="s">
        <v>167</v>
      </c>
      <c r="B116" s="9" t="s">
        <v>457</v>
      </c>
      <c r="C116" s="9" t="s">
        <v>16</v>
      </c>
      <c r="D116" s="9" t="s">
        <v>44</v>
      </c>
      <c r="E116" s="9" t="s">
        <v>616</v>
      </c>
      <c r="F116" s="9" t="s">
        <v>617</v>
      </c>
      <c r="G116" s="9" t="s">
        <v>622</v>
      </c>
      <c r="H116" s="10">
        <v>25200000</v>
      </c>
      <c r="I116" s="10">
        <v>50265852</v>
      </c>
      <c r="J116" s="10">
        <v>29968920</v>
      </c>
      <c r="K116" s="10">
        <f t="shared" si="7"/>
        <v>37161460.800000004</v>
      </c>
      <c r="L116" s="17">
        <f t="shared" si="8"/>
        <v>0.73929833716933724</v>
      </c>
      <c r="M116" s="17">
        <f t="shared" si="9"/>
        <v>0.47466114285714306</v>
      </c>
    </row>
    <row r="117" spans="1:13" x14ac:dyDescent="0.3">
      <c r="A117" s="8" t="s">
        <v>37</v>
      </c>
      <c r="B117" s="9" t="s">
        <v>345</v>
      </c>
      <c r="C117" s="9" t="s">
        <v>16</v>
      </c>
      <c r="D117" s="9" t="s">
        <v>38</v>
      </c>
      <c r="E117" s="9" t="s">
        <v>616</v>
      </c>
      <c r="F117" s="9" t="s">
        <v>617</v>
      </c>
      <c r="G117" s="9" t="s">
        <v>621</v>
      </c>
      <c r="H117" s="10">
        <v>66849099</v>
      </c>
      <c r="I117" s="10">
        <v>80152800</v>
      </c>
      <c r="J117" s="10">
        <v>71991802</v>
      </c>
      <c r="K117" s="10">
        <f t="shared" si="7"/>
        <v>89269834.480000004</v>
      </c>
      <c r="L117" s="17">
        <f t="shared" si="8"/>
        <v>1.1137456767573934</v>
      </c>
      <c r="M117" s="17">
        <f t="shared" si="9"/>
        <v>0.3353932336470235</v>
      </c>
    </row>
    <row r="118" spans="1:13" x14ac:dyDescent="0.3">
      <c r="A118" s="8" t="s">
        <v>13</v>
      </c>
      <c r="B118" s="9" t="s">
        <v>332</v>
      </c>
      <c r="C118" s="9" t="s">
        <v>16</v>
      </c>
      <c r="D118" s="9" t="s">
        <v>22</v>
      </c>
      <c r="E118" s="9" t="s">
        <v>616</v>
      </c>
      <c r="F118" s="9" t="s">
        <v>617</v>
      </c>
      <c r="G118" s="9" t="s">
        <v>618</v>
      </c>
      <c r="H118" s="10">
        <v>700000</v>
      </c>
      <c r="I118" s="10">
        <v>5077800</v>
      </c>
      <c r="J118" s="10">
        <v>3859460</v>
      </c>
      <c r="K118" s="10">
        <f t="shared" si="7"/>
        <v>4785730.3999999994</v>
      </c>
      <c r="L118" s="17">
        <f t="shared" si="8"/>
        <v>0.94248107448107432</v>
      </c>
      <c r="M118" s="17">
        <f t="shared" si="9"/>
        <v>5.8367577142857137</v>
      </c>
    </row>
    <row r="119" spans="1:13" x14ac:dyDescent="0.3">
      <c r="A119" s="8" t="s">
        <v>61</v>
      </c>
      <c r="B119" s="9" t="s">
        <v>364</v>
      </c>
      <c r="C119" s="9" t="s">
        <v>16</v>
      </c>
      <c r="D119" s="9" t="s">
        <v>44</v>
      </c>
      <c r="E119" s="9" t="s">
        <v>616</v>
      </c>
      <c r="F119" s="9" t="s">
        <v>617</v>
      </c>
      <c r="G119" s="9" t="s">
        <v>622</v>
      </c>
      <c r="H119" s="10">
        <v>1000000</v>
      </c>
      <c r="I119" s="10">
        <v>2566200</v>
      </c>
      <c r="J119" s="10">
        <v>550000</v>
      </c>
      <c r="K119" s="10">
        <f t="shared" si="7"/>
        <v>682000</v>
      </c>
      <c r="L119" s="17">
        <f t="shared" si="8"/>
        <v>0.26576260618813813</v>
      </c>
      <c r="M119" s="17">
        <f t="shared" si="9"/>
        <v>-0.318</v>
      </c>
    </row>
    <row r="120" spans="1:13" x14ac:dyDescent="0.3">
      <c r="A120" s="8" t="s">
        <v>29</v>
      </c>
      <c r="B120" s="9" t="s">
        <v>341</v>
      </c>
      <c r="C120" s="9" t="s">
        <v>16</v>
      </c>
      <c r="D120" s="9" t="s">
        <v>34</v>
      </c>
      <c r="E120" s="9" t="s">
        <v>616</v>
      </c>
      <c r="F120" s="9" t="s">
        <v>617</v>
      </c>
      <c r="G120" s="9" t="s">
        <v>621</v>
      </c>
      <c r="H120" s="10">
        <v>900000</v>
      </c>
      <c r="I120" s="10">
        <v>3549000</v>
      </c>
      <c r="J120" s="10">
        <v>0</v>
      </c>
      <c r="K120" s="10">
        <f t="shared" si="7"/>
        <v>0</v>
      </c>
      <c r="L120" s="17">
        <f t="shared" si="8"/>
        <v>0</v>
      </c>
      <c r="M120" s="17">
        <f t="shared" si="9"/>
        <v>-1</v>
      </c>
    </row>
    <row r="121" spans="1:13" x14ac:dyDescent="0.3">
      <c r="A121" s="8" t="s">
        <v>48</v>
      </c>
      <c r="B121" s="9" t="s">
        <v>352</v>
      </c>
      <c r="C121" s="9" t="s">
        <v>16</v>
      </c>
      <c r="D121" s="9" t="s">
        <v>42</v>
      </c>
      <c r="E121" s="9" t="s">
        <v>616</v>
      </c>
      <c r="F121" s="9" t="s">
        <v>617</v>
      </c>
      <c r="G121" s="9" t="s">
        <v>618</v>
      </c>
      <c r="H121" s="10">
        <v>0</v>
      </c>
      <c r="I121" s="10">
        <v>1419600</v>
      </c>
      <c r="J121" s="10">
        <v>635406</v>
      </c>
      <c r="K121" s="10">
        <f t="shared" si="7"/>
        <v>787903.44000000006</v>
      </c>
      <c r="L121" s="17">
        <f t="shared" si="8"/>
        <v>0.55501792054099752</v>
      </c>
      <c r="M121" s="17">
        <f t="shared" si="9"/>
        <v>0</v>
      </c>
    </row>
    <row r="122" spans="1:13" x14ac:dyDescent="0.3">
      <c r="A122" s="8" t="s">
        <v>25</v>
      </c>
      <c r="B122" s="9" t="s">
        <v>339</v>
      </c>
      <c r="C122" s="9" t="s">
        <v>14</v>
      </c>
      <c r="D122" s="9" t="s">
        <v>26</v>
      </c>
      <c r="E122" s="9" t="s">
        <v>616</v>
      </c>
      <c r="F122" s="9" t="s">
        <v>617</v>
      </c>
      <c r="G122" s="9" t="s">
        <v>619</v>
      </c>
      <c r="H122" s="10">
        <v>0</v>
      </c>
      <c r="I122" s="10">
        <v>1419600</v>
      </c>
      <c r="J122" s="10">
        <v>800000</v>
      </c>
      <c r="K122" s="10">
        <f t="shared" si="7"/>
        <v>992000</v>
      </c>
      <c r="L122" s="17">
        <f t="shared" si="8"/>
        <v>0.69878839109608337</v>
      </c>
      <c r="M122" s="17">
        <f t="shared" si="9"/>
        <v>0</v>
      </c>
    </row>
    <row r="123" spans="1:13" x14ac:dyDescent="0.3">
      <c r="A123" s="8" t="s">
        <v>168</v>
      </c>
      <c r="B123" s="9" t="s">
        <v>458</v>
      </c>
      <c r="C123" s="9" t="s">
        <v>14</v>
      </c>
      <c r="D123" s="9" t="s">
        <v>24</v>
      </c>
      <c r="E123" s="9" t="s">
        <v>616</v>
      </c>
      <c r="F123" s="9" t="s">
        <v>617</v>
      </c>
      <c r="G123" s="9" t="s">
        <v>619</v>
      </c>
      <c r="H123" s="10">
        <v>18850000</v>
      </c>
      <c r="I123" s="10">
        <v>52962000</v>
      </c>
      <c r="J123" s="10">
        <v>55668289</v>
      </c>
      <c r="K123" s="10">
        <f t="shared" si="7"/>
        <v>69028678.359999999</v>
      </c>
      <c r="L123" s="17">
        <f t="shared" si="8"/>
        <v>1.3033623798194931</v>
      </c>
      <c r="M123" s="17">
        <f t="shared" si="9"/>
        <v>2.6619988519893898</v>
      </c>
    </row>
    <row r="124" spans="1:13" x14ac:dyDescent="0.3">
      <c r="A124" s="8" t="s">
        <v>63</v>
      </c>
      <c r="B124" s="9" t="s">
        <v>365</v>
      </c>
      <c r="C124" s="9" t="s">
        <v>16</v>
      </c>
      <c r="D124" s="9" t="s">
        <v>22</v>
      </c>
      <c r="E124" s="9" t="s">
        <v>616</v>
      </c>
      <c r="F124" s="9" t="s">
        <v>617</v>
      </c>
      <c r="G124" s="9" t="s">
        <v>618</v>
      </c>
      <c r="H124" s="10">
        <v>550000</v>
      </c>
      <c r="I124" s="10">
        <v>3330600</v>
      </c>
      <c r="J124" s="10">
        <v>511802</v>
      </c>
      <c r="K124" s="10">
        <f t="shared" si="7"/>
        <v>634634.4800000001</v>
      </c>
      <c r="L124" s="17">
        <f t="shared" si="8"/>
        <v>0.19054659220560863</v>
      </c>
      <c r="M124" s="17">
        <f t="shared" si="9"/>
        <v>0.15388087272727291</v>
      </c>
    </row>
    <row r="125" spans="1:13" x14ac:dyDescent="0.3">
      <c r="A125" s="8" t="s">
        <v>71</v>
      </c>
      <c r="B125" s="9" t="s">
        <v>373</v>
      </c>
      <c r="C125" s="9" t="s">
        <v>16</v>
      </c>
      <c r="D125" s="9" t="s">
        <v>44</v>
      </c>
      <c r="E125" s="9" t="s">
        <v>616</v>
      </c>
      <c r="F125" s="9" t="s">
        <v>617</v>
      </c>
      <c r="G125" s="9" t="s">
        <v>622</v>
      </c>
      <c r="H125" s="10">
        <v>0</v>
      </c>
      <c r="I125" s="10">
        <v>5733000</v>
      </c>
      <c r="J125" s="10">
        <v>850000</v>
      </c>
      <c r="K125" s="10">
        <f t="shared" si="7"/>
        <v>1054000</v>
      </c>
      <c r="L125" s="17">
        <f t="shared" si="8"/>
        <v>0.18384789813361241</v>
      </c>
      <c r="M125" s="17">
        <f t="shared" si="9"/>
        <v>0</v>
      </c>
    </row>
    <row r="126" spans="1:13" x14ac:dyDescent="0.3">
      <c r="A126" s="8" t="s">
        <v>68</v>
      </c>
      <c r="B126" s="9" t="s">
        <v>370</v>
      </c>
      <c r="C126" s="9" t="s">
        <v>16</v>
      </c>
      <c r="D126" s="9" t="s">
        <v>38</v>
      </c>
      <c r="E126" s="9" t="s">
        <v>616</v>
      </c>
      <c r="F126" s="9" t="s">
        <v>617</v>
      </c>
      <c r="G126" s="9" t="s">
        <v>622</v>
      </c>
      <c r="H126" s="10">
        <v>1000000</v>
      </c>
      <c r="I126" s="10">
        <v>2074800</v>
      </c>
      <c r="J126" s="10">
        <v>1200000</v>
      </c>
      <c r="K126" s="10">
        <f t="shared" si="7"/>
        <v>1488000</v>
      </c>
      <c r="L126" s="17">
        <f t="shared" si="8"/>
        <v>0.71717755928282245</v>
      </c>
      <c r="M126" s="17">
        <f t="shared" si="9"/>
        <v>0.48799999999999999</v>
      </c>
    </row>
    <row r="127" spans="1:13" x14ac:dyDescent="0.3">
      <c r="A127" s="8" t="s">
        <v>74</v>
      </c>
      <c r="B127" s="9" t="s">
        <v>376</v>
      </c>
      <c r="C127" s="9" t="s">
        <v>16</v>
      </c>
      <c r="D127" s="9" t="s">
        <v>34</v>
      </c>
      <c r="E127" s="9" t="s">
        <v>616</v>
      </c>
      <c r="F127" s="9" t="s">
        <v>617</v>
      </c>
      <c r="G127" s="9" t="s">
        <v>621</v>
      </c>
      <c r="H127" s="10">
        <v>0</v>
      </c>
      <c r="I127" s="10">
        <v>2784600</v>
      </c>
      <c r="J127" s="10">
        <v>300000</v>
      </c>
      <c r="K127" s="10">
        <f t="shared" si="7"/>
        <v>372000</v>
      </c>
      <c r="L127" s="17">
        <f t="shared" si="8"/>
        <v>0.13359189829778065</v>
      </c>
      <c r="M127" s="17">
        <f t="shared" si="9"/>
        <v>0</v>
      </c>
    </row>
    <row r="128" spans="1:13" x14ac:dyDescent="0.3">
      <c r="A128" s="8" t="s">
        <v>70</v>
      </c>
      <c r="B128" s="9" t="s">
        <v>372</v>
      </c>
      <c r="C128" s="9" t="s">
        <v>16</v>
      </c>
      <c r="D128" s="9" t="s">
        <v>42</v>
      </c>
      <c r="E128" s="9" t="s">
        <v>616</v>
      </c>
      <c r="F128" s="9" t="s">
        <v>617</v>
      </c>
      <c r="G128" s="9" t="s">
        <v>618</v>
      </c>
      <c r="H128" s="10">
        <v>550000</v>
      </c>
      <c r="I128" s="10">
        <v>1419600</v>
      </c>
      <c r="J128" s="10">
        <v>0</v>
      </c>
      <c r="K128" s="10">
        <f t="shared" si="7"/>
        <v>0</v>
      </c>
      <c r="L128" s="17">
        <f t="shared" si="8"/>
        <v>0</v>
      </c>
      <c r="M128" s="17">
        <f t="shared" si="9"/>
        <v>-1</v>
      </c>
    </row>
    <row r="129" spans="1:13" x14ac:dyDescent="0.3">
      <c r="A129" s="8" t="s">
        <v>169</v>
      </c>
      <c r="B129" s="9" t="s">
        <v>459</v>
      </c>
      <c r="C129" s="9" t="s">
        <v>120</v>
      </c>
      <c r="D129" s="9" t="s">
        <v>129</v>
      </c>
      <c r="E129" s="9" t="s">
        <v>616</v>
      </c>
      <c r="F129" s="9" t="s">
        <v>617</v>
      </c>
      <c r="G129" s="9" t="s">
        <v>621</v>
      </c>
      <c r="H129" s="10">
        <v>3500000</v>
      </c>
      <c r="I129" s="10">
        <v>6497400</v>
      </c>
      <c r="J129" s="10">
        <v>5100000</v>
      </c>
      <c r="K129" s="10">
        <f t="shared" si="7"/>
        <v>6324000</v>
      </c>
      <c r="L129" s="17">
        <f t="shared" si="8"/>
        <v>0.9733124018838305</v>
      </c>
      <c r="M129" s="17">
        <f t="shared" si="9"/>
        <v>0.80685714285714283</v>
      </c>
    </row>
    <row r="130" spans="1:13" x14ac:dyDescent="0.3">
      <c r="A130" s="8" t="s">
        <v>50</v>
      </c>
      <c r="B130" s="9" t="s">
        <v>354</v>
      </c>
      <c r="C130" s="9" t="s">
        <v>14</v>
      </c>
      <c r="D130" s="9" t="s">
        <v>30</v>
      </c>
      <c r="E130" s="9" t="s">
        <v>616</v>
      </c>
      <c r="F130" s="9" t="s">
        <v>617</v>
      </c>
      <c r="G130" s="9" t="s">
        <v>620</v>
      </c>
      <c r="H130" s="10">
        <v>0</v>
      </c>
      <c r="I130" s="10">
        <v>3112200</v>
      </c>
      <c r="J130" s="10">
        <v>550000</v>
      </c>
      <c r="K130" s="10">
        <f t="shared" si="7"/>
        <v>682000</v>
      </c>
      <c r="L130" s="17">
        <f t="shared" si="8"/>
        <v>0.21913758755864018</v>
      </c>
      <c r="M130" s="17">
        <f t="shared" si="9"/>
        <v>0</v>
      </c>
    </row>
    <row r="131" spans="1:13" x14ac:dyDescent="0.3">
      <c r="A131" s="8" t="s">
        <v>23</v>
      </c>
      <c r="B131" s="9" t="s">
        <v>338</v>
      </c>
      <c r="C131" s="9" t="s">
        <v>14</v>
      </c>
      <c r="D131" s="9" t="s">
        <v>32</v>
      </c>
      <c r="E131" s="9" t="s">
        <v>616</v>
      </c>
      <c r="F131" s="9" t="s">
        <v>617</v>
      </c>
      <c r="G131" s="9" t="s">
        <v>619</v>
      </c>
      <c r="H131" s="10">
        <v>6600000</v>
      </c>
      <c r="I131" s="10">
        <v>21676200</v>
      </c>
      <c r="J131" s="10">
        <v>8100000</v>
      </c>
      <c r="K131" s="10">
        <f t="shared" si="7"/>
        <v>10044000</v>
      </c>
      <c r="L131" s="17">
        <f t="shared" si="8"/>
        <v>0.46336535001522405</v>
      </c>
      <c r="M131" s="17">
        <f t="shared" si="9"/>
        <v>0.52181818181818185</v>
      </c>
    </row>
    <row r="132" spans="1:13" x14ac:dyDescent="0.3">
      <c r="A132" s="8" t="s">
        <v>170</v>
      </c>
      <c r="B132" s="9" t="s">
        <v>460</v>
      </c>
      <c r="C132" s="9" t="s">
        <v>120</v>
      </c>
      <c r="D132" s="9" t="s">
        <v>139</v>
      </c>
      <c r="E132" s="9" t="s">
        <v>625</v>
      </c>
      <c r="F132" s="9" t="s">
        <v>617</v>
      </c>
      <c r="G132" s="9" t="s">
        <v>619</v>
      </c>
      <c r="H132" s="10">
        <v>10250000</v>
      </c>
      <c r="I132" s="10">
        <v>8408400</v>
      </c>
      <c r="J132" s="10">
        <v>6850000</v>
      </c>
      <c r="K132" s="10">
        <f t="shared" si="7"/>
        <v>8494000</v>
      </c>
      <c r="L132" s="17">
        <f t="shared" si="8"/>
        <v>1.0101802958945816</v>
      </c>
      <c r="M132" s="17">
        <f t="shared" si="9"/>
        <v>-0.17131707317073172</v>
      </c>
    </row>
    <row r="133" spans="1:13" x14ac:dyDescent="0.3">
      <c r="A133" s="8" t="s">
        <v>171</v>
      </c>
      <c r="B133" s="9" t="s">
        <v>461</v>
      </c>
      <c r="C133" s="9" t="s">
        <v>120</v>
      </c>
      <c r="D133" s="9" t="s">
        <v>139</v>
      </c>
      <c r="E133" s="9" t="s">
        <v>625</v>
      </c>
      <c r="F133" s="9" t="s">
        <v>617</v>
      </c>
      <c r="G133" s="9" t="s">
        <v>621</v>
      </c>
      <c r="H133" s="10">
        <v>58361802</v>
      </c>
      <c r="I133" s="10">
        <v>66229800</v>
      </c>
      <c r="J133" s="10">
        <v>50732703</v>
      </c>
      <c r="K133" s="10">
        <f t="shared" ref="K133:K196" si="10">IFERROR(J133/$A$1*$B$1,0)</f>
        <v>62908551.720000006</v>
      </c>
      <c r="L133" s="17">
        <f t="shared" ref="L133:L196" si="11">IFERROR((K133/I133),0)</f>
        <v>0.94985266028283355</v>
      </c>
      <c r="M133" s="17">
        <f t="shared" ref="M133:M196" si="12">IFERROR((K133-H133)/H133,0)</f>
        <v>7.7906259988339735E-2</v>
      </c>
    </row>
    <row r="134" spans="1:13" x14ac:dyDescent="0.3">
      <c r="A134" s="8" t="s">
        <v>172</v>
      </c>
      <c r="B134" s="9" t="s">
        <v>462</v>
      </c>
      <c r="C134" s="9" t="s">
        <v>120</v>
      </c>
      <c r="D134" s="9" t="s">
        <v>139</v>
      </c>
      <c r="E134" s="9" t="s">
        <v>626</v>
      </c>
      <c r="F134" s="9" t="s">
        <v>617</v>
      </c>
      <c r="G134" s="9" t="s">
        <v>621</v>
      </c>
      <c r="H134" s="10">
        <v>8050000</v>
      </c>
      <c r="I134" s="10">
        <v>23478000</v>
      </c>
      <c r="J134" s="10">
        <v>4900000</v>
      </c>
      <c r="K134" s="10">
        <f t="shared" si="10"/>
        <v>6076000</v>
      </c>
      <c r="L134" s="17">
        <f t="shared" si="11"/>
        <v>0.25879546809779369</v>
      </c>
      <c r="M134" s="17">
        <f t="shared" si="12"/>
        <v>-0.24521739130434783</v>
      </c>
    </row>
    <row r="135" spans="1:13" x14ac:dyDescent="0.3">
      <c r="A135" s="8" t="s">
        <v>173</v>
      </c>
      <c r="B135" s="9" t="s">
        <v>463</v>
      </c>
      <c r="C135" s="9" t="s">
        <v>120</v>
      </c>
      <c r="D135" s="9" t="s">
        <v>139</v>
      </c>
      <c r="E135" s="9" t="s">
        <v>626</v>
      </c>
      <c r="F135" s="9" t="s">
        <v>617</v>
      </c>
      <c r="G135" s="9" t="s">
        <v>621</v>
      </c>
      <c r="H135" s="10">
        <v>12949550</v>
      </c>
      <c r="I135" s="10">
        <v>16871400</v>
      </c>
      <c r="J135" s="10">
        <v>5700000</v>
      </c>
      <c r="K135" s="10">
        <f t="shared" si="10"/>
        <v>7068000</v>
      </c>
      <c r="L135" s="17">
        <f t="shared" si="11"/>
        <v>0.41893381699206944</v>
      </c>
      <c r="M135" s="17">
        <f t="shared" si="12"/>
        <v>-0.45418952782143007</v>
      </c>
    </row>
    <row r="136" spans="1:13" x14ac:dyDescent="0.3">
      <c r="A136" s="8" t="s">
        <v>174</v>
      </c>
      <c r="B136" s="9" t="s">
        <v>464</v>
      </c>
      <c r="C136" s="9" t="s">
        <v>120</v>
      </c>
      <c r="D136" s="9" t="s">
        <v>139</v>
      </c>
      <c r="E136" s="9" t="s">
        <v>626</v>
      </c>
      <c r="F136" s="9" t="s">
        <v>617</v>
      </c>
      <c r="G136" s="9" t="s">
        <v>623</v>
      </c>
      <c r="H136" s="10">
        <v>2000000</v>
      </c>
      <c r="I136" s="10">
        <v>7534800</v>
      </c>
      <c r="J136" s="10">
        <v>3000000</v>
      </c>
      <c r="K136" s="10">
        <f t="shared" si="10"/>
        <v>3720000</v>
      </c>
      <c r="L136" s="17">
        <f t="shared" si="11"/>
        <v>0.49370918936136327</v>
      </c>
      <c r="M136" s="17">
        <f t="shared" si="12"/>
        <v>0.86</v>
      </c>
    </row>
    <row r="137" spans="1:13" x14ac:dyDescent="0.3">
      <c r="A137" s="8" t="s">
        <v>175</v>
      </c>
      <c r="B137" s="9" t="s">
        <v>465</v>
      </c>
      <c r="C137" s="9" t="s">
        <v>120</v>
      </c>
      <c r="D137" s="9" t="s">
        <v>139</v>
      </c>
      <c r="E137" s="9" t="s">
        <v>626</v>
      </c>
      <c r="F137" s="9" t="s">
        <v>617</v>
      </c>
      <c r="G137" s="9" t="s">
        <v>619</v>
      </c>
      <c r="H137" s="10">
        <v>15200000</v>
      </c>
      <c r="I137" s="10">
        <v>70379400</v>
      </c>
      <c r="J137" s="10">
        <v>14280000</v>
      </c>
      <c r="K137" s="10">
        <f t="shared" si="10"/>
        <v>17707200</v>
      </c>
      <c r="L137" s="17">
        <f t="shared" si="11"/>
        <v>0.25159634779495138</v>
      </c>
      <c r="M137" s="17">
        <f t="shared" si="12"/>
        <v>0.16494736842105262</v>
      </c>
    </row>
    <row r="138" spans="1:13" x14ac:dyDescent="0.3">
      <c r="A138" s="8" t="s">
        <v>176</v>
      </c>
      <c r="B138" s="9" t="s">
        <v>466</v>
      </c>
      <c r="C138" s="9" t="s">
        <v>120</v>
      </c>
      <c r="D138" s="9" t="s">
        <v>139</v>
      </c>
      <c r="E138" s="9" t="s">
        <v>626</v>
      </c>
      <c r="F138" s="9" t="s">
        <v>617</v>
      </c>
      <c r="G138" s="9" t="s">
        <v>622</v>
      </c>
      <c r="H138" s="10">
        <v>24700000</v>
      </c>
      <c r="I138" s="10">
        <v>34889400</v>
      </c>
      <c r="J138" s="10">
        <v>5100000</v>
      </c>
      <c r="K138" s="10">
        <f t="shared" si="10"/>
        <v>6324000</v>
      </c>
      <c r="L138" s="17">
        <f t="shared" si="11"/>
        <v>0.18125849111764605</v>
      </c>
      <c r="M138" s="17">
        <f t="shared" si="12"/>
        <v>-0.7439676113360324</v>
      </c>
    </row>
    <row r="139" spans="1:13" x14ac:dyDescent="0.3">
      <c r="A139" s="8" t="s">
        <v>177</v>
      </c>
      <c r="B139" s="9" t="s">
        <v>467</v>
      </c>
      <c r="C139" s="9" t="s">
        <v>120</v>
      </c>
      <c r="D139" s="9" t="s">
        <v>139</v>
      </c>
      <c r="E139" s="9" t="s">
        <v>626</v>
      </c>
      <c r="F139" s="9" t="s">
        <v>617</v>
      </c>
      <c r="G139" s="9" t="s">
        <v>619</v>
      </c>
      <c r="H139" s="10">
        <v>41150000</v>
      </c>
      <c r="I139" s="10">
        <v>66448200</v>
      </c>
      <c r="J139" s="10">
        <v>58891802</v>
      </c>
      <c r="K139" s="10">
        <f t="shared" si="10"/>
        <v>73025834.480000004</v>
      </c>
      <c r="L139" s="17">
        <f t="shared" si="11"/>
        <v>1.0989889038378768</v>
      </c>
      <c r="M139" s="17">
        <f t="shared" si="12"/>
        <v>0.77462538226002442</v>
      </c>
    </row>
    <row r="140" spans="1:13" x14ac:dyDescent="0.3">
      <c r="A140" s="8" t="s">
        <v>178</v>
      </c>
      <c r="B140" s="9" t="s">
        <v>468</v>
      </c>
      <c r="C140" s="9" t="s">
        <v>120</v>
      </c>
      <c r="D140" s="9" t="s">
        <v>139</v>
      </c>
      <c r="E140" s="9" t="s">
        <v>626</v>
      </c>
      <c r="F140" s="9" t="s">
        <v>617</v>
      </c>
      <c r="G140" s="9" t="s">
        <v>622</v>
      </c>
      <c r="H140" s="10">
        <v>8659099</v>
      </c>
      <c r="I140" s="10">
        <v>18050760</v>
      </c>
      <c r="J140" s="10">
        <v>27100000</v>
      </c>
      <c r="K140" s="10">
        <f t="shared" si="10"/>
        <v>33604000</v>
      </c>
      <c r="L140" s="17">
        <f t="shared" si="11"/>
        <v>1.8616390667207363</v>
      </c>
      <c r="M140" s="17">
        <f t="shared" si="12"/>
        <v>2.8807732767577781</v>
      </c>
    </row>
    <row r="141" spans="1:13" x14ac:dyDescent="0.3">
      <c r="A141" s="8" t="s">
        <v>179</v>
      </c>
      <c r="B141" s="9" t="s">
        <v>469</v>
      </c>
      <c r="C141" s="9" t="s">
        <v>120</v>
      </c>
      <c r="D141" s="9" t="s">
        <v>139</v>
      </c>
      <c r="E141" s="9" t="s">
        <v>626</v>
      </c>
      <c r="F141" s="9" t="s">
        <v>617</v>
      </c>
      <c r="G141" s="9" t="s">
        <v>618</v>
      </c>
      <c r="H141" s="10">
        <v>1500000</v>
      </c>
      <c r="I141" s="10">
        <v>5350800</v>
      </c>
      <c r="J141" s="10">
        <v>1000000</v>
      </c>
      <c r="K141" s="10">
        <f t="shared" si="10"/>
        <v>1240000</v>
      </c>
      <c r="L141" s="17">
        <f t="shared" si="11"/>
        <v>0.23174104806757867</v>
      </c>
      <c r="M141" s="17">
        <f t="shared" si="12"/>
        <v>-0.17333333333333334</v>
      </c>
    </row>
    <row r="142" spans="1:13" x14ac:dyDescent="0.3">
      <c r="A142" s="8" t="s">
        <v>180</v>
      </c>
      <c r="B142" s="9" t="s">
        <v>470</v>
      </c>
      <c r="C142" s="9" t="s">
        <v>120</v>
      </c>
      <c r="D142" s="9" t="s">
        <v>139</v>
      </c>
      <c r="E142" s="9" t="s">
        <v>626</v>
      </c>
      <c r="F142" s="9" t="s">
        <v>617</v>
      </c>
      <c r="G142" s="9" t="s">
        <v>621</v>
      </c>
      <c r="H142" s="10">
        <v>16800000</v>
      </c>
      <c r="I142" s="10">
        <v>24133200</v>
      </c>
      <c r="J142" s="10">
        <v>12500000</v>
      </c>
      <c r="K142" s="10">
        <f t="shared" si="10"/>
        <v>15500000</v>
      </c>
      <c r="L142" s="17">
        <f t="shared" si="11"/>
        <v>0.64226874181625315</v>
      </c>
      <c r="M142" s="17">
        <f t="shared" si="12"/>
        <v>-7.7380952380952384E-2</v>
      </c>
    </row>
    <row r="143" spans="1:13" x14ac:dyDescent="0.3">
      <c r="A143" s="8" t="s">
        <v>181</v>
      </c>
      <c r="B143" s="9" t="s">
        <v>471</v>
      </c>
      <c r="C143" s="9" t="s">
        <v>120</v>
      </c>
      <c r="D143" s="9" t="s">
        <v>139</v>
      </c>
      <c r="E143" s="9" t="s">
        <v>626</v>
      </c>
      <c r="F143" s="9" t="s">
        <v>617</v>
      </c>
      <c r="G143" s="9" t="s">
        <v>621</v>
      </c>
      <c r="H143" s="10">
        <v>7800000</v>
      </c>
      <c r="I143" s="10">
        <v>4695600</v>
      </c>
      <c r="J143" s="10">
        <v>7500000</v>
      </c>
      <c r="K143" s="10">
        <f t="shared" si="10"/>
        <v>9300000</v>
      </c>
      <c r="L143" s="17">
        <f t="shared" si="11"/>
        <v>1.9805775619729109</v>
      </c>
      <c r="M143" s="17">
        <f t="shared" si="12"/>
        <v>0.19230769230769232</v>
      </c>
    </row>
    <row r="144" spans="1:13" x14ac:dyDescent="0.3">
      <c r="A144" s="8" t="s">
        <v>182</v>
      </c>
      <c r="B144" s="9" t="s">
        <v>472</v>
      </c>
      <c r="C144" s="9" t="s">
        <v>120</v>
      </c>
      <c r="D144" s="9" t="s">
        <v>129</v>
      </c>
      <c r="E144" s="9" t="s">
        <v>616</v>
      </c>
      <c r="F144" s="9" t="s">
        <v>624</v>
      </c>
      <c r="G144" s="9" t="s">
        <v>621</v>
      </c>
      <c r="H144" s="10">
        <v>0</v>
      </c>
      <c r="I144" s="10">
        <v>1092000</v>
      </c>
      <c r="J144" s="10">
        <v>90990</v>
      </c>
      <c r="K144" s="10">
        <f t="shared" si="10"/>
        <v>112827.59999999999</v>
      </c>
      <c r="L144" s="17">
        <f t="shared" si="11"/>
        <v>0.10332197802197801</v>
      </c>
      <c r="M144" s="17">
        <f t="shared" si="12"/>
        <v>0</v>
      </c>
    </row>
    <row r="145" spans="1:13" x14ac:dyDescent="0.3">
      <c r="A145" s="8" t="s">
        <v>183</v>
      </c>
      <c r="B145" s="9" t="s">
        <v>473</v>
      </c>
      <c r="C145" s="9" t="s">
        <v>120</v>
      </c>
      <c r="D145" s="9" t="s">
        <v>129</v>
      </c>
      <c r="E145" s="9" t="s">
        <v>626</v>
      </c>
      <c r="F145" s="9" t="s">
        <v>617</v>
      </c>
      <c r="G145" s="9" t="s">
        <v>621</v>
      </c>
      <c r="H145" s="10">
        <v>1000000</v>
      </c>
      <c r="I145" s="10">
        <v>8408400</v>
      </c>
      <c r="J145" s="10">
        <v>3090990</v>
      </c>
      <c r="K145" s="10">
        <f t="shared" si="10"/>
        <v>3832827.6</v>
      </c>
      <c r="L145" s="17">
        <f t="shared" si="11"/>
        <v>0.45583316683316683</v>
      </c>
      <c r="M145" s="17">
        <f t="shared" si="12"/>
        <v>2.8328275999999999</v>
      </c>
    </row>
    <row r="146" spans="1:13" x14ac:dyDescent="0.3">
      <c r="A146" s="8" t="s">
        <v>184</v>
      </c>
      <c r="B146" s="9" t="s">
        <v>474</v>
      </c>
      <c r="C146" s="9" t="s">
        <v>120</v>
      </c>
      <c r="D146" s="9" t="s">
        <v>129</v>
      </c>
      <c r="E146" s="9" t="s">
        <v>616</v>
      </c>
      <c r="F146" s="9" t="s">
        <v>624</v>
      </c>
      <c r="G146" s="9" t="s">
        <v>621</v>
      </c>
      <c r="H146" s="10">
        <v>1000000</v>
      </c>
      <c r="I146" s="10">
        <v>1092000</v>
      </c>
      <c r="J146" s="10">
        <v>0</v>
      </c>
      <c r="K146" s="10">
        <f t="shared" si="10"/>
        <v>0</v>
      </c>
      <c r="L146" s="17">
        <f t="shared" si="11"/>
        <v>0</v>
      </c>
      <c r="M146" s="17">
        <f t="shared" si="12"/>
        <v>-1</v>
      </c>
    </row>
    <row r="147" spans="1:13" x14ac:dyDescent="0.3">
      <c r="A147" s="8" t="s">
        <v>185</v>
      </c>
      <c r="B147" s="9" t="s">
        <v>475</v>
      </c>
      <c r="C147" s="9" t="s">
        <v>120</v>
      </c>
      <c r="D147" s="9" t="s">
        <v>137</v>
      </c>
      <c r="E147" s="9" t="s">
        <v>627</v>
      </c>
      <c r="F147" s="9" t="s">
        <v>617</v>
      </c>
      <c r="G147" s="9" t="s">
        <v>619</v>
      </c>
      <c r="H147" s="10">
        <v>40699550</v>
      </c>
      <c r="I147" s="10">
        <v>62052900</v>
      </c>
      <c r="J147" s="10">
        <v>14120000</v>
      </c>
      <c r="K147" s="10">
        <f t="shared" si="10"/>
        <v>17508800</v>
      </c>
      <c r="L147" s="17">
        <f t="shared" si="11"/>
        <v>0.28215925444258044</v>
      </c>
      <c r="M147" s="17">
        <f t="shared" si="12"/>
        <v>-0.56980359733707131</v>
      </c>
    </row>
    <row r="148" spans="1:13" x14ac:dyDescent="0.3">
      <c r="A148" s="8" t="s">
        <v>186</v>
      </c>
      <c r="B148" s="9" t="s">
        <v>476</v>
      </c>
      <c r="C148" s="9" t="s">
        <v>120</v>
      </c>
      <c r="D148" s="9" t="s">
        <v>137</v>
      </c>
      <c r="E148" s="9" t="s">
        <v>627</v>
      </c>
      <c r="F148" s="9" t="s">
        <v>617</v>
      </c>
      <c r="G148" s="9" t="s">
        <v>620</v>
      </c>
      <c r="H148" s="10">
        <v>7459099</v>
      </c>
      <c r="I148" s="10">
        <v>21348600</v>
      </c>
      <c r="J148" s="10">
        <v>18910000</v>
      </c>
      <c r="K148" s="10">
        <f t="shared" si="10"/>
        <v>23448400</v>
      </c>
      <c r="L148" s="17">
        <f t="shared" si="11"/>
        <v>1.0983577377439271</v>
      </c>
      <c r="M148" s="17">
        <f t="shared" si="12"/>
        <v>2.1435968338803386</v>
      </c>
    </row>
    <row r="149" spans="1:13" x14ac:dyDescent="0.3">
      <c r="A149" s="8" t="s">
        <v>187</v>
      </c>
      <c r="B149" s="9" t="s">
        <v>477</v>
      </c>
      <c r="C149" s="9" t="s">
        <v>120</v>
      </c>
      <c r="D149" s="9" t="s">
        <v>135</v>
      </c>
      <c r="E149" s="9" t="s">
        <v>627</v>
      </c>
      <c r="F149" s="9" t="s">
        <v>617</v>
      </c>
      <c r="G149" s="9" t="s">
        <v>618</v>
      </c>
      <c r="H149" s="10">
        <v>3700000</v>
      </c>
      <c r="I149" s="10">
        <v>9445800</v>
      </c>
      <c r="J149" s="10">
        <v>3000000</v>
      </c>
      <c r="K149" s="10">
        <f t="shared" si="10"/>
        <v>3720000</v>
      </c>
      <c r="L149" s="17">
        <f t="shared" si="11"/>
        <v>0.39382582735183891</v>
      </c>
      <c r="M149" s="17">
        <f t="shared" si="12"/>
        <v>5.4054054054054057E-3</v>
      </c>
    </row>
    <row r="150" spans="1:13" x14ac:dyDescent="0.3">
      <c r="A150" s="8" t="s">
        <v>188</v>
      </c>
      <c r="B150" s="9" t="s">
        <v>478</v>
      </c>
      <c r="C150" s="9" t="s">
        <v>120</v>
      </c>
      <c r="D150" s="9" t="s">
        <v>135</v>
      </c>
      <c r="E150" s="9" t="s">
        <v>627</v>
      </c>
      <c r="F150" s="9" t="s">
        <v>617</v>
      </c>
      <c r="G150" s="9" t="s">
        <v>622</v>
      </c>
      <c r="H150" s="10">
        <v>17000000</v>
      </c>
      <c r="I150" s="10">
        <v>21049392</v>
      </c>
      <c r="J150" s="10">
        <v>8200000</v>
      </c>
      <c r="K150" s="10">
        <f t="shared" si="10"/>
        <v>10168000</v>
      </c>
      <c r="L150" s="17">
        <f t="shared" si="11"/>
        <v>0.48305433240066981</v>
      </c>
      <c r="M150" s="17">
        <f t="shared" si="12"/>
        <v>-0.40188235294117647</v>
      </c>
    </row>
    <row r="151" spans="1:13" x14ac:dyDescent="0.3">
      <c r="A151" s="8" t="s">
        <v>189</v>
      </c>
      <c r="B151" s="9" t="s">
        <v>479</v>
      </c>
      <c r="C151" s="9" t="s">
        <v>120</v>
      </c>
      <c r="D151" s="9" t="s">
        <v>135</v>
      </c>
      <c r="E151" s="9" t="s">
        <v>627</v>
      </c>
      <c r="F151" s="9" t="s">
        <v>617</v>
      </c>
      <c r="G151" s="9" t="s">
        <v>621</v>
      </c>
      <c r="H151" s="10">
        <v>11800000</v>
      </c>
      <c r="I151" s="10">
        <v>30671004</v>
      </c>
      <c r="J151" s="10">
        <v>12100000</v>
      </c>
      <c r="K151" s="10">
        <f t="shared" si="10"/>
        <v>15004000</v>
      </c>
      <c r="L151" s="17">
        <f t="shared" si="11"/>
        <v>0.48919168084618292</v>
      </c>
      <c r="M151" s="17">
        <f t="shared" si="12"/>
        <v>0.27152542372881355</v>
      </c>
    </row>
    <row r="152" spans="1:13" x14ac:dyDescent="0.3">
      <c r="A152" s="8" t="s">
        <v>190</v>
      </c>
      <c r="B152" s="9" t="s">
        <v>480</v>
      </c>
      <c r="C152" s="9" t="s">
        <v>120</v>
      </c>
      <c r="D152" s="9" t="s">
        <v>137</v>
      </c>
      <c r="E152" s="9" t="s">
        <v>627</v>
      </c>
      <c r="F152" s="9" t="s">
        <v>617</v>
      </c>
      <c r="G152" s="9" t="s">
        <v>620</v>
      </c>
      <c r="H152" s="10">
        <v>1550000</v>
      </c>
      <c r="I152" s="10">
        <v>5460000</v>
      </c>
      <c r="J152" s="10">
        <v>4550000</v>
      </c>
      <c r="K152" s="10">
        <f t="shared" si="10"/>
        <v>5642000</v>
      </c>
      <c r="L152" s="17">
        <f t="shared" si="11"/>
        <v>1.0333333333333334</v>
      </c>
      <c r="M152" s="17">
        <f t="shared" si="12"/>
        <v>2.64</v>
      </c>
    </row>
    <row r="153" spans="1:13" x14ac:dyDescent="0.3">
      <c r="A153" s="8" t="s">
        <v>191</v>
      </c>
      <c r="B153" s="9" t="s">
        <v>481</v>
      </c>
      <c r="C153" s="9" t="s">
        <v>120</v>
      </c>
      <c r="D153" s="9" t="s">
        <v>137</v>
      </c>
      <c r="E153" s="9" t="s">
        <v>627</v>
      </c>
      <c r="F153" s="9" t="s">
        <v>617</v>
      </c>
      <c r="G153" s="9" t="s">
        <v>620</v>
      </c>
      <c r="H153" s="10">
        <v>0</v>
      </c>
      <c r="I153" s="10">
        <v>3929016</v>
      </c>
      <c r="J153" s="10">
        <v>1000000</v>
      </c>
      <c r="K153" s="10">
        <f t="shared" si="10"/>
        <v>1240000</v>
      </c>
      <c r="L153" s="17">
        <f t="shared" si="11"/>
        <v>0.31560064911927055</v>
      </c>
      <c r="M153" s="17">
        <f t="shared" si="12"/>
        <v>0</v>
      </c>
    </row>
    <row r="154" spans="1:13" x14ac:dyDescent="0.3">
      <c r="A154" s="8" t="s">
        <v>192</v>
      </c>
      <c r="B154" s="9" t="s">
        <v>482</v>
      </c>
      <c r="C154" s="9" t="s">
        <v>120</v>
      </c>
      <c r="D154" s="9" t="s">
        <v>137</v>
      </c>
      <c r="E154" s="9" t="s">
        <v>627</v>
      </c>
      <c r="F154" s="9" t="s">
        <v>617</v>
      </c>
      <c r="G154" s="9" t="s">
        <v>620</v>
      </c>
      <c r="H154" s="10">
        <v>5000000</v>
      </c>
      <c r="I154" s="10">
        <v>13486200</v>
      </c>
      <c r="J154" s="10">
        <v>3900000</v>
      </c>
      <c r="K154" s="10">
        <f t="shared" si="10"/>
        <v>4836000</v>
      </c>
      <c r="L154" s="17">
        <f t="shared" si="11"/>
        <v>0.35858877964141123</v>
      </c>
      <c r="M154" s="17">
        <f t="shared" si="12"/>
        <v>-3.2800000000000003E-2</v>
      </c>
    </row>
    <row r="155" spans="1:13" x14ac:dyDescent="0.3">
      <c r="A155" s="8" t="s">
        <v>193</v>
      </c>
      <c r="B155" s="9" t="s">
        <v>483</v>
      </c>
      <c r="C155" s="9" t="s">
        <v>120</v>
      </c>
      <c r="D155" s="9" t="s">
        <v>135</v>
      </c>
      <c r="E155" s="9" t="s">
        <v>627</v>
      </c>
      <c r="F155" s="9" t="s">
        <v>617</v>
      </c>
      <c r="G155" s="9" t="s">
        <v>621</v>
      </c>
      <c r="H155" s="10">
        <v>27949100</v>
      </c>
      <c r="I155" s="10">
        <v>67977000</v>
      </c>
      <c r="J155" s="10">
        <v>38840000</v>
      </c>
      <c r="K155" s="10">
        <f t="shared" si="10"/>
        <v>48161600</v>
      </c>
      <c r="L155" s="17">
        <f t="shared" si="11"/>
        <v>0.70849846271533024</v>
      </c>
      <c r="M155" s="17">
        <f t="shared" si="12"/>
        <v>0.72318965548085623</v>
      </c>
    </row>
    <row r="156" spans="1:13" x14ac:dyDescent="0.3">
      <c r="A156" s="8" t="s">
        <v>194</v>
      </c>
      <c r="B156" s="9" t="s">
        <v>484</v>
      </c>
      <c r="C156" s="9" t="s">
        <v>120</v>
      </c>
      <c r="D156" s="9" t="s">
        <v>137</v>
      </c>
      <c r="E156" s="9" t="s">
        <v>627</v>
      </c>
      <c r="F156" s="9" t="s">
        <v>617</v>
      </c>
      <c r="G156" s="9" t="s">
        <v>620</v>
      </c>
      <c r="H156" s="10">
        <v>2059010</v>
      </c>
      <c r="I156" s="10">
        <v>3276000</v>
      </c>
      <c r="J156" s="10">
        <v>423604</v>
      </c>
      <c r="K156" s="10">
        <f t="shared" si="10"/>
        <v>525268.96</v>
      </c>
      <c r="L156" s="17">
        <f t="shared" si="11"/>
        <v>0.16033851037851038</v>
      </c>
      <c r="M156" s="17">
        <f t="shared" si="12"/>
        <v>-0.74489246773935047</v>
      </c>
    </row>
    <row r="157" spans="1:13" x14ac:dyDescent="0.3">
      <c r="A157" s="8" t="s">
        <v>195</v>
      </c>
      <c r="B157" s="9" t="s">
        <v>485</v>
      </c>
      <c r="C157" s="9" t="s">
        <v>120</v>
      </c>
      <c r="D157" s="9" t="s">
        <v>135</v>
      </c>
      <c r="E157" s="9" t="s">
        <v>627</v>
      </c>
      <c r="F157" s="9" t="s">
        <v>617</v>
      </c>
      <c r="G157" s="9" t="s">
        <v>623</v>
      </c>
      <c r="H157" s="10">
        <v>1000000</v>
      </c>
      <c r="I157" s="10">
        <v>9063600</v>
      </c>
      <c r="J157" s="10">
        <v>550000</v>
      </c>
      <c r="K157" s="10">
        <f t="shared" si="10"/>
        <v>682000</v>
      </c>
      <c r="L157" s="17">
        <f t="shared" si="11"/>
        <v>7.5246039101460785E-2</v>
      </c>
      <c r="M157" s="17">
        <f t="shared" si="12"/>
        <v>-0.318</v>
      </c>
    </row>
    <row r="158" spans="1:13" x14ac:dyDescent="0.3">
      <c r="A158" s="8" t="s">
        <v>196</v>
      </c>
      <c r="B158" s="9" t="s">
        <v>486</v>
      </c>
      <c r="C158" s="9" t="s">
        <v>120</v>
      </c>
      <c r="D158" s="9" t="s">
        <v>135</v>
      </c>
      <c r="E158" s="9" t="s">
        <v>627</v>
      </c>
      <c r="F158" s="9" t="s">
        <v>617</v>
      </c>
      <c r="G158" s="9" t="s">
        <v>621</v>
      </c>
      <c r="H158" s="10">
        <v>1000000</v>
      </c>
      <c r="I158" s="10">
        <v>3931200</v>
      </c>
      <c r="J158" s="10">
        <v>1550000</v>
      </c>
      <c r="K158" s="10">
        <f t="shared" si="10"/>
        <v>1922000</v>
      </c>
      <c r="L158" s="17">
        <f t="shared" si="11"/>
        <v>0.48890923890923893</v>
      </c>
      <c r="M158" s="17">
        <f t="shared" si="12"/>
        <v>0.92200000000000004</v>
      </c>
    </row>
    <row r="159" spans="1:13" x14ac:dyDescent="0.3">
      <c r="A159" s="8" t="s">
        <v>197</v>
      </c>
      <c r="B159" s="9" t="s">
        <v>487</v>
      </c>
      <c r="C159" s="9" t="s">
        <v>120</v>
      </c>
      <c r="D159" s="9" t="s">
        <v>137</v>
      </c>
      <c r="E159" s="9" t="s">
        <v>627</v>
      </c>
      <c r="F159" s="9" t="s">
        <v>617</v>
      </c>
      <c r="G159" s="9" t="s">
        <v>620</v>
      </c>
      <c r="H159" s="10">
        <v>1818198</v>
      </c>
      <c r="I159" s="10">
        <v>5350800</v>
      </c>
      <c r="J159" s="10">
        <v>1450000</v>
      </c>
      <c r="K159" s="10">
        <f t="shared" si="10"/>
        <v>1798000</v>
      </c>
      <c r="L159" s="17">
        <f t="shared" si="11"/>
        <v>0.33602451969798908</v>
      </c>
      <c r="M159" s="17">
        <f t="shared" si="12"/>
        <v>-1.1108801131669928E-2</v>
      </c>
    </row>
    <row r="160" spans="1:13" x14ac:dyDescent="0.3">
      <c r="A160" s="8" t="s">
        <v>198</v>
      </c>
      <c r="B160" s="9" t="s">
        <v>488</v>
      </c>
      <c r="C160" s="9" t="s">
        <v>120</v>
      </c>
      <c r="D160" s="9" t="s">
        <v>135</v>
      </c>
      <c r="E160" s="9" t="s">
        <v>627</v>
      </c>
      <c r="F160" s="9" t="s">
        <v>617</v>
      </c>
      <c r="G160" s="9" t="s">
        <v>623</v>
      </c>
      <c r="H160" s="10">
        <v>0</v>
      </c>
      <c r="I160" s="10">
        <v>1419600</v>
      </c>
      <c r="J160" s="10">
        <v>0</v>
      </c>
      <c r="K160" s="10">
        <f t="shared" si="10"/>
        <v>0</v>
      </c>
      <c r="L160" s="17">
        <f t="shared" si="11"/>
        <v>0</v>
      </c>
      <c r="M160" s="17">
        <f t="shared" si="12"/>
        <v>0</v>
      </c>
    </row>
    <row r="161" spans="1:13" x14ac:dyDescent="0.3">
      <c r="A161" s="8" t="s">
        <v>199</v>
      </c>
      <c r="B161" s="9" t="s">
        <v>489</v>
      </c>
      <c r="C161" s="9" t="s">
        <v>120</v>
      </c>
      <c r="D161" s="9" t="s">
        <v>135</v>
      </c>
      <c r="E161" s="9" t="s">
        <v>627</v>
      </c>
      <c r="F161" s="9" t="s">
        <v>624</v>
      </c>
      <c r="G161" s="9" t="s">
        <v>623</v>
      </c>
      <c r="H161" s="10">
        <v>0</v>
      </c>
      <c r="I161" s="10">
        <v>1419600</v>
      </c>
      <c r="J161" s="10">
        <v>0</v>
      </c>
      <c r="K161" s="10">
        <f t="shared" si="10"/>
        <v>0</v>
      </c>
      <c r="L161" s="17">
        <f t="shared" si="11"/>
        <v>0</v>
      </c>
      <c r="M161" s="17">
        <f t="shared" si="12"/>
        <v>0</v>
      </c>
    </row>
    <row r="162" spans="1:13" x14ac:dyDescent="0.3">
      <c r="A162" s="8" t="s">
        <v>200</v>
      </c>
      <c r="B162" s="9" t="s">
        <v>490</v>
      </c>
      <c r="C162" s="9" t="s">
        <v>120</v>
      </c>
      <c r="D162" s="9" t="s">
        <v>137</v>
      </c>
      <c r="E162" s="9" t="s">
        <v>627</v>
      </c>
      <c r="F162" s="9" t="s">
        <v>617</v>
      </c>
      <c r="G162" s="9" t="s">
        <v>619</v>
      </c>
      <c r="H162" s="10">
        <v>63281352</v>
      </c>
      <c r="I162" s="10">
        <v>84495684</v>
      </c>
      <c r="J162" s="10">
        <v>63092703</v>
      </c>
      <c r="K162" s="10">
        <f t="shared" si="10"/>
        <v>78234951.719999999</v>
      </c>
      <c r="L162" s="17">
        <f t="shared" si="11"/>
        <v>0.92590470916834045</v>
      </c>
      <c r="M162" s="17">
        <f t="shared" si="12"/>
        <v>0.23630341715834388</v>
      </c>
    </row>
    <row r="163" spans="1:13" x14ac:dyDescent="0.3">
      <c r="A163" s="8" t="s">
        <v>201</v>
      </c>
      <c r="B163" s="9" t="s">
        <v>491</v>
      </c>
      <c r="C163" s="9" t="s">
        <v>120</v>
      </c>
      <c r="D163" s="9" t="s">
        <v>135</v>
      </c>
      <c r="E163" s="9" t="s">
        <v>627</v>
      </c>
      <c r="F163" s="9" t="s">
        <v>617</v>
      </c>
      <c r="G163" s="9" t="s">
        <v>622</v>
      </c>
      <c r="H163" s="10">
        <v>2211802</v>
      </c>
      <c r="I163" s="10">
        <v>6006000</v>
      </c>
      <c r="J163" s="10">
        <v>0</v>
      </c>
      <c r="K163" s="10">
        <f t="shared" si="10"/>
        <v>0</v>
      </c>
      <c r="L163" s="17">
        <f t="shared" si="11"/>
        <v>0</v>
      </c>
      <c r="M163" s="17">
        <f t="shared" si="12"/>
        <v>-1</v>
      </c>
    </row>
    <row r="164" spans="1:13" x14ac:dyDescent="0.3">
      <c r="A164" s="8" t="s">
        <v>202</v>
      </c>
      <c r="B164" s="9" t="s">
        <v>492</v>
      </c>
      <c r="C164" s="9" t="s">
        <v>120</v>
      </c>
      <c r="D164" s="9" t="s">
        <v>129</v>
      </c>
      <c r="E164" s="9" t="s">
        <v>627</v>
      </c>
      <c r="F164" s="9" t="s">
        <v>617</v>
      </c>
      <c r="G164" s="9" t="s">
        <v>621</v>
      </c>
      <c r="H164" s="10">
        <v>9099</v>
      </c>
      <c r="I164" s="10">
        <v>15997800</v>
      </c>
      <c r="J164" s="10">
        <v>3000000</v>
      </c>
      <c r="K164" s="10">
        <f t="shared" si="10"/>
        <v>3720000</v>
      </c>
      <c r="L164" s="17">
        <f t="shared" si="11"/>
        <v>0.23253197314630761</v>
      </c>
      <c r="M164" s="17">
        <f t="shared" si="12"/>
        <v>407.83613583910318</v>
      </c>
    </row>
    <row r="165" spans="1:13" x14ac:dyDescent="0.3">
      <c r="A165" s="8" t="s">
        <v>203</v>
      </c>
      <c r="B165" s="9" t="s">
        <v>493</v>
      </c>
      <c r="C165" s="9" t="s">
        <v>120</v>
      </c>
      <c r="D165" s="9" t="s">
        <v>135</v>
      </c>
      <c r="E165" s="9" t="s">
        <v>627</v>
      </c>
      <c r="F165" s="9" t="s">
        <v>617</v>
      </c>
      <c r="G165" s="9" t="s">
        <v>622</v>
      </c>
      <c r="H165" s="10">
        <v>17002703</v>
      </c>
      <c r="I165" s="10">
        <v>23397192</v>
      </c>
      <c r="J165" s="10">
        <v>16811802</v>
      </c>
      <c r="K165" s="10">
        <f t="shared" si="10"/>
        <v>20846634.48</v>
      </c>
      <c r="L165" s="17">
        <f t="shared" si="11"/>
        <v>0.89098873403269929</v>
      </c>
      <c r="M165" s="17">
        <f t="shared" si="12"/>
        <v>0.22607767012103902</v>
      </c>
    </row>
    <row r="166" spans="1:13" x14ac:dyDescent="0.3">
      <c r="A166" s="8" t="s">
        <v>204</v>
      </c>
      <c r="B166" s="9" t="s">
        <v>494</v>
      </c>
      <c r="C166" s="9" t="s">
        <v>16</v>
      </c>
      <c r="D166" s="9" t="s">
        <v>38</v>
      </c>
      <c r="E166" s="9" t="s">
        <v>616</v>
      </c>
      <c r="F166" s="9" t="s">
        <v>617</v>
      </c>
      <c r="G166" s="9" t="s">
        <v>621</v>
      </c>
      <c r="H166" s="10">
        <v>2000000</v>
      </c>
      <c r="I166" s="10">
        <v>19000800</v>
      </c>
      <c r="J166" s="10">
        <v>2000000</v>
      </c>
      <c r="K166" s="10">
        <f t="shared" si="10"/>
        <v>2480000</v>
      </c>
      <c r="L166" s="17">
        <f t="shared" si="11"/>
        <v>0.13052082017599259</v>
      </c>
      <c r="M166" s="17">
        <f t="shared" si="12"/>
        <v>0.24</v>
      </c>
    </row>
    <row r="167" spans="1:13" x14ac:dyDescent="0.3">
      <c r="A167" s="8" t="s">
        <v>205</v>
      </c>
      <c r="B167" s="9" t="s">
        <v>495</v>
      </c>
      <c r="C167" s="9" t="s">
        <v>118</v>
      </c>
      <c r="D167" s="9" t="s">
        <v>132</v>
      </c>
      <c r="E167" s="9" t="s">
        <v>628</v>
      </c>
      <c r="F167" s="9" t="s">
        <v>617</v>
      </c>
      <c r="G167" s="9" t="s">
        <v>619</v>
      </c>
      <c r="H167" s="10">
        <v>126321442</v>
      </c>
      <c r="I167" s="10">
        <v>298116000</v>
      </c>
      <c r="J167" s="10">
        <v>208410000</v>
      </c>
      <c r="K167" s="10">
        <f t="shared" si="10"/>
        <v>258428400</v>
      </c>
      <c r="L167" s="17">
        <f t="shared" si="11"/>
        <v>0.86687195588294486</v>
      </c>
      <c r="M167" s="17">
        <f t="shared" si="12"/>
        <v>1.0457999521569743</v>
      </c>
    </row>
    <row r="168" spans="1:13" x14ac:dyDescent="0.3">
      <c r="A168" s="8" t="s">
        <v>206</v>
      </c>
      <c r="B168" s="9" t="s">
        <v>496</v>
      </c>
      <c r="C168" s="9" t="s">
        <v>118</v>
      </c>
      <c r="D168" s="9" t="s">
        <v>132</v>
      </c>
      <c r="E168" s="9" t="s">
        <v>628</v>
      </c>
      <c r="F168" s="9" t="s">
        <v>617</v>
      </c>
      <c r="G168" s="9" t="s">
        <v>619</v>
      </c>
      <c r="H168" s="10">
        <v>235888650</v>
      </c>
      <c r="I168" s="10">
        <v>431676336</v>
      </c>
      <c r="J168" s="10">
        <v>320391081</v>
      </c>
      <c r="K168" s="10">
        <f t="shared" si="10"/>
        <v>397284940.44</v>
      </c>
      <c r="L168" s="17">
        <f t="shared" si="11"/>
        <v>0.92033059796912287</v>
      </c>
      <c r="M168" s="17">
        <f t="shared" si="12"/>
        <v>0.68420540979822475</v>
      </c>
    </row>
    <row r="169" spans="1:13" x14ac:dyDescent="0.3">
      <c r="A169" s="8" t="s">
        <v>207</v>
      </c>
      <c r="B169" s="9" t="s">
        <v>497</v>
      </c>
      <c r="C169" s="9" t="s">
        <v>118</v>
      </c>
      <c r="D169" s="9" t="s">
        <v>130</v>
      </c>
      <c r="E169" s="9" t="s">
        <v>628</v>
      </c>
      <c r="F169" s="9" t="s">
        <v>617</v>
      </c>
      <c r="G169" s="9" t="s">
        <v>620</v>
      </c>
      <c r="H169" s="10">
        <v>152940000</v>
      </c>
      <c r="I169" s="10">
        <v>288460536</v>
      </c>
      <c r="J169" s="10">
        <v>139700000</v>
      </c>
      <c r="K169" s="10">
        <f t="shared" si="10"/>
        <v>173228000</v>
      </c>
      <c r="L169" s="17">
        <f t="shared" si="11"/>
        <v>0.60052582028066392</v>
      </c>
      <c r="M169" s="17">
        <f t="shared" si="12"/>
        <v>0.13265332810252387</v>
      </c>
    </row>
    <row r="170" spans="1:13" x14ac:dyDescent="0.3">
      <c r="A170" s="8" t="s">
        <v>208</v>
      </c>
      <c r="B170" s="9" t="s">
        <v>498</v>
      </c>
      <c r="C170" s="9" t="s">
        <v>118</v>
      </c>
      <c r="D170" s="9" t="s">
        <v>130</v>
      </c>
      <c r="E170" s="9" t="s">
        <v>628</v>
      </c>
      <c r="F170" s="9" t="s">
        <v>617</v>
      </c>
      <c r="G170" s="9" t="s">
        <v>620</v>
      </c>
      <c r="H170" s="10">
        <v>31450000</v>
      </c>
      <c r="I170" s="10">
        <v>69178200</v>
      </c>
      <c r="J170" s="10">
        <v>31100000</v>
      </c>
      <c r="K170" s="10">
        <f t="shared" si="10"/>
        <v>38564000</v>
      </c>
      <c r="L170" s="17">
        <f t="shared" si="11"/>
        <v>0.55745885264433015</v>
      </c>
      <c r="M170" s="17">
        <f t="shared" si="12"/>
        <v>0.22620031796502385</v>
      </c>
    </row>
    <row r="171" spans="1:13" x14ac:dyDescent="0.3">
      <c r="A171" s="8" t="s">
        <v>209</v>
      </c>
      <c r="B171" s="9" t="s">
        <v>499</v>
      </c>
      <c r="C171" s="9" t="s">
        <v>118</v>
      </c>
      <c r="D171" s="9" t="s">
        <v>130</v>
      </c>
      <c r="E171" s="9" t="s">
        <v>628</v>
      </c>
      <c r="F171" s="9" t="s">
        <v>617</v>
      </c>
      <c r="G171" s="9" t="s">
        <v>620</v>
      </c>
      <c r="H171" s="10">
        <v>293499550</v>
      </c>
      <c r="I171" s="10">
        <v>406933800</v>
      </c>
      <c r="J171" s="10">
        <v>325850000</v>
      </c>
      <c r="K171" s="10">
        <f t="shared" si="10"/>
        <v>404054000</v>
      </c>
      <c r="L171" s="17">
        <f t="shared" si="11"/>
        <v>0.99292317325324164</v>
      </c>
      <c r="M171" s="17">
        <f t="shared" si="12"/>
        <v>0.37667672744302333</v>
      </c>
    </row>
    <row r="172" spans="1:13" x14ac:dyDescent="0.3">
      <c r="A172" s="8" t="s">
        <v>210</v>
      </c>
      <c r="B172" s="9" t="s">
        <v>500</v>
      </c>
      <c r="C172" s="9" t="s">
        <v>118</v>
      </c>
      <c r="D172" s="9" t="s">
        <v>133</v>
      </c>
      <c r="E172" s="9" t="s">
        <v>628</v>
      </c>
      <c r="F172" s="9" t="s">
        <v>617</v>
      </c>
      <c r="G172" s="9" t="s">
        <v>622</v>
      </c>
      <c r="H172" s="10">
        <v>10300000</v>
      </c>
      <c r="I172" s="10">
        <v>19579560</v>
      </c>
      <c r="J172" s="10">
        <v>16150000</v>
      </c>
      <c r="K172" s="10">
        <f t="shared" si="10"/>
        <v>20026000</v>
      </c>
      <c r="L172" s="17">
        <f t="shared" si="11"/>
        <v>1.0228013295497957</v>
      </c>
      <c r="M172" s="17">
        <f t="shared" si="12"/>
        <v>0.9442718446601942</v>
      </c>
    </row>
    <row r="173" spans="1:13" x14ac:dyDescent="0.3">
      <c r="A173" s="8" t="s">
        <v>211</v>
      </c>
      <c r="B173" s="9" t="s">
        <v>501</v>
      </c>
      <c r="C173" s="9" t="s">
        <v>118</v>
      </c>
      <c r="D173" s="9" t="s">
        <v>133</v>
      </c>
      <c r="E173" s="9" t="s">
        <v>628</v>
      </c>
      <c r="F173" s="9" t="s">
        <v>617</v>
      </c>
      <c r="G173" s="9" t="s">
        <v>621</v>
      </c>
      <c r="H173" s="10">
        <v>3000000</v>
      </c>
      <c r="I173" s="10">
        <v>24297000</v>
      </c>
      <c r="J173" s="10">
        <v>2000000</v>
      </c>
      <c r="K173" s="10">
        <f t="shared" si="10"/>
        <v>2480000</v>
      </c>
      <c r="L173" s="17">
        <f t="shared" si="11"/>
        <v>0.10207021442976499</v>
      </c>
      <c r="M173" s="17">
        <f t="shared" si="12"/>
        <v>-0.17333333333333334</v>
      </c>
    </row>
    <row r="174" spans="1:13" x14ac:dyDescent="0.3">
      <c r="A174" s="8" t="s">
        <v>212</v>
      </c>
      <c r="B174" s="9" t="s">
        <v>502</v>
      </c>
      <c r="C174" s="9" t="s">
        <v>118</v>
      </c>
      <c r="D174" s="9" t="s">
        <v>133</v>
      </c>
      <c r="E174" s="9" t="s">
        <v>628</v>
      </c>
      <c r="F174" s="9" t="s">
        <v>617</v>
      </c>
      <c r="G174" s="9" t="s">
        <v>621</v>
      </c>
      <c r="H174" s="10">
        <v>135821532</v>
      </c>
      <c r="I174" s="10">
        <v>262844400</v>
      </c>
      <c r="J174" s="10">
        <v>200870000</v>
      </c>
      <c r="K174" s="10">
        <f t="shared" si="10"/>
        <v>249078800</v>
      </c>
      <c r="L174" s="17">
        <f t="shared" si="11"/>
        <v>0.94762833067776986</v>
      </c>
      <c r="M174" s="17">
        <f t="shared" si="12"/>
        <v>0.83386828533196045</v>
      </c>
    </row>
    <row r="175" spans="1:13" x14ac:dyDescent="0.3">
      <c r="A175" s="8" t="s">
        <v>213</v>
      </c>
      <c r="B175" s="9" t="s">
        <v>503</v>
      </c>
      <c r="C175" s="9" t="s">
        <v>118</v>
      </c>
      <c r="D175" s="9" t="s">
        <v>132</v>
      </c>
      <c r="E175" s="9" t="s">
        <v>628</v>
      </c>
      <c r="F175" s="9" t="s">
        <v>617</v>
      </c>
      <c r="G175" s="9" t="s">
        <v>620</v>
      </c>
      <c r="H175" s="10">
        <v>26050000</v>
      </c>
      <c r="I175" s="10">
        <v>79344720</v>
      </c>
      <c r="J175" s="10">
        <v>33600000</v>
      </c>
      <c r="K175" s="10">
        <f t="shared" si="10"/>
        <v>41664000</v>
      </c>
      <c r="L175" s="17">
        <f t="shared" si="11"/>
        <v>0.52510110313578517</v>
      </c>
      <c r="M175" s="17">
        <f t="shared" si="12"/>
        <v>0.5993857965451056</v>
      </c>
    </row>
    <row r="176" spans="1:13" x14ac:dyDescent="0.3">
      <c r="A176" s="8" t="s">
        <v>214</v>
      </c>
      <c r="B176" s="9" t="s">
        <v>504</v>
      </c>
      <c r="C176" s="9" t="s">
        <v>118</v>
      </c>
      <c r="D176" s="9" t="s">
        <v>134</v>
      </c>
      <c r="E176" s="9" t="s">
        <v>628</v>
      </c>
      <c r="F176" s="9" t="s">
        <v>617</v>
      </c>
      <c r="G176" s="9" t="s">
        <v>623</v>
      </c>
      <c r="H176" s="10">
        <v>5100000</v>
      </c>
      <c r="I176" s="10">
        <v>23259600</v>
      </c>
      <c r="J176" s="10">
        <v>4000000</v>
      </c>
      <c r="K176" s="10">
        <f t="shared" si="10"/>
        <v>4960000</v>
      </c>
      <c r="L176" s="17">
        <f t="shared" si="11"/>
        <v>0.21324528366781889</v>
      </c>
      <c r="M176" s="17">
        <f t="shared" si="12"/>
        <v>-2.7450980392156862E-2</v>
      </c>
    </row>
    <row r="177" spans="1:13" x14ac:dyDescent="0.3">
      <c r="A177" s="8" t="s">
        <v>215</v>
      </c>
      <c r="B177" s="9" t="s">
        <v>505</v>
      </c>
      <c r="C177" s="9" t="s">
        <v>118</v>
      </c>
      <c r="D177" s="9" t="s">
        <v>132</v>
      </c>
      <c r="E177" s="9" t="s">
        <v>628</v>
      </c>
      <c r="F177" s="9" t="s">
        <v>617</v>
      </c>
      <c r="G177" s="9" t="s">
        <v>619</v>
      </c>
      <c r="H177" s="10">
        <v>20760000</v>
      </c>
      <c r="I177" s="10">
        <v>36013068</v>
      </c>
      <c r="J177" s="10">
        <v>35980000</v>
      </c>
      <c r="K177" s="10">
        <f t="shared" si="10"/>
        <v>44615200</v>
      </c>
      <c r="L177" s="17">
        <f t="shared" si="11"/>
        <v>1.2388614044213062</v>
      </c>
      <c r="M177" s="17">
        <f t="shared" si="12"/>
        <v>1.1490944123314066</v>
      </c>
    </row>
    <row r="178" spans="1:13" x14ac:dyDescent="0.3">
      <c r="A178" s="8" t="s">
        <v>216</v>
      </c>
      <c r="B178" s="9" t="s">
        <v>506</v>
      </c>
      <c r="C178" s="9" t="s">
        <v>118</v>
      </c>
      <c r="D178" s="9" t="s">
        <v>133</v>
      </c>
      <c r="E178" s="9" t="s">
        <v>628</v>
      </c>
      <c r="F178" s="9" t="s">
        <v>617</v>
      </c>
      <c r="G178" s="9" t="s">
        <v>618</v>
      </c>
      <c r="H178" s="10">
        <v>49400000</v>
      </c>
      <c r="I178" s="10">
        <v>130930800</v>
      </c>
      <c r="J178" s="10">
        <v>60360000</v>
      </c>
      <c r="K178" s="10">
        <f t="shared" si="10"/>
        <v>74846400</v>
      </c>
      <c r="L178" s="17">
        <f t="shared" si="11"/>
        <v>0.5716485349512872</v>
      </c>
      <c r="M178" s="17">
        <f t="shared" si="12"/>
        <v>0.5151093117408907</v>
      </c>
    </row>
    <row r="179" spans="1:13" x14ac:dyDescent="0.3">
      <c r="A179" s="8" t="s">
        <v>217</v>
      </c>
      <c r="B179" s="9" t="s">
        <v>507</v>
      </c>
      <c r="C179" s="9" t="s">
        <v>118</v>
      </c>
      <c r="D179" s="9" t="s">
        <v>134</v>
      </c>
      <c r="E179" s="9" t="s">
        <v>628</v>
      </c>
      <c r="F179" s="9" t="s">
        <v>617</v>
      </c>
      <c r="G179" s="9" t="s">
        <v>621</v>
      </c>
      <c r="H179" s="10">
        <v>19000000</v>
      </c>
      <c r="I179" s="10">
        <v>45208800</v>
      </c>
      <c r="J179" s="10">
        <v>8900000</v>
      </c>
      <c r="K179" s="10">
        <f t="shared" si="10"/>
        <v>11036000</v>
      </c>
      <c r="L179" s="17">
        <f t="shared" si="11"/>
        <v>0.24411176585089628</v>
      </c>
      <c r="M179" s="17">
        <f t="shared" si="12"/>
        <v>-0.41915789473684212</v>
      </c>
    </row>
    <row r="180" spans="1:13" x14ac:dyDescent="0.3">
      <c r="A180" s="8" t="s">
        <v>218</v>
      </c>
      <c r="B180" s="9" t="s">
        <v>508</v>
      </c>
      <c r="C180" s="9" t="s">
        <v>118</v>
      </c>
      <c r="D180" s="9" t="s">
        <v>134</v>
      </c>
      <c r="E180" s="9" t="s">
        <v>628</v>
      </c>
      <c r="F180" s="9" t="s">
        <v>617</v>
      </c>
      <c r="G180" s="9" t="s">
        <v>622</v>
      </c>
      <c r="H180" s="10">
        <v>34950000</v>
      </c>
      <c r="I180" s="10">
        <v>92654016</v>
      </c>
      <c r="J180" s="10">
        <v>55850000</v>
      </c>
      <c r="K180" s="10">
        <f t="shared" si="10"/>
        <v>69254000</v>
      </c>
      <c r="L180" s="17">
        <f t="shared" si="11"/>
        <v>0.74744736374945686</v>
      </c>
      <c r="M180" s="17">
        <f t="shared" si="12"/>
        <v>0.98151645207439198</v>
      </c>
    </row>
    <row r="181" spans="1:13" x14ac:dyDescent="0.3">
      <c r="A181" s="8" t="s">
        <v>219</v>
      </c>
      <c r="B181" s="9" t="s">
        <v>509</v>
      </c>
      <c r="C181" s="9" t="s">
        <v>118</v>
      </c>
      <c r="D181" s="9" t="s">
        <v>132</v>
      </c>
      <c r="E181" s="9" t="s">
        <v>628</v>
      </c>
      <c r="F181" s="9" t="s">
        <v>617</v>
      </c>
      <c r="G181" s="9" t="s">
        <v>620</v>
      </c>
      <c r="H181" s="10">
        <v>5859099</v>
      </c>
      <c r="I181" s="10">
        <v>28501200</v>
      </c>
      <c r="J181" s="10">
        <v>3500000</v>
      </c>
      <c r="K181" s="10">
        <f t="shared" si="10"/>
        <v>4340000</v>
      </c>
      <c r="L181" s="17">
        <f t="shared" si="11"/>
        <v>0.15227429020532468</v>
      </c>
      <c r="M181" s="17">
        <f t="shared" si="12"/>
        <v>-0.25927177540437529</v>
      </c>
    </row>
    <row r="182" spans="1:13" x14ac:dyDescent="0.3">
      <c r="A182" s="8" t="s">
        <v>220</v>
      </c>
      <c r="B182" s="9" t="s">
        <v>510</v>
      </c>
      <c r="C182" s="9" t="s">
        <v>120</v>
      </c>
      <c r="D182" s="9" t="s">
        <v>129</v>
      </c>
      <c r="E182" s="9" t="s">
        <v>628</v>
      </c>
      <c r="F182" s="9" t="s">
        <v>617</v>
      </c>
      <c r="G182" s="9" t="s">
        <v>621</v>
      </c>
      <c r="H182" s="10">
        <v>6550000</v>
      </c>
      <c r="I182" s="10">
        <v>44062200</v>
      </c>
      <c r="J182" s="10">
        <v>7500000</v>
      </c>
      <c r="K182" s="10">
        <f t="shared" si="10"/>
        <v>9300000</v>
      </c>
      <c r="L182" s="17">
        <f t="shared" si="11"/>
        <v>0.21106526682734861</v>
      </c>
      <c r="M182" s="17">
        <f t="shared" si="12"/>
        <v>0.41984732824427479</v>
      </c>
    </row>
    <row r="183" spans="1:13" x14ac:dyDescent="0.3">
      <c r="A183" s="8" t="s">
        <v>221</v>
      </c>
      <c r="B183" s="9" t="s">
        <v>511</v>
      </c>
      <c r="C183" s="9" t="s">
        <v>118</v>
      </c>
      <c r="D183" s="9" t="s">
        <v>134</v>
      </c>
      <c r="E183" s="9" t="s">
        <v>628</v>
      </c>
      <c r="F183" s="9" t="s">
        <v>617</v>
      </c>
      <c r="G183" s="9" t="s">
        <v>623</v>
      </c>
      <c r="H183" s="10">
        <v>3300000</v>
      </c>
      <c r="I183" s="10">
        <v>8681400</v>
      </c>
      <c r="J183" s="10">
        <v>1100000</v>
      </c>
      <c r="K183" s="10">
        <f t="shared" si="10"/>
        <v>1364000</v>
      </c>
      <c r="L183" s="17">
        <f t="shared" si="11"/>
        <v>0.15711751560808165</v>
      </c>
      <c r="M183" s="17">
        <f t="shared" si="12"/>
        <v>-0.58666666666666667</v>
      </c>
    </row>
    <row r="184" spans="1:13" x14ac:dyDescent="0.3">
      <c r="A184" s="8" t="s">
        <v>222</v>
      </c>
      <c r="B184" s="9" t="s">
        <v>512</v>
      </c>
      <c r="C184" s="9" t="s">
        <v>118</v>
      </c>
      <c r="D184" s="9" t="s">
        <v>134</v>
      </c>
      <c r="E184" s="9" t="s">
        <v>628</v>
      </c>
      <c r="F184" s="9" t="s">
        <v>617</v>
      </c>
      <c r="G184" s="9" t="s">
        <v>622</v>
      </c>
      <c r="H184" s="10">
        <v>131728649</v>
      </c>
      <c r="I184" s="10">
        <v>194909988</v>
      </c>
      <c r="J184" s="10">
        <v>127630000</v>
      </c>
      <c r="K184" s="10">
        <f t="shared" si="10"/>
        <v>158261200</v>
      </c>
      <c r="L184" s="17">
        <f t="shared" si="11"/>
        <v>0.81197070311245412</v>
      </c>
      <c r="M184" s="17">
        <f t="shared" si="12"/>
        <v>0.20141822755655833</v>
      </c>
    </row>
    <row r="185" spans="1:13" x14ac:dyDescent="0.3">
      <c r="A185" s="8" t="s">
        <v>223</v>
      </c>
      <c r="B185" s="9" t="s">
        <v>513</v>
      </c>
      <c r="C185" s="9" t="s">
        <v>118</v>
      </c>
      <c r="D185" s="9" t="s">
        <v>130</v>
      </c>
      <c r="E185" s="9" t="s">
        <v>628</v>
      </c>
      <c r="F185" s="9" t="s">
        <v>617</v>
      </c>
      <c r="G185" s="9" t="s">
        <v>620</v>
      </c>
      <c r="H185" s="10">
        <v>9500000</v>
      </c>
      <c r="I185" s="10">
        <v>24679200</v>
      </c>
      <c r="J185" s="10">
        <v>14000000</v>
      </c>
      <c r="K185" s="10">
        <f t="shared" si="10"/>
        <v>17360000</v>
      </c>
      <c r="L185" s="17">
        <f t="shared" si="11"/>
        <v>0.7034263671431813</v>
      </c>
      <c r="M185" s="17">
        <f t="shared" si="12"/>
        <v>0.82736842105263153</v>
      </c>
    </row>
    <row r="186" spans="1:13" x14ac:dyDescent="0.3">
      <c r="A186" s="8" t="s">
        <v>224</v>
      </c>
      <c r="B186" s="9" t="s">
        <v>514</v>
      </c>
      <c r="C186" s="9" t="s">
        <v>118</v>
      </c>
      <c r="D186" s="9" t="s">
        <v>134</v>
      </c>
      <c r="E186" s="9" t="s">
        <v>628</v>
      </c>
      <c r="F186" s="9" t="s">
        <v>617</v>
      </c>
      <c r="G186" s="9" t="s">
        <v>618</v>
      </c>
      <c r="H186" s="10">
        <v>5850000</v>
      </c>
      <c r="I186" s="10">
        <v>37783200</v>
      </c>
      <c r="J186" s="10">
        <v>9500000</v>
      </c>
      <c r="K186" s="10">
        <f t="shared" si="10"/>
        <v>11780000</v>
      </c>
      <c r="L186" s="17">
        <f t="shared" si="11"/>
        <v>0.31177877998687248</v>
      </c>
      <c r="M186" s="17">
        <f t="shared" si="12"/>
        <v>1.0136752136752136</v>
      </c>
    </row>
    <row r="187" spans="1:13" x14ac:dyDescent="0.3">
      <c r="A187" s="8" t="s">
        <v>225</v>
      </c>
      <c r="B187" s="9" t="s">
        <v>515</v>
      </c>
      <c r="C187" s="9" t="s">
        <v>118</v>
      </c>
      <c r="D187" s="9" t="s">
        <v>134</v>
      </c>
      <c r="E187" s="9" t="s">
        <v>628</v>
      </c>
      <c r="F187" s="9" t="s">
        <v>617</v>
      </c>
      <c r="G187" s="9" t="s">
        <v>618</v>
      </c>
      <c r="H187" s="10">
        <v>5350000</v>
      </c>
      <c r="I187" s="10">
        <v>33906600</v>
      </c>
      <c r="J187" s="10">
        <v>3000000</v>
      </c>
      <c r="K187" s="10">
        <f t="shared" si="10"/>
        <v>3720000</v>
      </c>
      <c r="L187" s="17">
        <f t="shared" si="11"/>
        <v>0.10971315319141406</v>
      </c>
      <c r="M187" s="17">
        <f t="shared" si="12"/>
        <v>-0.30467289719626167</v>
      </c>
    </row>
    <row r="188" spans="1:13" x14ac:dyDescent="0.3">
      <c r="A188" s="8" t="s">
        <v>226</v>
      </c>
      <c r="B188" s="9" t="s">
        <v>516</v>
      </c>
      <c r="C188" s="9" t="s">
        <v>118</v>
      </c>
      <c r="D188" s="9" t="s">
        <v>133</v>
      </c>
      <c r="E188" s="9" t="s">
        <v>628</v>
      </c>
      <c r="F188" s="9" t="s">
        <v>617</v>
      </c>
      <c r="G188" s="9" t="s">
        <v>621</v>
      </c>
      <c r="H188" s="10">
        <v>28750000</v>
      </c>
      <c r="I188" s="10">
        <v>45481800</v>
      </c>
      <c r="J188" s="10">
        <v>45905675</v>
      </c>
      <c r="K188" s="10">
        <f t="shared" si="10"/>
        <v>56923037</v>
      </c>
      <c r="L188" s="17">
        <f t="shared" si="11"/>
        <v>1.2515563807940759</v>
      </c>
      <c r="M188" s="17">
        <f t="shared" si="12"/>
        <v>0.97993172173913046</v>
      </c>
    </row>
    <row r="189" spans="1:13" x14ac:dyDescent="0.3">
      <c r="A189" s="8" t="s">
        <v>227</v>
      </c>
      <c r="B189" s="9" t="s">
        <v>517</v>
      </c>
      <c r="C189" s="9" t="s">
        <v>118</v>
      </c>
      <c r="D189" s="9" t="s">
        <v>130</v>
      </c>
      <c r="E189" s="9" t="s">
        <v>628</v>
      </c>
      <c r="F189" s="9" t="s">
        <v>617</v>
      </c>
      <c r="G189" s="9" t="s">
        <v>620</v>
      </c>
      <c r="H189" s="10">
        <v>29050000</v>
      </c>
      <c r="I189" s="10">
        <v>38820600</v>
      </c>
      <c r="J189" s="10">
        <v>22300000</v>
      </c>
      <c r="K189" s="10">
        <f t="shared" si="10"/>
        <v>27652000</v>
      </c>
      <c r="L189" s="17">
        <f t="shared" si="11"/>
        <v>0.71230223128957304</v>
      </c>
      <c r="M189" s="17">
        <f t="shared" si="12"/>
        <v>-4.812392426850258E-2</v>
      </c>
    </row>
    <row r="190" spans="1:13" x14ac:dyDescent="0.3">
      <c r="A190" s="8" t="s">
        <v>228</v>
      </c>
      <c r="B190" s="9" t="s">
        <v>518</v>
      </c>
      <c r="C190" s="9" t="s">
        <v>118</v>
      </c>
      <c r="D190" s="9" t="s">
        <v>130</v>
      </c>
      <c r="E190" s="9" t="s">
        <v>628</v>
      </c>
      <c r="F190" s="9" t="s">
        <v>617</v>
      </c>
      <c r="G190" s="9" t="s">
        <v>620</v>
      </c>
      <c r="H190" s="10">
        <v>3000000</v>
      </c>
      <c r="I190" s="10">
        <v>5460000</v>
      </c>
      <c r="J190" s="10">
        <v>2000000</v>
      </c>
      <c r="K190" s="10">
        <f t="shared" si="10"/>
        <v>2480000</v>
      </c>
      <c r="L190" s="17">
        <f t="shared" si="11"/>
        <v>0.45421245421245421</v>
      </c>
      <c r="M190" s="17">
        <f t="shared" si="12"/>
        <v>-0.17333333333333334</v>
      </c>
    </row>
    <row r="191" spans="1:13" x14ac:dyDescent="0.3">
      <c r="A191" s="8" t="s">
        <v>20</v>
      </c>
      <c r="B191" s="9" t="s">
        <v>336</v>
      </c>
      <c r="C191" s="9" t="s">
        <v>14</v>
      </c>
      <c r="D191" s="9" t="s">
        <v>28</v>
      </c>
      <c r="E191" s="9" t="s">
        <v>616</v>
      </c>
      <c r="F191" s="9" t="s">
        <v>617</v>
      </c>
      <c r="G191" s="9" t="s">
        <v>620</v>
      </c>
      <c r="H191" s="10">
        <v>5500000</v>
      </c>
      <c r="I191" s="10">
        <v>13104000</v>
      </c>
      <c r="J191" s="10">
        <v>5400000</v>
      </c>
      <c r="K191" s="10">
        <f t="shared" si="10"/>
        <v>6696000</v>
      </c>
      <c r="L191" s="17">
        <f t="shared" si="11"/>
        <v>0.51098901098901095</v>
      </c>
      <c r="M191" s="17">
        <f t="shared" si="12"/>
        <v>0.21745454545454546</v>
      </c>
    </row>
    <row r="192" spans="1:13" x14ac:dyDescent="0.3">
      <c r="A192" s="8" t="s">
        <v>229</v>
      </c>
      <c r="B192" s="9" t="s">
        <v>519</v>
      </c>
      <c r="C192" s="9" t="s">
        <v>120</v>
      </c>
      <c r="D192" s="9" t="s">
        <v>139</v>
      </c>
      <c r="E192" s="9" t="s">
        <v>625</v>
      </c>
      <c r="F192" s="9" t="s">
        <v>617</v>
      </c>
      <c r="G192" s="9" t="s">
        <v>619</v>
      </c>
      <c r="H192" s="10">
        <v>7560000</v>
      </c>
      <c r="I192" s="10">
        <v>20748000</v>
      </c>
      <c r="J192" s="10">
        <v>13860000</v>
      </c>
      <c r="K192" s="10">
        <f t="shared" si="10"/>
        <v>17186400</v>
      </c>
      <c r="L192" s="17">
        <f t="shared" si="11"/>
        <v>0.8283400809716599</v>
      </c>
      <c r="M192" s="17">
        <f t="shared" si="12"/>
        <v>1.2733333333333334</v>
      </c>
    </row>
    <row r="193" spans="1:22" x14ac:dyDescent="0.3">
      <c r="A193" s="8" t="s">
        <v>230</v>
      </c>
      <c r="B193" s="9" t="s">
        <v>520</v>
      </c>
      <c r="C193" s="9" t="s">
        <v>120</v>
      </c>
      <c r="D193" s="9" t="s">
        <v>139</v>
      </c>
      <c r="E193" s="9" t="s">
        <v>629</v>
      </c>
      <c r="F193" s="9" t="s">
        <v>617</v>
      </c>
      <c r="G193" s="9" t="s">
        <v>622</v>
      </c>
      <c r="H193" s="10">
        <v>211802</v>
      </c>
      <c r="I193" s="10">
        <v>1092000</v>
      </c>
      <c r="J193" s="10">
        <v>1000000</v>
      </c>
      <c r="K193" s="10">
        <f t="shared" si="10"/>
        <v>1240000</v>
      </c>
      <c r="L193" s="17">
        <f t="shared" si="11"/>
        <v>1.1355311355311355</v>
      </c>
      <c r="M193" s="17">
        <f t="shared" si="12"/>
        <v>4.8545245087392939</v>
      </c>
    </row>
    <row r="194" spans="1:22" x14ac:dyDescent="0.3">
      <c r="A194" s="8" t="s">
        <v>231</v>
      </c>
      <c r="B194" s="9" t="s">
        <v>521</v>
      </c>
      <c r="C194" s="9" t="s">
        <v>14</v>
      </c>
      <c r="D194" s="9" t="s">
        <v>24</v>
      </c>
      <c r="E194" s="9" t="s">
        <v>616</v>
      </c>
      <c r="F194" s="9" t="s">
        <v>617</v>
      </c>
      <c r="G194" s="9" t="s">
        <v>619</v>
      </c>
      <c r="H194" s="10">
        <v>9918198</v>
      </c>
      <c r="I194" s="10">
        <v>6090084</v>
      </c>
      <c r="J194" s="10">
        <v>6600450</v>
      </c>
      <c r="K194" s="10">
        <f t="shared" si="10"/>
        <v>8184558</v>
      </c>
      <c r="L194" s="17">
        <f t="shared" si="11"/>
        <v>1.343915453382909</v>
      </c>
      <c r="M194" s="17">
        <f t="shared" si="12"/>
        <v>-0.17479384864065026</v>
      </c>
    </row>
    <row r="195" spans="1:22" x14ac:dyDescent="0.3">
      <c r="A195" s="8" t="s">
        <v>232</v>
      </c>
      <c r="B195" s="9" t="s">
        <v>522</v>
      </c>
      <c r="C195" s="9" t="s">
        <v>118</v>
      </c>
      <c r="D195" s="9" t="s">
        <v>133</v>
      </c>
      <c r="E195" s="9" t="s">
        <v>628</v>
      </c>
      <c r="F195" s="9" t="s">
        <v>617</v>
      </c>
      <c r="G195" s="9" t="s">
        <v>622</v>
      </c>
      <c r="H195" s="10">
        <v>10261710</v>
      </c>
      <c r="I195" s="10">
        <v>16598400</v>
      </c>
      <c r="J195" s="10">
        <v>9243781</v>
      </c>
      <c r="K195" s="10">
        <f t="shared" si="10"/>
        <v>11462288.439999999</v>
      </c>
      <c r="L195" s="17">
        <f t="shared" si="11"/>
        <v>0.69056586417967991</v>
      </c>
      <c r="M195" s="17">
        <f t="shared" si="12"/>
        <v>0.11699594317126477</v>
      </c>
    </row>
    <row r="196" spans="1:22" x14ac:dyDescent="0.3">
      <c r="A196" s="8" t="s">
        <v>233</v>
      </c>
      <c r="B196" s="9" t="s">
        <v>523</v>
      </c>
      <c r="C196" s="9" t="s">
        <v>14</v>
      </c>
      <c r="D196" s="9" t="s">
        <v>30</v>
      </c>
      <c r="E196" s="9" t="s">
        <v>616</v>
      </c>
      <c r="F196" s="9" t="s">
        <v>617</v>
      </c>
      <c r="G196" s="9" t="s">
        <v>620</v>
      </c>
      <c r="H196" s="10">
        <v>550000</v>
      </c>
      <c r="I196" s="10">
        <v>1092000</v>
      </c>
      <c r="J196" s="10">
        <v>1000000</v>
      </c>
      <c r="K196" s="10">
        <f t="shared" si="10"/>
        <v>1240000</v>
      </c>
      <c r="L196" s="17">
        <f t="shared" si="11"/>
        <v>1.1355311355311355</v>
      </c>
      <c r="M196" s="17">
        <f t="shared" si="12"/>
        <v>1.2545454545454546</v>
      </c>
    </row>
    <row r="197" spans="1:22" x14ac:dyDescent="0.3">
      <c r="A197" s="8" t="s">
        <v>234</v>
      </c>
      <c r="B197" s="9" t="s">
        <v>524</v>
      </c>
      <c r="C197" s="9" t="s">
        <v>120</v>
      </c>
      <c r="D197" s="9" t="s">
        <v>137</v>
      </c>
      <c r="E197" s="9" t="s">
        <v>627</v>
      </c>
      <c r="F197" s="9" t="s">
        <v>617</v>
      </c>
      <c r="G197" s="9" t="s">
        <v>620</v>
      </c>
      <c r="H197" s="10">
        <v>0</v>
      </c>
      <c r="I197" s="10">
        <v>1092000</v>
      </c>
      <c r="J197" s="10">
        <v>1000000</v>
      </c>
      <c r="K197" s="10">
        <f t="shared" ref="K197:K207" si="13">IFERROR(J197/$A$1*$B$1,0)</f>
        <v>1240000</v>
      </c>
      <c r="L197" s="17">
        <f t="shared" ref="L197:L208" si="14">IFERROR((K197/I197),0)</f>
        <v>1.1355311355311355</v>
      </c>
      <c r="M197" s="17">
        <f t="shared" ref="M197:M208" si="15">IFERROR((K197-H197)/H197,0)</f>
        <v>0</v>
      </c>
    </row>
    <row r="198" spans="1:22" x14ac:dyDescent="0.3">
      <c r="A198" s="8" t="s">
        <v>235</v>
      </c>
      <c r="B198" s="9" t="s">
        <v>525</v>
      </c>
      <c r="C198" s="9" t="s">
        <v>120</v>
      </c>
      <c r="D198" s="9" t="s">
        <v>139</v>
      </c>
      <c r="E198" s="9" t="s">
        <v>626</v>
      </c>
      <c r="F198" s="9" t="s">
        <v>617</v>
      </c>
      <c r="G198" s="9" t="s">
        <v>620</v>
      </c>
      <c r="H198" s="10">
        <v>0</v>
      </c>
      <c r="I198" s="10">
        <v>1092000</v>
      </c>
      <c r="J198" s="10">
        <v>0</v>
      </c>
      <c r="K198" s="10">
        <f t="shared" si="13"/>
        <v>0</v>
      </c>
      <c r="L198" s="17">
        <f t="shared" si="14"/>
        <v>0</v>
      </c>
      <c r="M198" s="17">
        <f t="shared" si="15"/>
        <v>0</v>
      </c>
    </row>
    <row r="199" spans="1:22" x14ac:dyDescent="0.3">
      <c r="A199" s="8" t="s">
        <v>236</v>
      </c>
      <c r="B199" s="9" t="s">
        <v>526</v>
      </c>
      <c r="C199" s="9" t="s">
        <v>118</v>
      </c>
      <c r="D199" s="9" t="s">
        <v>130</v>
      </c>
      <c r="E199" s="9" t="s">
        <v>628</v>
      </c>
      <c r="F199" s="9" t="s">
        <v>617</v>
      </c>
      <c r="G199" s="9" t="s">
        <v>620</v>
      </c>
      <c r="H199" s="10">
        <v>5750000</v>
      </c>
      <c r="I199" s="10">
        <v>1092000</v>
      </c>
      <c r="J199" s="10">
        <v>11200000</v>
      </c>
      <c r="K199" s="10">
        <f t="shared" si="13"/>
        <v>13888000</v>
      </c>
      <c r="L199" s="17">
        <f t="shared" si="14"/>
        <v>12.717948717948717</v>
      </c>
      <c r="M199" s="17">
        <f t="shared" si="15"/>
        <v>1.4153043478260869</v>
      </c>
    </row>
    <row r="200" spans="1:22" x14ac:dyDescent="0.3">
      <c r="A200" s="8" t="s">
        <v>237</v>
      </c>
      <c r="B200" s="9" t="s">
        <v>527</v>
      </c>
      <c r="C200" s="9" t="s">
        <v>120</v>
      </c>
      <c r="D200" s="9" t="s">
        <v>137</v>
      </c>
      <c r="E200" s="9" t="s">
        <v>627</v>
      </c>
      <c r="F200" s="9" t="s">
        <v>617</v>
      </c>
      <c r="G200" s="9" t="s">
        <v>620</v>
      </c>
      <c r="H200" s="10">
        <v>2000000</v>
      </c>
      <c r="I200" s="10">
        <v>1092000</v>
      </c>
      <c r="J200" s="10">
        <v>0</v>
      </c>
      <c r="K200" s="10">
        <f t="shared" si="13"/>
        <v>0</v>
      </c>
      <c r="L200" s="17">
        <f t="shared" si="14"/>
        <v>0</v>
      </c>
      <c r="M200" s="17">
        <f t="shared" si="15"/>
        <v>-1</v>
      </c>
    </row>
    <row r="201" spans="1:22" x14ac:dyDescent="0.3">
      <c r="A201" s="8" t="s">
        <v>238</v>
      </c>
      <c r="B201" s="9" t="s">
        <v>528</v>
      </c>
      <c r="C201" s="9" t="s">
        <v>120</v>
      </c>
      <c r="D201" s="9" t="s">
        <v>139</v>
      </c>
      <c r="E201" s="9" t="s">
        <v>625</v>
      </c>
      <c r="F201" s="9" t="s">
        <v>617</v>
      </c>
      <c r="G201" s="9" t="s">
        <v>620</v>
      </c>
      <c r="H201" s="10">
        <v>4900000</v>
      </c>
      <c r="I201" s="10">
        <v>1092000</v>
      </c>
      <c r="J201" s="10">
        <v>0</v>
      </c>
      <c r="K201" s="10">
        <f t="shared" si="13"/>
        <v>0</v>
      </c>
      <c r="L201" s="17">
        <f t="shared" si="14"/>
        <v>0</v>
      </c>
      <c r="M201" s="17">
        <f t="shared" si="15"/>
        <v>-1</v>
      </c>
    </row>
    <row r="202" spans="1:22" x14ac:dyDescent="0.3">
      <c r="A202" s="8" t="s">
        <v>239</v>
      </c>
      <c r="B202" s="9" t="s">
        <v>529</v>
      </c>
      <c r="C202" s="9" t="s">
        <v>120</v>
      </c>
      <c r="D202" s="9" t="s">
        <v>135</v>
      </c>
      <c r="E202" s="9" t="s">
        <v>627</v>
      </c>
      <c r="F202" s="9" t="s">
        <v>617</v>
      </c>
      <c r="G202" s="9" t="s">
        <v>621</v>
      </c>
      <c r="H202" s="10">
        <v>0</v>
      </c>
      <c r="I202" s="10">
        <v>1092000</v>
      </c>
      <c r="J202" s="10">
        <v>0</v>
      </c>
      <c r="K202" s="10">
        <f t="shared" si="13"/>
        <v>0</v>
      </c>
      <c r="L202" s="17">
        <f t="shared" si="14"/>
        <v>0</v>
      </c>
      <c r="M202" s="17">
        <f t="shared" si="15"/>
        <v>0</v>
      </c>
    </row>
    <row r="203" spans="1:22" x14ac:dyDescent="0.3">
      <c r="A203" s="8" t="s">
        <v>240</v>
      </c>
      <c r="B203" s="9" t="s">
        <v>530</v>
      </c>
      <c r="C203" s="9" t="s">
        <v>120</v>
      </c>
      <c r="D203" s="9" t="s">
        <v>139</v>
      </c>
      <c r="E203" s="9" t="s">
        <v>626</v>
      </c>
      <c r="F203" s="9" t="s">
        <v>617</v>
      </c>
      <c r="G203" s="9" t="s">
        <v>619</v>
      </c>
      <c r="H203" s="10">
        <v>0</v>
      </c>
      <c r="I203" s="10">
        <v>500000</v>
      </c>
      <c r="J203" s="10">
        <v>0</v>
      </c>
      <c r="K203" s="10">
        <f t="shared" si="13"/>
        <v>0</v>
      </c>
      <c r="L203" s="17">
        <f t="shared" si="14"/>
        <v>0</v>
      </c>
      <c r="M203" s="17">
        <f t="shared" si="15"/>
        <v>0</v>
      </c>
    </row>
    <row r="204" spans="1:22" x14ac:dyDescent="0.3">
      <c r="A204" s="8" t="s">
        <v>241</v>
      </c>
      <c r="B204" s="9" t="s">
        <v>531</v>
      </c>
      <c r="C204" s="9" t="s">
        <v>120</v>
      </c>
      <c r="D204" s="9" t="s">
        <v>139</v>
      </c>
      <c r="E204" s="9" t="s">
        <v>626</v>
      </c>
      <c r="F204" s="9" t="s">
        <v>617</v>
      </c>
      <c r="G204" s="9" t="s">
        <v>622</v>
      </c>
      <c r="H204" s="10">
        <v>1800000</v>
      </c>
      <c r="I204" s="10">
        <v>1000000</v>
      </c>
      <c r="J204" s="10">
        <v>550000</v>
      </c>
      <c r="K204" s="10">
        <f t="shared" si="13"/>
        <v>682000</v>
      </c>
      <c r="L204" s="17">
        <f t="shared" si="14"/>
        <v>0.68200000000000005</v>
      </c>
      <c r="M204" s="17">
        <f t="shared" si="15"/>
        <v>-0.62111111111111106</v>
      </c>
    </row>
    <row r="205" spans="1:22" x14ac:dyDescent="0.3">
      <c r="A205" s="8" t="s">
        <v>242</v>
      </c>
      <c r="B205" s="9" t="s">
        <v>532</v>
      </c>
      <c r="C205" s="9" t="s">
        <v>120</v>
      </c>
      <c r="D205" s="9" t="s">
        <v>137</v>
      </c>
      <c r="E205" s="9" t="s">
        <v>627</v>
      </c>
      <c r="F205" s="9" t="s">
        <v>617</v>
      </c>
      <c r="G205" s="9" t="s">
        <v>620</v>
      </c>
      <c r="H205" s="10">
        <v>1550000</v>
      </c>
      <c r="I205" s="10">
        <v>2500000</v>
      </c>
      <c r="J205" s="10">
        <v>1000000</v>
      </c>
      <c r="K205" s="10">
        <f t="shared" si="13"/>
        <v>1240000</v>
      </c>
      <c r="L205" s="17">
        <f t="shared" si="14"/>
        <v>0.496</v>
      </c>
      <c r="M205" s="17">
        <f t="shared" si="15"/>
        <v>-0.2</v>
      </c>
    </row>
    <row r="206" spans="1:22" x14ac:dyDescent="0.3">
      <c r="A206" s="8" t="s">
        <v>243</v>
      </c>
      <c r="B206" s="9" t="s">
        <v>533</v>
      </c>
      <c r="C206" s="9" t="s">
        <v>120</v>
      </c>
      <c r="D206" s="9" t="s">
        <v>137</v>
      </c>
      <c r="E206" s="9" t="s">
        <v>627</v>
      </c>
      <c r="F206" s="9" t="s">
        <v>617</v>
      </c>
      <c r="G206" s="9" t="s">
        <v>619</v>
      </c>
      <c r="H206" s="10">
        <v>3900000</v>
      </c>
      <c r="I206" s="10">
        <v>4000000</v>
      </c>
      <c r="J206" s="10">
        <v>9030000</v>
      </c>
      <c r="K206" s="10">
        <f t="shared" si="13"/>
        <v>11197200</v>
      </c>
      <c r="L206" s="17">
        <f t="shared" si="14"/>
        <v>2.7993000000000001</v>
      </c>
      <c r="M206" s="17">
        <f t="shared" si="15"/>
        <v>1.8710769230769231</v>
      </c>
    </row>
    <row r="207" spans="1:22" x14ac:dyDescent="0.3">
      <c r="A207" s="8" t="s">
        <v>244</v>
      </c>
      <c r="B207" s="9" t="s">
        <v>534</v>
      </c>
      <c r="C207" s="9" t="s">
        <v>120</v>
      </c>
      <c r="D207" s="9" t="s">
        <v>139</v>
      </c>
      <c r="E207" s="9" t="s">
        <v>625</v>
      </c>
      <c r="F207" s="9" t="s">
        <v>617</v>
      </c>
      <c r="G207" s="9" t="s">
        <v>619</v>
      </c>
      <c r="H207" s="10">
        <v>6100000</v>
      </c>
      <c r="I207" s="10">
        <v>1000000</v>
      </c>
      <c r="J207" s="10">
        <v>8200000</v>
      </c>
      <c r="K207" s="10">
        <f t="shared" si="13"/>
        <v>10168000</v>
      </c>
      <c r="L207" s="17">
        <f t="shared" si="14"/>
        <v>10.167999999999999</v>
      </c>
      <c r="M207" s="17">
        <f t="shared" si="15"/>
        <v>0.66688524590163933</v>
      </c>
    </row>
    <row r="208" spans="1:22" s="15" customFormat="1" ht="23.35" customHeight="1" x14ac:dyDescent="0.3">
      <c r="A208" s="4" t="s">
        <v>62</v>
      </c>
      <c r="B208" s="7"/>
      <c r="C208" s="7"/>
      <c r="D208" s="7"/>
      <c r="E208" s="7"/>
      <c r="F208" s="7"/>
      <c r="G208" s="7"/>
      <c r="H208" s="12">
        <f>SUM(H5:H207)</f>
        <v>2188116852</v>
      </c>
      <c r="I208" s="12">
        <f>SUM(I5:I207)</f>
        <v>4394988516</v>
      </c>
      <c r="J208" s="12">
        <f>SUM(J5:J207)</f>
        <v>2541168242</v>
      </c>
      <c r="K208" s="12">
        <f>SUM(K5:K207)</f>
        <v>3151048620.0800004</v>
      </c>
      <c r="L208" s="13">
        <f t="shared" si="14"/>
        <v>0.71696401676786548</v>
      </c>
      <c r="M208" s="18">
        <f t="shared" si="15"/>
        <v>0.44007328365478005</v>
      </c>
      <c r="P208"/>
      <c r="Q208"/>
      <c r="R208"/>
      <c r="S208"/>
      <c r="T208"/>
      <c r="U208"/>
      <c r="V208"/>
    </row>
  </sheetData>
  <autoFilter ref="A4:M208" xr:uid="{D1513601-EB84-4BDA-A4AF-678E729CE4D2}"/>
  <mergeCells count="3">
    <mergeCell ref="A3:M3"/>
    <mergeCell ref="P3:V3"/>
    <mergeCell ref="Y3:Z3"/>
  </mergeCells>
  <conditionalFormatting sqref="M5:M208">
    <cfRule type="cellIs" dxfId="35" priority="3" operator="lessThan">
      <formula>0</formula>
    </cfRule>
  </conditionalFormatting>
  <conditionalFormatting sqref="V5:V9">
    <cfRule type="cellIs" dxfId="34" priority="2" operator="lessThan">
      <formula>0</formula>
    </cfRule>
  </conditionalFormatting>
  <conditionalFormatting sqref="V12:V32">
    <cfRule type="cellIs" dxfId="33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37872-FF5D-44FF-87FB-61E78CBE2775}">
  <dimension ref="A1:Z213"/>
  <sheetViews>
    <sheetView showGridLines="0" zoomScale="68" zoomScaleNormal="70" workbookViewId="0">
      <pane ySplit="4" topLeftCell="A5" activePane="bottomLeft" state="frozen"/>
      <selection activeCell="J6" sqref="J6"/>
      <selection pane="bottomLeft" activeCell="J6" sqref="J6"/>
    </sheetView>
  </sheetViews>
  <sheetFormatPr defaultRowHeight="15.05" x14ac:dyDescent="0.3"/>
  <cols>
    <col min="1" max="1" width="8.5546875" bestFit="1" customWidth="1"/>
    <col min="2" max="2" width="38.77734375" bestFit="1" customWidth="1"/>
    <col min="3" max="3" width="15.109375" bestFit="1" customWidth="1"/>
    <col min="4" max="4" width="23" bestFit="1" customWidth="1"/>
    <col min="5" max="6" width="23" customWidth="1"/>
    <col min="7" max="7" width="19.44140625" bestFit="1" customWidth="1"/>
    <col min="8" max="13" width="14.44140625" customWidth="1"/>
    <col min="16" max="16" width="23" bestFit="1" customWidth="1"/>
    <col min="17" max="22" width="15.88671875" customWidth="1"/>
    <col min="25" max="25" width="14.21875" style="15" customWidth="1"/>
    <col min="26" max="26" width="25.6640625" style="15" customWidth="1"/>
  </cols>
  <sheetData>
    <row r="1" spans="1:26" x14ac:dyDescent="0.3">
      <c r="A1" s="1">
        <v>25</v>
      </c>
      <c r="B1" s="1">
        <v>31</v>
      </c>
      <c r="G1" s="15"/>
      <c r="H1" s="15"/>
      <c r="I1" s="15"/>
      <c r="J1" s="15"/>
      <c r="K1" s="15"/>
    </row>
    <row r="2" spans="1:26" x14ac:dyDescent="0.3">
      <c r="A2" s="16"/>
      <c r="B2" s="16"/>
    </row>
    <row r="3" spans="1:26" s="3" customFormat="1" ht="23.5" customHeight="1" x14ac:dyDescent="0.3">
      <c r="A3" s="2" t="str">
        <f>"INDOSAT (01 - "&amp;A1&amp;" MEI 2026)"</f>
        <v>INDOSAT (01 - 25 MEI 2026)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P3" s="2" t="str">
        <f>A3</f>
        <v>INDOSAT (01 - 25 MEI 2026)</v>
      </c>
      <c r="Q3" s="2"/>
      <c r="R3" s="2"/>
      <c r="S3" s="2"/>
      <c r="T3" s="2"/>
      <c r="U3" s="2"/>
      <c r="V3" s="2"/>
      <c r="Y3" s="19" t="str">
        <f>A3</f>
        <v>INDOSAT (01 - 25 MEI 2026)</v>
      </c>
      <c r="Z3" s="19"/>
    </row>
    <row r="4" spans="1:26" s="3" customFormat="1" ht="23.5" customHeight="1" x14ac:dyDescent="0.3">
      <c r="A4" s="4" t="s">
        <v>0</v>
      </c>
      <c r="B4" s="5" t="s">
        <v>1</v>
      </c>
      <c r="C4" s="5" t="s">
        <v>2</v>
      </c>
      <c r="D4" s="5" t="s">
        <v>3</v>
      </c>
      <c r="E4" s="5" t="s">
        <v>4</v>
      </c>
      <c r="F4" s="5" t="s">
        <v>5</v>
      </c>
      <c r="G4" s="5" t="s">
        <v>6</v>
      </c>
      <c r="H4" s="7" t="s">
        <v>7</v>
      </c>
      <c r="I4" s="7" t="s">
        <v>8</v>
      </c>
      <c r="J4" s="7" t="s">
        <v>9</v>
      </c>
      <c r="K4" s="7" t="s">
        <v>10</v>
      </c>
      <c r="L4" s="7" t="s">
        <v>11</v>
      </c>
      <c r="M4" s="7" t="s">
        <v>12</v>
      </c>
      <c r="P4" s="7" t="s">
        <v>2</v>
      </c>
      <c r="Q4" s="7" t="s">
        <v>7</v>
      </c>
      <c r="R4" s="7" t="s">
        <v>8</v>
      </c>
      <c r="S4" s="7" t="s">
        <v>9</v>
      </c>
      <c r="T4" s="7" t="s">
        <v>10</v>
      </c>
      <c r="U4" s="7" t="s">
        <v>11</v>
      </c>
      <c r="V4" s="7" t="s">
        <v>12</v>
      </c>
      <c r="Y4" s="7" t="s">
        <v>116</v>
      </c>
      <c r="Z4" s="7" t="s">
        <v>117</v>
      </c>
    </row>
    <row r="5" spans="1:26" x14ac:dyDescent="0.3">
      <c r="A5" s="8" t="s">
        <v>51</v>
      </c>
      <c r="B5" s="9" t="s">
        <v>355</v>
      </c>
      <c r="C5" s="9" t="s">
        <v>16</v>
      </c>
      <c r="D5" s="9" t="s">
        <v>44</v>
      </c>
      <c r="E5" s="9" t="s">
        <v>616</v>
      </c>
      <c r="F5" s="9" t="s">
        <v>617</v>
      </c>
      <c r="G5" s="9" t="s">
        <v>622</v>
      </c>
      <c r="H5" s="10">
        <v>25250000</v>
      </c>
      <c r="I5" s="10">
        <v>47340556.461936302</v>
      </c>
      <c r="J5" s="10">
        <v>39925000</v>
      </c>
      <c r="K5" s="10">
        <f>IFERROR(J5/$A$1*$B$1,0)</f>
        <v>49507000</v>
      </c>
      <c r="L5" s="17">
        <f>IFERROR(K5/I5,0)</f>
        <v>1.0457629504166392</v>
      </c>
      <c r="M5" s="17">
        <f>IFERROR((K5-H5)/H5,0)</f>
        <v>0.96067326732673264</v>
      </c>
      <c r="P5" s="9" t="s">
        <v>118</v>
      </c>
      <c r="Q5" s="10">
        <f t="shared" ref="Q5:T8" si="0">SUMIF($C:$C,$P5,H:H)</f>
        <v>904450000</v>
      </c>
      <c r="R5" s="10">
        <f t="shared" si="0"/>
        <v>1121410983.5217826</v>
      </c>
      <c r="S5" s="10">
        <f t="shared" si="0"/>
        <v>787675000</v>
      </c>
      <c r="T5" s="10">
        <f t="shared" si="0"/>
        <v>976717000</v>
      </c>
      <c r="U5" s="17">
        <f>IFERROR(T5/R5,0)</f>
        <v>0.87097149426219078</v>
      </c>
      <c r="V5" s="17">
        <f>IFERROR((T5-Q5)/Q5,0)</f>
        <v>7.9901597656034051E-2</v>
      </c>
      <c r="Y5" s="20">
        <v>46143</v>
      </c>
      <c r="Z5" s="10">
        <v>240191000</v>
      </c>
    </row>
    <row r="6" spans="1:26" x14ac:dyDescent="0.3">
      <c r="A6" s="8" t="s">
        <v>49</v>
      </c>
      <c r="B6" s="9" t="s">
        <v>353</v>
      </c>
      <c r="C6" s="9" t="s">
        <v>16</v>
      </c>
      <c r="D6" s="9" t="s">
        <v>44</v>
      </c>
      <c r="E6" s="9" t="s">
        <v>616</v>
      </c>
      <c r="F6" s="9" t="s">
        <v>617</v>
      </c>
      <c r="G6" s="9" t="s">
        <v>622</v>
      </c>
      <c r="H6" s="10">
        <v>15290000</v>
      </c>
      <c r="I6" s="10">
        <v>23426685.42011974</v>
      </c>
      <c r="J6" s="10">
        <v>15700000</v>
      </c>
      <c r="K6" s="10">
        <f t="shared" ref="K6:K69" si="1">IFERROR(J6/$A$1*$B$1,0)</f>
        <v>19468000</v>
      </c>
      <c r="L6" s="17">
        <f t="shared" ref="L6:L69" si="2">IFERROR(K6/I6,0)</f>
        <v>0.83101811677037896</v>
      </c>
      <c r="M6" s="17">
        <f t="shared" ref="M6:M69" si="3">IFERROR((K6-H6)/H6,0)</f>
        <v>0.27325049051667755</v>
      </c>
      <c r="P6" s="9" t="s">
        <v>14</v>
      </c>
      <c r="Q6" s="10">
        <f t="shared" si="0"/>
        <v>1044005000</v>
      </c>
      <c r="R6" s="10">
        <f t="shared" si="0"/>
        <v>1636381930.9297681</v>
      </c>
      <c r="S6" s="10">
        <f t="shared" si="0"/>
        <v>1028600000</v>
      </c>
      <c r="T6" s="10">
        <f t="shared" si="0"/>
        <v>1275464000</v>
      </c>
      <c r="U6" s="17">
        <f>IFERROR(T6/R6,0)</f>
        <v>0.77944150805631307</v>
      </c>
      <c r="V6" s="17">
        <f>IFERROR((T6-Q6)/Q6,0)</f>
        <v>0.2217029611927146</v>
      </c>
      <c r="Y6" s="20">
        <v>46144</v>
      </c>
      <c r="Z6" s="10">
        <v>255595000</v>
      </c>
    </row>
    <row r="7" spans="1:26" x14ac:dyDescent="0.3">
      <c r="A7" s="8" t="s">
        <v>167</v>
      </c>
      <c r="B7" s="9" t="s">
        <v>457</v>
      </c>
      <c r="C7" s="9" t="s">
        <v>16</v>
      </c>
      <c r="D7" s="9" t="s">
        <v>44</v>
      </c>
      <c r="E7" s="9" t="s">
        <v>616</v>
      </c>
      <c r="F7" s="9" t="s">
        <v>617</v>
      </c>
      <c r="G7" s="9" t="s">
        <v>622</v>
      </c>
      <c r="H7" s="10">
        <v>93975000</v>
      </c>
      <c r="I7" s="10">
        <v>121509813.18674755</v>
      </c>
      <c r="J7" s="10">
        <v>67475000</v>
      </c>
      <c r="K7" s="10">
        <f t="shared" si="1"/>
        <v>83669000</v>
      </c>
      <c r="L7" s="17">
        <f t="shared" si="2"/>
        <v>0.68857813048736827</v>
      </c>
      <c r="M7" s="17">
        <f t="shared" si="3"/>
        <v>-0.10966746475126364</v>
      </c>
      <c r="P7" s="9" t="s">
        <v>120</v>
      </c>
      <c r="Q7" s="10">
        <f t="shared" si="0"/>
        <v>1035205000</v>
      </c>
      <c r="R7" s="10">
        <f t="shared" si="0"/>
        <v>1285905148.8075345</v>
      </c>
      <c r="S7" s="10">
        <f t="shared" si="0"/>
        <v>902845000</v>
      </c>
      <c r="T7" s="10">
        <f t="shared" si="0"/>
        <v>1119527800</v>
      </c>
      <c r="U7" s="17">
        <f>IFERROR(T7/R7,0)</f>
        <v>0.87061460251417289</v>
      </c>
      <c r="V7" s="17">
        <f>IFERROR((T7-Q7)/Q7,0)</f>
        <v>8.1455170714979153E-2</v>
      </c>
      <c r="Y7" s="20">
        <v>46145</v>
      </c>
      <c r="Z7" s="10">
        <v>284740000</v>
      </c>
    </row>
    <row r="8" spans="1:26" x14ac:dyDescent="0.3">
      <c r="A8" s="8" t="s">
        <v>61</v>
      </c>
      <c r="B8" s="9" t="s">
        <v>364</v>
      </c>
      <c r="C8" s="9" t="s">
        <v>16</v>
      </c>
      <c r="D8" s="9" t="s">
        <v>44</v>
      </c>
      <c r="E8" s="9" t="s">
        <v>616</v>
      </c>
      <c r="F8" s="9" t="s">
        <v>617</v>
      </c>
      <c r="G8" s="9" t="s">
        <v>622</v>
      </c>
      <c r="H8" s="10">
        <v>32600000</v>
      </c>
      <c r="I8" s="10">
        <v>40769728.647565156</v>
      </c>
      <c r="J8" s="10">
        <v>23450000</v>
      </c>
      <c r="K8" s="10">
        <f t="shared" si="1"/>
        <v>29078000</v>
      </c>
      <c r="L8" s="17">
        <f t="shared" si="2"/>
        <v>0.71322525227885203</v>
      </c>
      <c r="M8" s="17">
        <f t="shared" si="3"/>
        <v>-0.10803680981595092</v>
      </c>
      <c r="P8" s="9" t="s">
        <v>16</v>
      </c>
      <c r="Q8" s="10">
        <f t="shared" si="0"/>
        <v>2005706000</v>
      </c>
      <c r="R8" s="10">
        <f t="shared" si="0"/>
        <v>2606601797.7409182</v>
      </c>
      <c r="S8" s="10">
        <f t="shared" si="0"/>
        <v>1566095000</v>
      </c>
      <c r="T8" s="10">
        <f t="shared" si="0"/>
        <v>1941957800</v>
      </c>
      <c r="U8" s="17">
        <f>IFERROR(T8/R8,0)</f>
        <v>0.74501513874618297</v>
      </c>
      <c r="V8" s="17">
        <f>IFERROR((T8-Q8)/Q8,0)</f>
        <v>-3.1783421897326927E-2</v>
      </c>
      <c r="Y8" s="20">
        <v>46146</v>
      </c>
      <c r="Z8" s="10">
        <v>112425000</v>
      </c>
    </row>
    <row r="9" spans="1:26" x14ac:dyDescent="0.3">
      <c r="A9" s="8" t="s">
        <v>210</v>
      </c>
      <c r="B9" s="9" t="s">
        <v>500</v>
      </c>
      <c r="C9" s="9" t="s">
        <v>118</v>
      </c>
      <c r="D9" s="9" t="s">
        <v>133</v>
      </c>
      <c r="E9" s="9" t="s">
        <v>628</v>
      </c>
      <c r="F9" s="9" t="s">
        <v>617</v>
      </c>
      <c r="G9" s="9" t="s">
        <v>622</v>
      </c>
      <c r="H9" s="10">
        <v>14300000</v>
      </c>
      <c r="I9" s="10">
        <v>17683720.129573997</v>
      </c>
      <c r="J9" s="10">
        <v>14100000</v>
      </c>
      <c r="K9" s="10">
        <f t="shared" si="1"/>
        <v>17484000</v>
      </c>
      <c r="L9" s="17">
        <f t="shared" si="2"/>
        <v>0.98870598900510831</v>
      </c>
      <c r="M9" s="17">
        <f t="shared" si="3"/>
        <v>0.22265734265734266</v>
      </c>
      <c r="P9" s="4" t="s">
        <v>62</v>
      </c>
      <c r="Q9" s="12">
        <f>SUM(Q5:Q8)</f>
        <v>4989366000</v>
      </c>
      <c r="R9" s="12">
        <f>SUM(R5:R8)</f>
        <v>6650299861.0000029</v>
      </c>
      <c r="S9" s="12">
        <f>SUM(S5:S8)</f>
        <v>4285215000</v>
      </c>
      <c r="T9" s="12">
        <f>SUM(T5:T8)</f>
        <v>5313666600</v>
      </c>
      <c r="U9" s="13">
        <f>IFERROR(T9/R9,0)</f>
        <v>0.79901158008850837</v>
      </c>
      <c r="V9" s="18">
        <f>IFERROR((T9-Q9)/Q9,0)</f>
        <v>6.4998358508876683E-2</v>
      </c>
      <c r="Y9" s="20">
        <v>46147</v>
      </c>
      <c r="Z9" s="10">
        <v>167490000</v>
      </c>
    </row>
    <row r="10" spans="1:26" x14ac:dyDescent="0.3">
      <c r="A10" s="8" t="s">
        <v>188</v>
      </c>
      <c r="B10" s="9" t="s">
        <v>478</v>
      </c>
      <c r="C10" s="9" t="s">
        <v>120</v>
      </c>
      <c r="D10" s="9" t="s">
        <v>135</v>
      </c>
      <c r="E10" s="9" t="s">
        <v>627</v>
      </c>
      <c r="F10" s="9" t="s">
        <v>617</v>
      </c>
      <c r="G10" s="9" t="s">
        <v>622</v>
      </c>
      <c r="H10" s="10">
        <v>45325000</v>
      </c>
      <c r="I10" s="10">
        <v>53557468.634458855</v>
      </c>
      <c r="J10" s="10">
        <v>23550000</v>
      </c>
      <c r="K10" s="10">
        <f t="shared" si="1"/>
        <v>29202000</v>
      </c>
      <c r="L10" s="17">
        <f t="shared" si="2"/>
        <v>0.5452460832178212</v>
      </c>
      <c r="M10" s="17">
        <f t="shared" si="3"/>
        <v>-0.35571980143408716</v>
      </c>
      <c r="Y10" s="20">
        <v>46148</v>
      </c>
      <c r="Z10" s="10">
        <v>138590000</v>
      </c>
    </row>
    <row r="11" spans="1:26" x14ac:dyDescent="0.3">
      <c r="A11" s="8" t="s">
        <v>35</v>
      </c>
      <c r="B11" s="9" t="s">
        <v>344</v>
      </c>
      <c r="C11" s="9" t="s">
        <v>16</v>
      </c>
      <c r="D11" s="9" t="s">
        <v>34</v>
      </c>
      <c r="E11" s="9" t="s">
        <v>616</v>
      </c>
      <c r="F11" s="9" t="s">
        <v>617</v>
      </c>
      <c r="G11" s="9" t="s">
        <v>621</v>
      </c>
      <c r="H11" s="10">
        <v>22730000</v>
      </c>
      <c r="I11" s="10">
        <v>26785500.784197435</v>
      </c>
      <c r="J11" s="10">
        <v>12810000</v>
      </c>
      <c r="K11" s="10">
        <f t="shared" si="1"/>
        <v>15884400</v>
      </c>
      <c r="L11" s="17">
        <f t="shared" si="2"/>
        <v>0.59302232681687528</v>
      </c>
      <c r="M11" s="17">
        <f t="shared" si="3"/>
        <v>-0.30117025956885174</v>
      </c>
      <c r="P11" s="7" t="s">
        <v>3</v>
      </c>
      <c r="Q11" s="7" t="s">
        <v>7</v>
      </c>
      <c r="R11" s="7" t="s">
        <v>8</v>
      </c>
      <c r="S11" s="7" t="s">
        <v>9</v>
      </c>
      <c r="T11" s="7" t="s">
        <v>10</v>
      </c>
      <c r="U11" s="7" t="s">
        <v>11</v>
      </c>
      <c r="V11" s="7" t="s">
        <v>12</v>
      </c>
      <c r="Y11" s="20">
        <v>46149</v>
      </c>
      <c r="Z11" s="10">
        <v>130525000</v>
      </c>
    </row>
    <row r="12" spans="1:26" x14ac:dyDescent="0.3">
      <c r="A12" s="8" t="s">
        <v>29</v>
      </c>
      <c r="B12" s="9" t="s">
        <v>341</v>
      </c>
      <c r="C12" s="9" t="s">
        <v>16</v>
      </c>
      <c r="D12" s="9" t="s">
        <v>34</v>
      </c>
      <c r="E12" s="9" t="s">
        <v>616</v>
      </c>
      <c r="F12" s="9" t="s">
        <v>617</v>
      </c>
      <c r="G12" s="9" t="s">
        <v>621</v>
      </c>
      <c r="H12" s="10">
        <v>14910000</v>
      </c>
      <c r="I12" s="10">
        <v>25736992.598371658</v>
      </c>
      <c r="J12" s="10">
        <v>8445000</v>
      </c>
      <c r="K12" s="10">
        <f t="shared" si="1"/>
        <v>10471800</v>
      </c>
      <c r="L12" s="17">
        <f t="shared" si="2"/>
        <v>0.40687737543439845</v>
      </c>
      <c r="M12" s="17">
        <f t="shared" si="3"/>
        <v>-0.29766599597585514</v>
      </c>
      <c r="P12" s="9" t="s">
        <v>22</v>
      </c>
      <c r="Q12" s="10">
        <f t="shared" ref="Q12:T31" si="4">SUMIF($D:$D,$P12,H:H)</f>
        <v>212075000</v>
      </c>
      <c r="R12" s="10">
        <f t="shared" si="4"/>
        <v>278608983.2136566</v>
      </c>
      <c r="S12" s="10">
        <f t="shared" si="4"/>
        <v>183325000</v>
      </c>
      <c r="T12" s="10">
        <f t="shared" si="4"/>
        <v>227323000</v>
      </c>
      <c r="U12" s="17">
        <f t="shared" ref="U12:U32" si="5">IFERROR(T12/R12,0)</f>
        <v>0.81592128644923489</v>
      </c>
      <c r="V12" s="17">
        <f t="shared" ref="V12:V32" si="6">IFERROR((T12-Q12)/Q12,0)</f>
        <v>7.1899092302251569E-2</v>
      </c>
      <c r="Y12" s="20">
        <v>46150</v>
      </c>
      <c r="Z12" s="10">
        <v>159995000</v>
      </c>
    </row>
    <row r="13" spans="1:26" x14ac:dyDescent="0.3">
      <c r="A13" s="8" t="s">
        <v>48</v>
      </c>
      <c r="B13" s="9" t="s">
        <v>352</v>
      </c>
      <c r="C13" s="9" t="s">
        <v>16</v>
      </c>
      <c r="D13" s="9" t="s">
        <v>42</v>
      </c>
      <c r="E13" s="9" t="s">
        <v>616</v>
      </c>
      <c r="F13" s="9" t="s">
        <v>617</v>
      </c>
      <c r="G13" s="9" t="s">
        <v>618</v>
      </c>
      <c r="H13" s="10">
        <v>36900000</v>
      </c>
      <c r="I13" s="10">
        <v>47777729.066913053</v>
      </c>
      <c r="J13" s="10">
        <v>35270000</v>
      </c>
      <c r="K13" s="10">
        <f t="shared" si="1"/>
        <v>43734800</v>
      </c>
      <c r="L13" s="17">
        <f t="shared" si="2"/>
        <v>0.91538046814131957</v>
      </c>
      <c r="M13" s="17">
        <f t="shared" si="3"/>
        <v>0.18522493224932249</v>
      </c>
      <c r="P13" s="9" t="s">
        <v>44</v>
      </c>
      <c r="Q13" s="10">
        <f t="shared" si="4"/>
        <v>331805000</v>
      </c>
      <c r="R13" s="10">
        <f t="shared" si="4"/>
        <v>449767153.50587201</v>
      </c>
      <c r="S13" s="10">
        <f t="shared" si="4"/>
        <v>265425000</v>
      </c>
      <c r="T13" s="10">
        <f t="shared" si="4"/>
        <v>329127000</v>
      </c>
      <c r="U13" s="17">
        <f t="shared" si="5"/>
        <v>0.73177197897734658</v>
      </c>
      <c r="V13" s="17">
        <f t="shared" si="6"/>
        <v>-8.0710055604948684E-3</v>
      </c>
      <c r="Y13" s="20">
        <v>46151</v>
      </c>
      <c r="Z13" s="10">
        <v>233181000</v>
      </c>
    </row>
    <row r="14" spans="1:26" x14ac:dyDescent="0.3">
      <c r="A14" s="8" t="s">
        <v>52</v>
      </c>
      <c r="B14" s="9" t="s">
        <v>356</v>
      </c>
      <c r="C14" s="9" t="s">
        <v>16</v>
      </c>
      <c r="D14" s="9" t="s">
        <v>40</v>
      </c>
      <c r="E14" s="9" t="s">
        <v>616</v>
      </c>
      <c r="F14" s="9" t="s">
        <v>617</v>
      </c>
      <c r="G14" s="9" t="s">
        <v>623</v>
      </c>
      <c r="H14" s="10">
        <v>52790000</v>
      </c>
      <c r="I14" s="10">
        <v>55083748.227069438</v>
      </c>
      <c r="J14" s="10">
        <v>43530000</v>
      </c>
      <c r="K14" s="10">
        <f t="shared" si="1"/>
        <v>53977200</v>
      </c>
      <c r="L14" s="17">
        <f t="shared" si="2"/>
        <v>0.97991152993968456</v>
      </c>
      <c r="M14" s="17">
        <f t="shared" si="3"/>
        <v>2.2489107785565447E-2</v>
      </c>
      <c r="P14" s="9" t="s">
        <v>42</v>
      </c>
      <c r="Q14" s="10">
        <f t="shared" si="4"/>
        <v>220126000</v>
      </c>
      <c r="R14" s="10">
        <f t="shared" si="4"/>
        <v>304943929.43941301</v>
      </c>
      <c r="S14" s="10">
        <f t="shared" si="4"/>
        <v>175765000</v>
      </c>
      <c r="T14" s="10">
        <f t="shared" si="4"/>
        <v>217948600</v>
      </c>
      <c r="U14" s="17">
        <f t="shared" si="5"/>
        <v>0.71471696583913324</v>
      </c>
      <c r="V14" s="17">
        <f t="shared" si="6"/>
        <v>-9.8916075338669664E-3</v>
      </c>
      <c r="W14" t="s">
        <v>245</v>
      </c>
      <c r="Y14" s="20">
        <v>46152</v>
      </c>
      <c r="Z14" s="10">
        <v>258245000</v>
      </c>
    </row>
    <row r="15" spans="1:26" x14ac:dyDescent="0.3">
      <c r="A15" s="8" t="s">
        <v>55</v>
      </c>
      <c r="B15" s="9" t="s">
        <v>359</v>
      </c>
      <c r="C15" s="9" t="s">
        <v>16</v>
      </c>
      <c r="D15" s="9" t="s">
        <v>40</v>
      </c>
      <c r="E15" s="9" t="s">
        <v>616</v>
      </c>
      <c r="F15" s="9" t="s">
        <v>617</v>
      </c>
      <c r="G15" s="9" t="s">
        <v>623</v>
      </c>
      <c r="H15" s="10">
        <v>30500000</v>
      </c>
      <c r="I15" s="10">
        <v>41381946.811062194</v>
      </c>
      <c r="J15" s="10">
        <v>21250000</v>
      </c>
      <c r="K15" s="10">
        <f t="shared" si="1"/>
        <v>26350000</v>
      </c>
      <c r="L15" s="17">
        <f t="shared" si="2"/>
        <v>0.63675109632483828</v>
      </c>
      <c r="M15" s="17">
        <f t="shared" si="3"/>
        <v>-0.1360655737704918</v>
      </c>
      <c r="P15" s="9" t="s">
        <v>36</v>
      </c>
      <c r="Q15" s="10">
        <f t="shared" si="4"/>
        <v>231005000</v>
      </c>
      <c r="R15" s="10">
        <f t="shared" si="4"/>
        <v>314419479.9621014</v>
      </c>
      <c r="S15" s="10">
        <f t="shared" si="4"/>
        <v>212290000</v>
      </c>
      <c r="T15" s="10">
        <f t="shared" si="4"/>
        <v>263239600</v>
      </c>
      <c r="U15" s="17">
        <f t="shared" si="5"/>
        <v>0.83722420771044348</v>
      </c>
      <c r="V15" s="17">
        <f t="shared" si="6"/>
        <v>0.1395407025821952</v>
      </c>
      <c r="Y15" s="20">
        <v>46153</v>
      </c>
      <c r="Z15" s="10">
        <v>112986000</v>
      </c>
    </row>
    <row r="16" spans="1:26" x14ac:dyDescent="0.3">
      <c r="A16" s="8" t="s">
        <v>43</v>
      </c>
      <c r="B16" s="9" t="s">
        <v>348</v>
      </c>
      <c r="C16" s="9" t="s">
        <v>16</v>
      </c>
      <c r="D16" s="9" t="s">
        <v>40</v>
      </c>
      <c r="E16" s="9" t="s">
        <v>616</v>
      </c>
      <c r="F16" s="9" t="s">
        <v>617</v>
      </c>
      <c r="G16" s="9" t="s">
        <v>623</v>
      </c>
      <c r="H16" s="10">
        <v>38400000</v>
      </c>
      <c r="I16" s="10">
        <v>42700525.28717643</v>
      </c>
      <c r="J16" s="10">
        <v>26645000</v>
      </c>
      <c r="K16" s="10">
        <f t="shared" si="1"/>
        <v>33039800</v>
      </c>
      <c r="L16" s="17">
        <f t="shared" si="2"/>
        <v>0.77375628936167484</v>
      </c>
      <c r="M16" s="17">
        <f t="shared" si="3"/>
        <v>-0.13958854166666668</v>
      </c>
      <c r="P16" s="9" t="s">
        <v>32</v>
      </c>
      <c r="Q16" s="10">
        <f t="shared" si="4"/>
        <v>289725000</v>
      </c>
      <c r="R16" s="10">
        <f t="shared" si="4"/>
        <v>436184359.53412133</v>
      </c>
      <c r="S16" s="10">
        <f t="shared" si="4"/>
        <v>283925000</v>
      </c>
      <c r="T16" s="10">
        <f t="shared" si="4"/>
        <v>352067000</v>
      </c>
      <c r="U16" s="17">
        <f t="shared" si="5"/>
        <v>0.80715182079438796</v>
      </c>
      <c r="V16" s="17">
        <f t="shared" si="6"/>
        <v>0.21517646043662092</v>
      </c>
      <c r="Y16" s="20">
        <v>46154</v>
      </c>
      <c r="Z16" s="10">
        <v>127020000</v>
      </c>
    </row>
    <row r="17" spans="1:26" x14ac:dyDescent="0.3">
      <c r="A17" s="8" t="s">
        <v>47</v>
      </c>
      <c r="B17" s="9" t="s">
        <v>351</v>
      </c>
      <c r="C17" s="9" t="s">
        <v>16</v>
      </c>
      <c r="D17" s="9" t="s">
        <v>40</v>
      </c>
      <c r="E17" s="9" t="s">
        <v>616</v>
      </c>
      <c r="F17" s="9" t="s">
        <v>617</v>
      </c>
      <c r="G17" s="9" t="s">
        <v>623</v>
      </c>
      <c r="H17" s="10">
        <v>39015000</v>
      </c>
      <c r="I17" s="10">
        <v>53685984.435776517</v>
      </c>
      <c r="J17" s="10">
        <v>29230000</v>
      </c>
      <c r="K17" s="10">
        <f t="shared" si="1"/>
        <v>36245200</v>
      </c>
      <c r="L17" s="17">
        <f t="shared" si="2"/>
        <v>0.67513337756448177</v>
      </c>
      <c r="M17" s="17">
        <f t="shared" si="3"/>
        <v>-7.0993207740612588E-2</v>
      </c>
      <c r="P17" s="9" t="s">
        <v>26</v>
      </c>
      <c r="Q17" s="10">
        <f t="shared" si="4"/>
        <v>141345000</v>
      </c>
      <c r="R17" s="10">
        <f t="shared" si="4"/>
        <v>237818955.16518742</v>
      </c>
      <c r="S17" s="10">
        <f t="shared" si="4"/>
        <v>166940000</v>
      </c>
      <c r="T17" s="10">
        <f t="shared" si="4"/>
        <v>207005600</v>
      </c>
      <c r="U17" s="17">
        <f t="shared" si="5"/>
        <v>0.87043356092543311</v>
      </c>
      <c r="V17" s="17">
        <f t="shared" si="6"/>
        <v>0.46454137040574484</v>
      </c>
      <c r="Y17" s="20">
        <v>46155</v>
      </c>
      <c r="Z17" s="10">
        <v>154580000</v>
      </c>
    </row>
    <row r="18" spans="1:26" x14ac:dyDescent="0.3">
      <c r="A18" s="8" t="s">
        <v>214</v>
      </c>
      <c r="B18" s="9" t="s">
        <v>504</v>
      </c>
      <c r="C18" s="9" t="s">
        <v>118</v>
      </c>
      <c r="D18" s="9" t="s">
        <v>134</v>
      </c>
      <c r="E18" s="9" t="s">
        <v>628</v>
      </c>
      <c r="F18" s="9" t="s">
        <v>617</v>
      </c>
      <c r="G18" s="9" t="s">
        <v>623</v>
      </c>
      <c r="H18" s="10">
        <v>28950000</v>
      </c>
      <c r="I18" s="10">
        <v>54172628.740115903</v>
      </c>
      <c r="J18" s="10">
        <v>42800000</v>
      </c>
      <c r="K18" s="10">
        <f t="shared" si="1"/>
        <v>53072000</v>
      </c>
      <c r="L18" s="17">
        <f t="shared" si="2"/>
        <v>0.97968293646232329</v>
      </c>
      <c r="M18" s="17">
        <f t="shared" si="3"/>
        <v>0.83322970639032812</v>
      </c>
      <c r="P18" s="9" t="s">
        <v>30</v>
      </c>
      <c r="Q18" s="10">
        <f t="shared" si="4"/>
        <v>222990000</v>
      </c>
      <c r="R18" s="10">
        <f t="shared" si="4"/>
        <v>337555748.61995405</v>
      </c>
      <c r="S18" s="10">
        <f t="shared" si="4"/>
        <v>210375000</v>
      </c>
      <c r="T18" s="10">
        <f t="shared" si="4"/>
        <v>260865000</v>
      </c>
      <c r="U18" s="17">
        <f t="shared" si="5"/>
        <v>0.77280568044391884</v>
      </c>
      <c r="V18" s="17">
        <f t="shared" si="6"/>
        <v>0.16985066594914569</v>
      </c>
      <c r="Y18" s="20">
        <v>46156</v>
      </c>
      <c r="Z18" s="10">
        <v>229400000</v>
      </c>
    </row>
    <row r="19" spans="1:26" x14ac:dyDescent="0.3">
      <c r="A19" s="8" t="s">
        <v>195</v>
      </c>
      <c r="B19" s="9" t="s">
        <v>485</v>
      </c>
      <c r="C19" s="9" t="s">
        <v>120</v>
      </c>
      <c r="D19" s="9" t="s">
        <v>135</v>
      </c>
      <c r="E19" s="9" t="s">
        <v>627</v>
      </c>
      <c r="F19" s="9" t="s">
        <v>617</v>
      </c>
      <c r="G19" s="9" t="s">
        <v>623</v>
      </c>
      <c r="H19" s="10">
        <v>30150000</v>
      </c>
      <c r="I19" s="10">
        <v>39921860.917051718</v>
      </c>
      <c r="J19" s="10">
        <v>28750000</v>
      </c>
      <c r="K19" s="10">
        <f t="shared" si="1"/>
        <v>35650000</v>
      </c>
      <c r="L19" s="17">
        <f t="shared" si="2"/>
        <v>0.89299444417364093</v>
      </c>
      <c r="M19" s="17">
        <f t="shared" si="3"/>
        <v>0.1824212271973466</v>
      </c>
      <c r="P19" s="9" t="s">
        <v>28</v>
      </c>
      <c r="Q19" s="10">
        <f t="shared" si="4"/>
        <v>163255000</v>
      </c>
      <c r="R19" s="10">
        <f t="shared" si="4"/>
        <v>248977988.9012278</v>
      </c>
      <c r="S19" s="10">
        <f t="shared" si="4"/>
        <v>139410000</v>
      </c>
      <c r="T19" s="10">
        <f t="shared" si="4"/>
        <v>172868400</v>
      </c>
      <c r="U19" s="17">
        <f t="shared" si="5"/>
        <v>0.6943119781908863</v>
      </c>
      <c r="V19" s="17">
        <f t="shared" si="6"/>
        <v>5.8885792165630453E-2</v>
      </c>
      <c r="Y19" s="20">
        <v>46157</v>
      </c>
      <c r="Z19" s="10">
        <v>248830000</v>
      </c>
    </row>
    <row r="20" spans="1:26" x14ac:dyDescent="0.3">
      <c r="A20" s="8" t="s">
        <v>174</v>
      </c>
      <c r="B20" s="9" t="s">
        <v>464</v>
      </c>
      <c r="C20" s="9" t="s">
        <v>120</v>
      </c>
      <c r="D20" s="9" t="s">
        <v>139</v>
      </c>
      <c r="E20" s="9" t="s">
        <v>626</v>
      </c>
      <c r="F20" s="9" t="s">
        <v>617</v>
      </c>
      <c r="G20" s="9" t="s">
        <v>623</v>
      </c>
      <c r="H20" s="10">
        <v>27425000</v>
      </c>
      <c r="I20" s="10">
        <v>29302803.012827307</v>
      </c>
      <c r="J20" s="10">
        <v>21300000</v>
      </c>
      <c r="K20" s="10">
        <f t="shared" si="1"/>
        <v>26412000</v>
      </c>
      <c r="L20" s="17">
        <f t="shared" si="2"/>
        <v>0.90134721884586066</v>
      </c>
      <c r="M20" s="17">
        <f t="shared" si="3"/>
        <v>-3.6937101185050135E-2</v>
      </c>
      <c r="P20" s="9" t="s">
        <v>40</v>
      </c>
      <c r="Q20" s="10">
        <f t="shared" si="4"/>
        <v>379415000</v>
      </c>
      <c r="R20" s="10">
        <f t="shared" si="4"/>
        <v>467136191.73424321</v>
      </c>
      <c r="S20" s="10">
        <f t="shared" si="4"/>
        <v>251445000</v>
      </c>
      <c r="T20" s="10">
        <f t="shared" si="4"/>
        <v>311791800</v>
      </c>
      <c r="U20" s="17">
        <f t="shared" si="5"/>
        <v>0.66745374371973376</v>
      </c>
      <c r="V20" s="17">
        <f t="shared" si="6"/>
        <v>-0.17823017013033221</v>
      </c>
      <c r="Y20" s="20">
        <v>46158</v>
      </c>
      <c r="Z20" s="10">
        <v>185931000</v>
      </c>
    </row>
    <row r="21" spans="1:26" x14ac:dyDescent="0.3">
      <c r="A21" s="8" t="s">
        <v>123</v>
      </c>
      <c r="B21" s="9" t="s">
        <v>421</v>
      </c>
      <c r="C21" s="9" t="s">
        <v>14</v>
      </c>
      <c r="D21" s="9" t="s">
        <v>30</v>
      </c>
      <c r="E21" s="9" t="s">
        <v>616</v>
      </c>
      <c r="F21" s="9" t="s">
        <v>617</v>
      </c>
      <c r="G21" s="9" t="s">
        <v>620</v>
      </c>
      <c r="H21" s="10">
        <v>6050000</v>
      </c>
      <c r="I21" s="10">
        <v>18994355.361856218</v>
      </c>
      <c r="J21" s="10">
        <v>5250000</v>
      </c>
      <c r="K21" s="10">
        <f t="shared" si="1"/>
        <v>6510000</v>
      </c>
      <c r="L21" s="17">
        <f t="shared" si="2"/>
        <v>0.34273340031708305</v>
      </c>
      <c r="M21" s="17">
        <f t="shared" si="3"/>
        <v>7.6033057851239663E-2</v>
      </c>
      <c r="P21" s="9" t="s">
        <v>34</v>
      </c>
      <c r="Q21" s="10">
        <f t="shared" si="4"/>
        <v>229560000</v>
      </c>
      <c r="R21" s="10">
        <f t="shared" si="4"/>
        <v>294195098.58314705</v>
      </c>
      <c r="S21" s="10">
        <f t="shared" si="4"/>
        <v>169505000</v>
      </c>
      <c r="T21" s="10">
        <f t="shared" si="4"/>
        <v>210186200</v>
      </c>
      <c r="U21" s="17">
        <f t="shared" si="5"/>
        <v>0.71444494151079818</v>
      </c>
      <c r="V21" s="17">
        <f t="shared" si="6"/>
        <v>-8.4395365046175286E-2</v>
      </c>
      <c r="Y21" s="20">
        <v>46159</v>
      </c>
      <c r="Z21" s="10">
        <v>207656000</v>
      </c>
    </row>
    <row r="22" spans="1:26" x14ac:dyDescent="0.3">
      <c r="A22" s="8" t="s">
        <v>54</v>
      </c>
      <c r="B22" s="9" t="s">
        <v>358</v>
      </c>
      <c r="C22" s="9" t="s">
        <v>14</v>
      </c>
      <c r="D22" s="9" t="s">
        <v>30</v>
      </c>
      <c r="E22" s="9" t="s">
        <v>616</v>
      </c>
      <c r="F22" s="9" t="s">
        <v>617</v>
      </c>
      <c r="G22" s="9" t="s">
        <v>620</v>
      </c>
      <c r="H22" s="10">
        <v>11200000</v>
      </c>
      <c r="I22" s="10">
        <v>31414305.507674731</v>
      </c>
      <c r="J22" s="10">
        <v>12850000</v>
      </c>
      <c r="K22" s="10">
        <f t="shared" si="1"/>
        <v>15934000</v>
      </c>
      <c r="L22" s="17">
        <f t="shared" si="2"/>
        <v>0.50722114471406077</v>
      </c>
      <c r="M22" s="17">
        <f t="shared" si="3"/>
        <v>0.4226785714285714</v>
      </c>
      <c r="P22" s="9" t="s">
        <v>24</v>
      </c>
      <c r="Q22" s="10">
        <f t="shared" si="4"/>
        <v>226690000</v>
      </c>
      <c r="R22" s="10">
        <f t="shared" si="4"/>
        <v>375844878.70927751</v>
      </c>
      <c r="S22" s="10">
        <f t="shared" si="4"/>
        <v>227950000</v>
      </c>
      <c r="T22" s="10">
        <f t="shared" si="4"/>
        <v>282658000</v>
      </c>
      <c r="U22" s="17">
        <f t="shared" si="5"/>
        <v>0.75206026744517873</v>
      </c>
      <c r="V22" s="17">
        <f t="shared" si="6"/>
        <v>0.24689223168203273</v>
      </c>
      <c r="Y22" s="20">
        <v>46160</v>
      </c>
      <c r="Z22" s="10">
        <v>91455000</v>
      </c>
    </row>
    <row r="23" spans="1:26" x14ac:dyDescent="0.3">
      <c r="A23" s="8" t="s">
        <v>122</v>
      </c>
      <c r="B23" s="9" t="s">
        <v>420</v>
      </c>
      <c r="C23" s="9" t="s">
        <v>14</v>
      </c>
      <c r="D23" s="9" t="s">
        <v>30</v>
      </c>
      <c r="E23" s="9" t="s">
        <v>616</v>
      </c>
      <c r="F23" s="9" t="s">
        <v>617</v>
      </c>
      <c r="G23" s="9" t="s">
        <v>620</v>
      </c>
      <c r="H23" s="10">
        <v>8550000</v>
      </c>
      <c r="I23" s="10">
        <v>25490752.039579242</v>
      </c>
      <c r="J23" s="10">
        <v>11650000</v>
      </c>
      <c r="K23" s="10">
        <f t="shared" si="1"/>
        <v>14446000</v>
      </c>
      <c r="L23" s="17">
        <f t="shared" si="2"/>
        <v>0.56671533180228795</v>
      </c>
      <c r="M23" s="17">
        <f t="shared" si="3"/>
        <v>0.68959064327485375</v>
      </c>
      <c r="P23" s="9" t="s">
        <v>38</v>
      </c>
      <c r="Q23" s="10">
        <f t="shared" si="4"/>
        <v>401720000</v>
      </c>
      <c r="R23" s="10">
        <f t="shared" si="4"/>
        <v>497530961.30248398</v>
      </c>
      <c r="S23" s="10">
        <f t="shared" si="4"/>
        <v>308340000</v>
      </c>
      <c r="T23" s="10">
        <f t="shared" si="4"/>
        <v>382341600</v>
      </c>
      <c r="U23" s="17">
        <f t="shared" si="5"/>
        <v>0.76847800385943765</v>
      </c>
      <c r="V23" s="17">
        <f t="shared" si="6"/>
        <v>-4.8238574131235688E-2</v>
      </c>
      <c r="Y23" s="20">
        <v>46161</v>
      </c>
      <c r="Z23" s="10">
        <v>121545000</v>
      </c>
    </row>
    <row r="24" spans="1:26" x14ac:dyDescent="0.3">
      <c r="A24" s="8" t="s">
        <v>208</v>
      </c>
      <c r="B24" s="9" t="s">
        <v>498</v>
      </c>
      <c r="C24" s="9" t="s">
        <v>118</v>
      </c>
      <c r="D24" s="9" t="s">
        <v>130</v>
      </c>
      <c r="E24" s="9" t="s">
        <v>628</v>
      </c>
      <c r="F24" s="9" t="s">
        <v>617</v>
      </c>
      <c r="G24" s="9" t="s">
        <v>620</v>
      </c>
      <c r="H24" s="10">
        <v>27900000</v>
      </c>
      <c r="I24" s="10">
        <v>37050231.174670845</v>
      </c>
      <c r="J24" s="10">
        <v>16100000</v>
      </c>
      <c r="K24" s="10">
        <f t="shared" si="1"/>
        <v>19964000</v>
      </c>
      <c r="L24" s="17">
        <f t="shared" si="2"/>
        <v>0.53883604412293817</v>
      </c>
      <c r="M24" s="17">
        <f t="shared" si="3"/>
        <v>-0.28444444444444444</v>
      </c>
      <c r="P24" s="9" t="s">
        <v>129</v>
      </c>
      <c r="Q24" s="10">
        <f t="shared" si="4"/>
        <v>25200000</v>
      </c>
      <c r="R24" s="10">
        <f t="shared" si="4"/>
        <v>32247510.598462705</v>
      </c>
      <c r="S24" s="10">
        <f t="shared" si="4"/>
        <v>18700000</v>
      </c>
      <c r="T24" s="10">
        <f t="shared" si="4"/>
        <v>23188000</v>
      </c>
      <c r="U24" s="17">
        <f t="shared" si="5"/>
        <v>0.71906325696673812</v>
      </c>
      <c r="V24" s="17">
        <f t="shared" si="6"/>
        <v>-7.9841269841269838E-2</v>
      </c>
      <c r="Y24" s="20">
        <v>46162</v>
      </c>
      <c r="Z24" s="10">
        <v>115135000</v>
      </c>
    </row>
    <row r="25" spans="1:26" x14ac:dyDescent="0.3">
      <c r="A25" s="8" t="s">
        <v>191</v>
      </c>
      <c r="B25" s="9" t="s">
        <v>481</v>
      </c>
      <c r="C25" s="9" t="s">
        <v>120</v>
      </c>
      <c r="D25" s="9" t="s">
        <v>137</v>
      </c>
      <c r="E25" s="9" t="s">
        <v>627</v>
      </c>
      <c r="F25" s="9" t="s">
        <v>617</v>
      </c>
      <c r="G25" s="9" t="s">
        <v>620</v>
      </c>
      <c r="H25" s="10">
        <v>3600000</v>
      </c>
      <c r="I25" s="10">
        <v>7055365.6881239684</v>
      </c>
      <c r="J25" s="10">
        <v>6000000</v>
      </c>
      <c r="K25" s="10">
        <f t="shared" si="1"/>
        <v>7440000</v>
      </c>
      <c r="L25" s="17">
        <f t="shared" si="2"/>
        <v>1.054516566380602</v>
      </c>
      <c r="M25" s="17">
        <f t="shared" si="3"/>
        <v>1.0666666666666667</v>
      </c>
      <c r="P25" s="9" t="s">
        <v>130</v>
      </c>
      <c r="Q25" s="10">
        <f t="shared" si="4"/>
        <v>281525000</v>
      </c>
      <c r="R25" s="10">
        <f t="shared" si="4"/>
        <v>311679943.4227047</v>
      </c>
      <c r="S25" s="10">
        <f t="shared" si="4"/>
        <v>260350000</v>
      </c>
      <c r="T25" s="10">
        <f t="shared" si="4"/>
        <v>322834000</v>
      </c>
      <c r="U25" s="17">
        <f t="shared" si="5"/>
        <v>1.0357868923319458</v>
      </c>
      <c r="V25" s="17">
        <f t="shared" si="6"/>
        <v>0.14673297220495515</v>
      </c>
      <c r="Y25" s="20">
        <v>46163</v>
      </c>
      <c r="Z25" s="10">
        <v>111600000</v>
      </c>
    </row>
    <row r="26" spans="1:26" x14ac:dyDescent="0.3">
      <c r="A26" s="8" t="s">
        <v>194</v>
      </c>
      <c r="B26" s="9" t="s">
        <v>484</v>
      </c>
      <c r="C26" s="9" t="s">
        <v>120</v>
      </c>
      <c r="D26" s="9" t="s">
        <v>137</v>
      </c>
      <c r="E26" s="9" t="s">
        <v>627</v>
      </c>
      <c r="F26" s="9" t="s">
        <v>617</v>
      </c>
      <c r="G26" s="9" t="s">
        <v>620</v>
      </c>
      <c r="H26" s="10">
        <v>5000000</v>
      </c>
      <c r="I26" s="10">
        <v>9557781.6894242112</v>
      </c>
      <c r="J26" s="10">
        <v>8500000</v>
      </c>
      <c r="K26" s="10">
        <f t="shared" si="1"/>
        <v>10540000</v>
      </c>
      <c r="L26" s="17">
        <f t="shared" si="2"/>
        <v>1.102766347097321</v>
      </c>
      <c r="M26" s="17">
        <f t="shared" si="3"/>
        <v>1.1080000000000001</v>
      </c>
      <c r="P26" s="9" t="s">
        <v>132</v>
      </c>
      <c r="Q26" s="10">
        <f t="shared" si="4"/>
        <v>152175000</v>
      </c>
      <c r="R26" s="10">
        <f t="shared" si="4"/>
        <v>197791184.33037552</v>
      </c>
      <c r="S26" s="10">
        <f t="shared" si="4"/>
        <v>147975000</v>
      </c>
      <c r="T26" s="10">
        <f t="shared" si="4"/>
        <v>183489000</v>
      </c>
      <c r="U26" s="17">
        <f t="shared" si="5"/>
        <v>0.92769048641477247</v>
      </c>
      <c r="V26" s="17">
        <f t="shared" si="6"/>
        <v>0.20577624445539675</v>
      </c>
      <c r="Y26" s="20">
        <v>46164</v>
      </c>
      <c r="Z26" s="10">
        <v>134685000</v>
      </c>
    </row>
    <row r="27" spans="1:26" x14ac:dyDescent="0.3">
      <c r="A27" s="8" t="s">
        <v>15</v>
      </c>
      <c r="B27" s="9" t="s">
        <v>333</v>
      </c>
      <c r="C27" s="9" t="s">
        <v>14</v>
      </c>
      <c r="D27" s="9" t="s">
        <v>24</v>
      </c>
      <c r="E27" s="9" t="s">
        <v>616</v>
      </c>
      <c r="F27" s="9" t="s">
        <v>617</v>
      </c>
      <c r="G27" s="9" t="s">
        <v>619</v>
      </c>
      <c r="H27" s="10">
        <v>43040000</v>
      </c>
      <c r="I27" s="10">
        <v>74655018.446502626</v>
      </c>
      <c r="J27" s="10">
        <v>61975000</v>
      </c>
      <c r="K27" s="10">
        <f t="shared" si="1"/>
        <v>76849000</v>
      </c>
      <c r="L27" s="17">
        <f t="shared" si="2"/>
        <v>1.0293882661762326</v>
      </c>
      <c r="M27" s="17">
        <f t="shared" si="3"/>
        <v>0.78552509293680295</v>
      </c>
      <c r="P27" s="9" t="s">
        <v>133</v>
      </c>
      <c r="Q27" s="10">
        <f t="shared" si="4"/>
        <v>226975000</v>
      </c>
      <c r="R27" s="10">
        <f t="shared" si="4"/>
        <v>300795934.20755029</v>
      </c>
      <c r="S27" s="10">
        <f t="shared" si="4"/>
        <v>193150000</v>
      </c>
      <c r="T27" s="10">
        <f t="shared" si="4"/>
        <v>239506000</v>
      </c>
      <c r="U27" s="17">
        <f t="shared" si="5"/>
        <v>0.7962408156579005</v>
      </c>
      <c r="V27" s="17">
        <f t="shared" si="6"/>
        <v>5.5208723427690273E-2</v>
      </c>
      <c r="Y27" s="20">
        <v>46165</v>
      </c>
      <c r="Z27" s="10">
        <v>220500000</v>
      </c>
    </row>
    <row r="28" spans="1:26" x14ac:dyDescent="0.3">
      <c r="A28" s="8" t="s">
        <v>17</v>
      </c>
      <c r="B28" s="9" t="s">
        <v>334</v>
      </c>
      <c r="C28" s="9" t="s">
        <v>14</v>
      </c>
      <c r="D28" s="9" t="s">
        <v>24</v>
      </c>
      <c r="E28" s="9" t="s">
        <v>616</v>
      </c>
      <c r="F28" s="9" t="s">
        <v>617</v>
      </c>
      <c r="G28" s="9" t="s">
        <v>619</v>
      </c>
      <c r="H28" s="10">
        <v>35175000</v>
      </c>
      <c r="I28" s="10">
        <v>61895815.298560999</v>
      </c>
      <c r="J28" s="10">
        <v>21100000</v>
      </c>
      <c r="K28" s="10">
        <f t="shared" si="1"/>
        <v>26164000</v>
      </c>
      <c r="L28" s="17">
        <f t="shared" si="2"/>
        <v>0.42271032175269335</v>
      </c>
      <c r="M28" s="17">
        <f t="shared" si="3"/>
        <v>-0.25617626154939588</v>
      </c>
      <c r="P28" s="9" t="s">
        <v>134</v>
      </c>
      <c r="Q28" s="10">
        <f t="shared" si="4"/>
        <v>243775000</v>
      </c>
      <c r="R28" s="10">
        <f t="shared" si="4"/>
        <v>311143921.5611518</v>
      </c>
      <c r="S28" s="10">
        <f t="shared" si="4"/>
        <v>186200000</v>
      </c>
      <c r="T28" s="10">
        <f t="shared" si="4"/>
        <v>230888000</v>
      </c>
      <c r="U28" s="17">
        <f t="shared" si="5"/>
        <v>0.74206174056535956</v>
      </c>
      <c r="V28" s="17">
        <f t="shared" si="6"/>
        <v>-5.28643216080402E-2</v>
      </c>
      <c r="Y28" s="20">
        <v>46166</v>
      </c>
      <c r="Z28" s="10">
        <v>277481000</v>
      </c>
    </row>
    <row r="29" spans="1:26" x14ac:dyDescent="0.3">
      <c r="A29" s="8" t="s">
        <v>27</v>
      </c>
      <c r="B29" s="9" t="s">
        <v>340</v>
      </c>
      <c r="C29" s="9" t="s">
        <v>14</v>
      </c>
      <c r="D29" s="9" t="s">
        <v>24</v>
      </c>
      <c r="E29" s="9" t="s">
        <v>616</v>
      </c>
      <c r="F29" s="9" t="s">
        <v>617</v>
      </c>
      <c r="G29" s="9" t="s">
        <v>619</v>
      </c>
      <c r="H29" s="10">
        <v>10500000</v>
      </c>
      <c r="I29" s="10">
        <v>20625073.901146986</v>
      </c>
      <c r="J29" s="10">
        <v>9700000</v>
      </c>
      <c r="K29" s="10">
        <f t="shared" si="1"/>
        <v>12028000</v>
      </c>
      <c r="L29" s="17">
        <f t="shared" si="2"/>
        <v>0.58317366801440207</v>
      </c>
      <c r="M29" s="17">
        <f t="shared" si="3"/>
        <v>0.14552380952380953</v>
      </c>
      <c r="P29" s="9" t="s">
        <v>135</v>
      </c>
      <c r="Q29" s="10">
        <f t="shared" si="4"/>
        <v>255225000</v>
      </c>
      <c r="R29" s="10">
        <f t="shared" si="4"/>
        <v>324308524.33874214</v>
      </c>
      <c r="S29" s="10">
        <f t="shared" si="4"/>
        <v>231325000</v>
      </c>
      <c r="T29" s="10">
        <f t="shared" si="4"/>
        <v>286843000</v>
      </c>
      <c r="U29" s="17">
        <f t="shared" si="5"/>
        <v>0.8844756720005017</v>
      </c>
      <c r="V29" s="17">
        <f t="shared" si="6"/>
        <v>0.12388284846703888</v>
      </c>
      <c r="Y29" s="20">
        <v>46167</v>
      </c>
      <c r="Z29" s="10">
        <v>134480000</v>
      </c>
    </row>
    <row r="30" spans="1:26" x14ac:dyDescent="0.3">
      <c r="A30" s="8" t="s">
        <v>170</v>
      </c>
      <c r="B30" s="9" t="s">
        <v>460</v>
      </c>
      <c r="C30" s="9" t="s">
        <v>120</v>
      </c>
      <c r="D30" s="9" t="s">
        <v>139</v>
      </c>
      <c r="E30" s="9" t="s">
        <v>625</v>
      </c>
      <c r="F30" s="9" t="s">
        <v>617</v>
      </c>
      <c r="G30" s="9" t="s">
        <v>619</v>
      </c>
      <c r="H30" s="10">
        <v>5650000</v>
      </c>
      <c r="I30" s="10">
        <v>6763819.2200674741</v>
      </c>
      <c r="J30" s="10">
        <v>3450000</v>
      </c>
      <c r="K30" s="10">
        <f t="shared" si="1"/>
        <v>4278000</v>
      </c>
      <c r="L30" s="17">
        <f t="shared" si="2"/>
        <v>0.63248290068245261</v>
      </c>
      <c r="M30" s="17">
        <f t="shared" si="3"/>
        <v>-0.24283185840707966</v>
      </c>
      <c r="P30" s="9" t="s">
        <v>137</v>
      </c>
      <c r="Q30" s="10">
        <f t="shared" si="4"/>
        <v>257725000</v>
      </c>
      <c r="R30" s="10">
        <f t="shared" si="4"/>
        <v>331541289.13911438</v>
      </c>
      <c r="S30" s="10">
        <f t="shared" si="4"/>
        <v>221925000</v>
      </c>
      <c r="T30" s="10">
        <f t="shared" si="4"/>
        <v>275187000</v>
      </c>
      <c r="U30" s="17">
        <f t="shared" si="5"/>
        <v>0.83002331539023433</v>
      </c>
      <c r="V30" s="17">
        <f t="shared" si="6"/>
        <v>6.7754389368512954E-2</v>
      </c>
      <c r="Y30" s="20">
        <v>46168</v>
      </c>
      <c r="Z30" s="10" t="s">
        <v>331</v>
      </c>
    </row>
    <row r="31" spans="1:26" x14ac:dyDescent="0.3">
      <c r="A31" s="8" t="s">
        <v>206</v>
      </c>
      <c r="B31" s="9" t="s">
        <v>496</v>
      </c>
      <c r="C31" s="9" t="s">
        <v>118</v>
      </c>
      <c r="D31" s="9" t="s">
        <v>132</v>
      </c>
      <c r="E31" s="9" t="s">
        <v>628</v>
      </c>
      <c r="F31" s="9" t="s">
        <v>617</v>
      </c>
      <c r="G31" s="9" t="s">
        <v>619</v>
      </c>
      <c r="H31" s="10">
        <v>68825000</v>
      </c>
      <c r="I31" s="10">
        <v>78686655.982573465</v>
      </c>
      <c r="J31" s="10">
        <v>48900000</v>
      </c>
      <c r="K31" s="10">
        <f t="shared" si="1"/>
        <v>60636000</v>
      </c>
      <c r="L31" s="17">
        <f t="shared" si="2"/>
        <v>0.7706007993709747</v>
      </c>
      <c r="M31" s="17">
        <f t="shared" si="3"/>
        <v>-0.11898292771521976</v>
      </c>
      <c r="P31" s="9" t="s">
        <v>139</v>
      </c>
      <c r="Q31" s="10">
        <f t="shared" si="4"/>
        <v>497055000</v>
      </c>
      <c r="R31" s="10">
        <f t="shared" si="4"/>
        <v>597807824.73121583</v>
      </c>
      <c r="S31" s="10">
        <f t="shared" si="4"/>
        <v>430895000</v>
      </c>
      <c r="T31" s="10">
        <f t="shared" si="4"/>
        <v>534309800</v>
      </c>
      <c r="U31" s="17">
        <f t="shared" si="5"/>
        <v>0.8937818775460733</v>
      </c>
      <c r="V31" s="17">
        <f t="shared" si="6"/>
        <v>7.4951061753729467E-2</v>
      </c>
      <c r="Y31" s="20">
        <v>46169</v>
      </c>
      <c r="Z31" s="10" t="s">
        <v>331</v>
      </c>
    </row>
    <row r="32" spans="1:26" x14ac:dyDescent="0.3">
      <c r="A32" s="8" t="s">
        <v>215</v>
      </c>
      <c r="B32" s="9" t="s">
        <v>505</v>
      </c>
      <c r="C32" s="9" t="s">
        <v>118</v>
      </c>
      <c r="D32" s="9" t="s">
        <v>132</v>
      </c>
      <c r="E32" s="9" t="s">
        <v>628</v>
      </c>
      <c r="F32" s="9" t="s">
        <v>617</v>
      </c>
      <c r="G32" s="9" t="s">
        <v>619</v>
      </c>
      <c r="H32" s="10">
        <v>12350000</v>
      </c>
      <c r="I32" s="10">
        <v>25919393.012291968</v>
      </c>
      <c r="J32" s="10">
        <v>15975000</v>
      </c>
      <c r="K32" s="10">
        <f t="shared" si="1"/>
        <v>19809000</v>
      </c>
      <c r="L32" s="17">
        <f t="shared" si="2"/>
        <v>0.76425400820944434</v>
      </c>
      <c r="M32" s="17">
        <f t="shared" si="3"/>
        <v>0.60396761133603238</v>
      </c>
      <c r="P32" s="4" t="s">
        <v>62</v>
      </c>
      <c r="Q32" s="12">
        <f>SUM(Q12:Q31)</f>
        <v>4989366000</v>
      </c>
      <c r="R32" s="12">
        <f>SUM(R12:R31)</f>
        <v>6650299861.0000019</v>
      </c>
      <c r="S32" s="12">
        <f>SUM(S12:S31)</f>
        <v>4285215000</v>
      </c>
      <c r="T32" s="12">
        <f>SUM(T12:T31)</f>
        <v>5313666600</v>
      </c>
      <c r="U32" s="13">
        <f t="shared" si="5"/>
        <v>0.79901158008850848</v>
      </c>
      <c r="V32" s="18">
        <f t="shared" si="6"/>
        <v>6.4998358508876683E-2</v>
      </c>
      <c r="Y32" s="20">
        <v>46170</v>
      </c>
      <c r="Z32" s="10" t="s">
        <v>331</v>
      </c>
    </row>
    <row r="33" spans="1:26" x14ac:dyDescent="0.3">
      <c r="A33" s="8" t="s">
        <v>19</v>
      </c>
      <c r="B33" s="9" t="s">
        <v>335</v>
      </c>
      <c r="C33" s="9" t="s">
        <v>14</v>
      </c>
      <c r="D33" s="9" t="s">
        <v>26</v>
      </c>
      <c r="E33" s="9" t="s">
        <v>616</v>
      </c>
      <c r="F33" s="9" t="s">
        <v>617</v>
      </c>
      <c r="G33" s="9" t="s">
        <v>619</v>
      </c>
      <c r="H33" s="10">
        <v>39300000</v>
      </c>
      <c r="I33" s="10">
        <v>56296710.9796395</v>
      </c>
      <c r="J33" s="10">
        <v>39350000</v>
      </c>
      <c r="K33" s="10">
        <f t="shared" si="1"/>
        <v>48794000</v>
      </c>
      <c r="L33" s="17">
        <f t="shared" si="2"/>
        <v>0.86672914191465</v>
      </c>
      <c r="M33" s="17">
        <f t="shared" si="3"/>
        <v>0.24157760814249363</v>
      </c>
      <c r="Y33" s="20">
        <v>46171</v>
      </c>
      <c r="Z33" s="10" t="s">
        <v>331</v>
      </c>
    </row>
    <row r="34" spans="1:26" x14ac:dyDescent="0.3">
      <c r="A34" s="8" t="s">
        <v>25</v>
      </c>
      <c r="B34" s="9" t="s">
        <v>339</v>
      </c>
      <c r="C34" s="9" t="s">
        <v>14</v>
      </c>
      <c r="D34" s="9" t="s">
        <v>26</v>
      </c>
      <c r="E34" s="9" t="s">
        <v>616</v>
      </c>
      <c r="F34" s="9" t="s">
        <v>617</v>
      </c>
      <c r="G34" s="9" t="s">
        <v>619</v>
      </c>
      <c r="H34" s="10">
        <v>6275000</v>
      </c>
      <c r="I34" s="10">
        <v>16684930.766252303</v>
      </c>
      <c r="J34" s="10">
        <v>11475000</v>
      </c>
      <c r="K34" s="10">
        <f t="shared" si="1"/>
        <v>14229000</v>
      </c>
      <c r="L34" s="17">
        <f t="shared" si="2"/>
        <v>0.85280545657283879</v>
      </c>
      <c r="M34" s="17">
        <f t="shared" si="3"/>
        <v>1.2675697211155379</v>
      </c>
      <c r="Y34" s="20">
        <v>46172</v>
      </c>
      <c r="Z34" s="10" t="s">
        <v>331</v>
      </c>
    </row>
    <row r="35" spans="1:26" x14ac:dyDescent="0.3">
      <c r="A35" s="8" t="s">
        <v>41</v>
      </c>
      <c r="B35" s="9" t="s">
        <v>347</v>
      </c>
      <c r="C35" s="9" t="s">
        <v>14</v>
      </c>
      <c r="D35" s="9" t="s">
        <v>32</v>
      </c>
      <c r="E35" s="9" t="s">
        <v>616</v>
      </c>
      <c r="F35" s="9" t="s">
        <v>617</v>
      </c>
      <c r="G35" s="9" t="s">
        <v>619</v>
      </c>
      <c r="H35" s="10">
        <v>105900000</v>
      </c>
      <c r="I35" s="10">
        <v>104923484.55393</v>
      </c>
      <c r="J35" s="10">
        <v>86850000</v>
      </c>
      <c r="K35" s="10">
        <f t="shared" si="1"/>
        <v>107694000</v>
      </c>
      <c r="L35" s="17">
        <f t="shared" si="2"/>
        <v>1.0264051032792947</v>
      </c>
      <c r="M35" s="17">
        <f t="shared" si="3"/>
        <v>1.6940509915014165E-2</v>
      </c>
      <c r="Y35" s="20">
        <v>46173</v>
      </c>
      <c r="Z35" s="10" t="s">
        <v>331</v>
      </c>
    </row>
    <row r="36" spans="1:26" x14ac:dyDescent="0.3">
      <c r="A36" s="8" t="s">
        <v>119</v>
      </c>
      <c r="B36" s="9" t="s">
        <v>418</v>
      </c>
      <c r="C36" s="9" t="s">
        <v>14</v>
      </c>
      <c r="D36" s="9" t="s">
        <v>32</v>
      </c>
      <c r="E36" s="9" t="s">
        <v>616</v>
      </c>
      <c r="F36" s="9" t="s">
        <v>617</v>
      </c>
      <c r="G36" s="9" t="s">
        <v>619</v>
      </c>
      <c r="H36" s="10">
        <v>60200000</v>
      </c>
      <c r="I36" s="10">
        <v>120855231.05614646</v>
      </c>
      <c r="J36" s="10">
        <v>43275000</v>
      </c>
      <c r="K36" s="10">
        <f t="shared" si="1"/>
        <v>53661000</v>
      </c>
      <c r="L36" s="17">
        <f t="shared" si="2"/>
        <v>0.44401056976234965</v>
      </c>
      <c r="M36" s="17">
        <f t="shared" si="3"/>
        <v>-0.10862126245847176</v>
      </c>
      <c r="Y36" s="7" t="s">
        <v>62</v>
      </c>
      <c r="Z36" s="12">
        <f>SUM(Z5:Z35)</f>
        <v>4454261000</v>
      </c>
    </row>
    <row r="37" spans="1:26" x14ac:dyDescent="0.3">
      <c r="A37" s="8" t="s">
        <v>205</v>
      </c>
      <c r="B37" s="9" t="s">
        <v>495</v>
      </c>
      <c r="C37" s="9" t="s">
        <v>118</v>
      </c>
      <c r="D37" s="9" t="s">
        <v>132</v>
      </c>
      <c r="E37" s="9" t="s">
        <v>628</v>
      </c>
      <c r="F37" s="9" t="s">
        <v>617</v>
      </c>
      <c r="G37" s="9" t="s">
        <v>619</v>
      </c>
      <c r="H37" s="10">
        <v>41300000</v>
      </c>
      <c r="I37" s="10">
        <v>55774222.052022614</v>
      </c>
      <c r="J37" s="10">
        <v>57450000</v>
      </c>
      <c r="K37" s="10">
        <f t="shared" si="1"/>
        <v>71238000</v>
      </c>
      <c r="L37" s="17">
        <f t="shared" si="2"/>
        <v>1.2772567214573387</v>
      </c>
      <c r="M37" s="17">
        <f t="shared" si="3"/>
        <v>0.72489104116222758</v>
      </c>
    </row>
    <row r="38" spans="1:26" x14ac:dyDescent="0.3">
      <c r="A38" s="8" t="s">
        <v>185</v>
      </c>
      <c r="B38" s="9" t="s">
        <v>475</v>
      </c>
      <c r="C38" s="9" t="s">
        <v>120</v>
      </c>
      <c r="D38" s="9" t="s">
        <v>137</v>
      </c>
      <c r="E38" s="9" t="s">
        <v>627</v>
      </c>
      <c r="F38" s="9" t="s">
        <v>617</v>
      </c>
      <c r="G38" s="9" t="s">
        <v>619</v>
      </c>
      <c r="H38" s="10">
        <v>22775000</v>
      </c>
      <c r="I38" s="10">
        <v>44809015.233252011</v>
      </c>
      <c r="J38" s="10">
        <v>35125000</v>
      </c>
      <c r="K38" s="10">
        <f t="shared" si="1"/>
        <v>43555000</v>
      </c>
      <c r="L38" s="17">
        <f t="shared" si="2"/>
        <v>0.97201422020269201</v>
      </c>
      <c r="M38" s="17">
        <f t="shared" si="3"/>
        <v>0.91240395170142696</v>
      </c>
    </row>
    <row r="39" spans="1:26" x14ac:dyDescent="0.3">
      <c r="A39" s="8" t="s">
        <v>175</v>
      </c>
      <c r="B39" s="9" t="s">
        <v>465</v>
      </c>
      <c r="C39" s="9" t="s">
        <v>120</v>
      </c>
      <c r="D39" s="9" t="s">
        <v>139</v>
      </c>
      <c r="E39" s="9" t="s">
        <v>626</v>
      </c>
      <c r="F39" s="9" t="s">
        <v>617</v>
      </c>
      <c r="G39" s="9" t="s">
        <v>619</v>
      </c>
      <c r="H39" s="10">
        <v>42750000</v>
      </c>
      <c r="I39" s="10">
        <v>40681941.093510613</v>
      </c>
      <c r="J39" s="10">
        <v>24775000</v>
      </c>
      <c r="K39" s="10">
        <f t="shared" si="1"/>
        <v>30721000</v>
      </c>
      <c r="L39" s="17">
        <f t="shared" si="2"/>
        <v>0.75515079109390049</v>
      </c>
      <c r="M39" s="17">
        <f t="shared" si="3"/>
        <v>-0.28138011695906434</v>
      </c>
    </row>
    <row r="40" spans="1:26" x14ac:dyDescent="0.3">
      <c r="A40" s="8" t="s">
        <v>131</v>
      </c>
      <c r="B40" s="9" t="s">
        <v>427</v>
      </c>
      <c r="C40" s="9" t="s">
        <v>16</v>
      </c>
      <c r="D40" s="9" t="s">
        <v>36</v>
      </c>
      <c r="E40" s="9" t="s">
        <v>616</v>
      </c>
      <c r="F40" s="9" t="s">
        <v>617</v>
      </c>
      <c r="G40" s="9" t="s">
        <v>622</v>
      </c>
      <c r="H40" s="10">
        <v>50650000</v>
      </c>
      <c r="I40" s="10">
        <v>53299166.112810418</v>
      </c>
      <c r="J40" s="10">
        <v>46700000</v>
      </c>
      <c r="K40" s="10">
        <f t="shared" si="1"/>
        <v>57908000</v>
      </c>
      <c r="L40" s="17">
        <f t="shared" si="2"/>
        <v>1.0864710317875284</v>
      </c>
      <c r="M40" s="17">
        <f t="shared" si="3"/>
        <v>0.14329713721618953</v>
      </c>
    </row>
    <row r="41" spans="1:26" x14ac:dyDescent="0.3">
      <c r="A41" s="8" t="s">
        <v>125</v>
      </c>
      <c r="B41" s="9" t="s">
        <v>423</v>
      </c>
      <c r="C41" s="9" t="s">
        <v>16</v>
      </c>
      <c r="D41" s="9" t="s">
        <v>36</v>
      </c>
      <c r="E41" s="9" t="s">
        <v>616</v>
      </c>
      <c r="F41" s="9" t="s">
        <v>617</v>
      </c>
      <c r="G41" s="9" t="s">
        <v>622</v>
      </c>
      <c r="H41" s="10">
        <v>30600000</v>
      </c>
      <c r="I41" s="10">
        <v>35185628.233659685</v>
      </c>
      <c r="J41" s="10">
        <v>24050000</v>
      </c>
      <c r="K41" s="10">
        <f t="shared" si="1"/>
        <v>29822000</v>
      </c>
      <c r="L41" s="17">
        <f t="shared" si="2"/>
        <v>0.84756195916011334</v>
      </c>
      <c r="M41" s="17">
        <f t="shared" si="3"/>
        <v>-2.5424836601307191E-2</v>
      </c>
    </row>
    <row r="42" spans="1:26" x14ac:dyDescent="0.3">
      <c r="A42" s="8" t="s">
        <v>58</v>
      </c>
      <c r="B42" s="9" t="s">
        <v>362</v>
      </c>
      <c r="C42" s="9" t="s">
        <v>16</v>
      </c>
      <c r="D42" s="9" t="s">
        <v>36</v>
      </c>
      <c r="E42" s="9" t="s">
        <v>616</v>
      </c>
      <c r="F42" s="9" t="s">
        <v>617</v>
      </c>
      <c r="G42" s="9" t="s">
        <v>622</v>
      </c>
      <c r="H42" s="10">
        <v>37425000</v>
      </c>
      <c r="I42" s="10">
        <v>59598746.860029101</v>
      </c>
      <c r="J42" s="10">
        <v>41025000</v>
      </c>
      <c r="K42" s="10">
        <f t="shared" si="1"/>
        <v>50871000</v>
      </c>
      <c r="L42" s="17">
        <f t="shared" si="2"/>
        <v>0.85355821523350672</v>
      </c>
      <c r="M42" s="17">
        <f t="shared" si="3"/>
        <v>0.35927855711422846</v>
      </c>
    </row>
    <row r="43" spans="1:26" x14ac:dyDescent="0.3">
      <c r="A43" s="8" t="s">
        <v>37</v>
      </c>
      <c r="B43" s="9" t="s">
        <v>345</v>
      </c>
      <c r="C43" s="9" t="s">
        <v>16</v>
      </c>
      <c r="D43" s="9" t="s">
        <v>38</v>
      </c>
      <c r="E43" s="9" t="s">
        <v>616</v>
      </c>
      <c r="F43" s="9" t="s">
        <v>617</v>
      </c>
      <c r="G43" s="9" t="s">
        <v>621</v>
      </c>
      <c r="H43" s="10">
        <v>150250000</v>
      </c>
      <c r="I43" s="10">
        <v>156311565.03960115</v>
      </c>
      <c r="J43" s="10">
        <v>102625000</v>
      </c>
      <c r="K43" s="10">
        <f t="shared" si="1"/>
        <v>127255000</v>
      </c>
      <c r="L43" s="17">
        <f t="shared" si="2"/>
        <v>0.81411122694446991</v>
      </c>
      <c r="M43" s="17">
        <f t="shared" si="3"/>
        <v>-0.15304492512479201</v>
      </c>
    </row>
    <row r="44" spans="1:26" x14ac:dyDescent="0.3">
      <c r="A44" s="8" t="s">
        <v>171</v>
      </c>
      <c r="B44" s="9" t="s">
        <v>461</v>
      </c>
      <c r="C44" s="9" t="s">
        <v>120</v>
      </c>
      <c r="D44" s="9" t="s">
        <v>139</v>
      </c>
      <c r="E44" s="9" t="s">
        <v>625</v>
      </c>
      <c r="F44" s="9" t="s">
        <v>617</v>
      </c>
      <c r="G44" s="9" t="s">
        <v>621</v>
      </c>
      <c r="H44" s="10">
        <v>31800000</v>
      </c>
      <c r="I44" s="10">
        <v>33604922.711089</v>
      </c>
      <c r="J44" s="10">
        <v>29900000</v>
      </c>
      <c r="K44" s="10">
        <f t="shared" si="1"/>
        <v>37076000</v>
      </c>
      <c r="L44" s="17">
        <f t="shared" si="2"/>
        <v>1.1032907386442405</v>
      </c>
      <c r="M44" s="17">
        <f t="shared" si="3"/>
        <v>0.1659119496855346</v>
      </c>
    </row>
    <row r="45" spans="1:26" x14ac:dyDescent="0.3">
      <c r="A45" s="8" t="s">
        <v>211</v>
      </c>
      <c r="B45" s="9" t="s">
        <v>501</v>
      </c>
      <c r="C45" s="9" t="s">
        <v>118</v>
      </c>
      <c r="D45" s="9" t="s">
        <v>133</v>
      </c>
      <c r="E45" s="9" t="s">
        <v>628</v>
      </c>
      <c r="F45" s="9" t="s">
        <v>617</v>
      </c>
      <c r="G45" s="9" t="s">
        <v>621</v>
      </c>
      <c r="H45" s="10">
        <v>950000</v>
      </c>
      <c r="I45" s="10">
        <v>3901603.6925986186</v>
      </c>
      <c r="J45" s="10">
        <v>2825000</v>
      </c>
      <c r="K45" s="10">
        <f t="shared" si="1"/>
        <v>3503000</v>
      </c>
      <c r="L45" s="17">
        <f t="shared" si="2"/>
        <v>0.89783593516820437</v>
      </c>
      <c r="M45" s="17">
        <f t="shared" si="3"/>
        <v>2.6873684210526316</v>
      </c>
    </row>
    <row r="46" spans="1:26" x14ac:dyDescent="0.3">
      <c r="A46" s="8" t="s">
        <v>212</v>
      </c>
      <c r="B46" s="9" t="s">
        <v>502</v>
      </c>
      <c r="C46" s="9" t="s">
        <v>118</v>
      </c>
      <c r="D46" s="9" t="s">
        <v>133</v>
      </c>
      <c r="E46" s="9" t="s">
        <v>628</v>
      </c>
      <c r="F46" s="9" t="s">
        <v>617</v>
      </c>
      <c r="G46" s="9" t="s">
        <v>621</v>
      </c>
      <c r="H46" s="10">
        <v>68900000</v>
      </c>
      <c r="I46" s="10">
        <v>91096062.207690537</v>
      </c>
      <c r="J46" s="10">
        <v>69250000</v>
      </c>
      <c r="K46" s="10">
        <f t="shared" si="1"/>
        <v>85870000</v>
      </c>
      <c r="L46" s="17">
        <f t="shared" si="2"/>
        <v>0.9426313050088202</v>
      </c>
      <c r="M46" s="17">
        <f t="shared" si="3"/>
        <v>0.24629898403483308</v>
      </c>
    </row>
    <row r="47" spans="1:26" x14ac:dyDescent="0.3">
      <c r="A47" s="8" t="s">
        <v>193</v>
      </c>
      <c r="B47" s="9" t="s">
        <v>483</v>
      </c>
      <c r="C47" s="9" t="s">
        <v>120</v>
      </c>
      <c r="D47" s="9" t="s">
        <v>135</v>
      </c>
      <c r="E47" s="9" t="s">
        <v>627</v>
      </c>
      <c r="F47" s="9" t="s">
        <v>617</v>
      </c>
      <c r="G47" s="9" t="s">
        <v>621</v>
      </c>
      <c r="H47" s="10">
        <v>86550000</v>
      </c>
      <c r="I47" s="10">
        <v>97639824.154189631</v>
      </c>
      <c r="J47" s="10">
        <v>81650000</v>
      </c>
      <c r="K47" s="10">
        <f t="shared" si="1"/>
        <v>101246000</v>
      </c>
      <c r="L47" s="17">
        <f t="shared" si="2"/>
        <v>1.0369334528922913</v>
      </c>
      <c r="M47" s="17">
        <f t="shared" si="3"/>
        <v>0.16979780473714615</v>
      </c>
    </row>
    <row r="48" spans="1:26" x14ac:dyDescent="0.3">
      <c r="A48" s="8" t="s">
        <v>180</v>
      </c>
      <c r="B48" s="9" t="s">
        <v>470</v>
      </c>
      <c r="C48" s="9" t="s">
        <v>120</v>
      </c>
      <c r="D48" s="9" t="s">
        <v>139</v>
      </c>
      <c r="E48" s="9" t="s">
        <v>626</v>
      </c>
      <c r="F48" s="9" t="s">
        <v>617</v>
      </c>
      <c r="G48" s="9" t="s">
        <v>621</v>
      </c>
      <c r="H48" s="10">
        <v>84950000</v>
      </c>
      <c r="I48" s="10">
        <v>93643195.729822844</v>
      </c>
      <c r="J48" s="10">
        <v>65850000</v>
      </c>
      <c r="K48" s="10">
        <f t="shared" si="1"/>
        <v>81654000</v>
      </c>
      <c r="L48" s="17">
        <f t="shared" si="2"/>
        <v>0.87196938724289386</v>
      </c>
      <c r="M48" s="17">
        <f t="shared" si="3"/>
        <v>-3.8799293702177752E-2</v>
      </c>
    </row>
    <row r="49" spans="1:13" x14ac:dyDescent="0.3">
      <c r="A49" s="8" t="s">
        <v>124</v>
      </c>
      <c r="B49" s="9" t="s">
        <v>422</v>
      </c>
      <c r="C49" s="9" t="s">
        <v>16</v>
      </c>
      <c r="D49" s="9" t="s">
        <v>38</v>
      </c>
      <c r="E49" s="9" t="s">
        <v>616</v>
      </c>
      <c r="F49" s="9" t="s">
        <v>617</v>
      </c>
      <c r="G49" s="9" t="s">
        <v>621</v>
      </c>
      <c r="H49" s="10">
        <v>77550000</v>
      </c>
      <c r="I49" s="10">
        <v>96390087.124619499</v>
      </c>
      <c r="J49" s="10">
        <v>52700000</v>
      </c>
      <c r="K49" s="10">
        <f t="shared" si="1"/>
        <v>65348000</v>
      </c>
      <c r="L49" s="17">
        <f t="shared" si="2"/>
        <v>0.67795353183480134</v>
      </c>
      <c r="M49" s="17">
        <f t="shared" si="3"/>
        <v>-0.15734364925854288</v>
      </c>
    </row>
    <row r="50" spans="1:13" x14ac:dyDescent="0.3">
      <c r="A50" s="8" t="s">
        <v>39</v>
      </c>
      <c r="B50" s="9" t="s">
        <v>346</v>
      </c>
      <c r="C50" s="9" t="s">
        <v>16</v>
      </c>
      <c r="D50" s="9" t="s">
        <v>38</v>
      </c>
      <c r="E50" s="9" t="s">
        <v>616</v>
      </c>
      <c r="F50" s="9" t="s">
        <v>617</v>
      </c>
      <c r="G50" s="9" t="s">
        <v>621</v>
      </c>
      <c r="H50" s="10">
        <v>94775000</v>
      </c>
      <c r="I50" s="10">
        <v>113903468.80312923</v>
      </c>
      <c r="J50" s="10">
        <v>75000000</v>
      </c>
      <c r="K50" s="10">
        <f t="shared" si="1"/>
        <v>93000000</v>
      </c>
      <c r="L50" s="17">
        <f t="shared" si="2"/>
        <v>0.81648084098949802</v>
      </c>
      <c r="M50" s="17">
        <f t="shared" si="3"/>
        <v>-1.8728567660247955E-2</v>
      </c>
    </row>
    <row r="51" spans="1:13" x14ac:dyDescent="0.3">
      <c r="A51" s="8" t="s">
        <v>126</v>
      </c>
      <c r="B51" s="9" t="s">
        <v>424</v>
      </c>
      <c r="C51" s="9" t="s">
        <v>16</v>
      </c>
      <c r="D51" s="9" t="s">
        <v>36</v>
      </c>
      <c r="E51" s="9" t="s">
        <v>616</v>
      </c>
      <c r="F51" s="9" t="s">
        <v>617</v>
      </c>
      <c r="G51" s="9" t="s">
        <v>621</v>
      </c>
      <c r="H51" s="10">
        <v>46025000</v>
      </c>
      <c r="I51" s="10">
        <v>47804206.546353094</v>
      </c>
      <c r="J51" s="10">
        <v>36225000</v>
      </c>
      <c r="K51" s="10">
        <f t="shared" si="1"/>
        <v>44919000</v>
      </c>
      <c r="L51" s="17">
        <f t="shared" si="2"/>
        <v>0.93964534180573689</v>
      </c>
      <c r="M51" s="17">
        <f t="shared" si="3"/>
        <v>-2.4030418250950571E-2</v>
      </c>
    </row>
    <row r="52" spans="1:13" x14ac:dyDescent="0.3">
      <c r="A52" s="8" t="s">
        <v>189</v>
      </c>
      <c r="B52" s="9" t="s">
        <v>479</v>
      </c>
      <c r="C52" s="9" t="s">
        <v>120</v>
      </c>
      <c r="D52" s="9" t="s">
        <v>135</v>
      </c>
      <c r="E52" s="9" t="s">
        <v>627</v>
      </c>
      <c r="F52" s="9" t="s">
        <v>617</v>
      </c>
      <c r="G52" s="9" t="s">
        <v>621</v>
      </c>
      <c r="H52" s="10">
        <v>21325000</v>
      </c>
      <c r="I52" s="10">
        <v>22305217.068725836</v>
      </c>
      <c r="J52" s="10">
        <v>19000000</v>
      </c>
      <c r="K52" s="10">
        <f t="shared" si="1"/>
        <v>23560000</v>
      </c>
      <c r="L52" s="17">
        <f t="shared" si="2"/>
        <v>1.0562551320351639</v>
      </c>
      <c r="M52" s="17">
        <f t="shared" si="3"/>
        <v>0.10480656506447832</v>
      </c>
    </row>
    <row r="53" spans="1:13" x14ac:dyDescent="0.3">
      <c r="A53" s="8" t="s">
        <v>172</v>
      </c>
      <c r="B53" s="9" t="s">
        <v>462</v>
      </c>
      <c r="C53" s="9" t="s">
        <v>120</v>
      </c>
      <c r="D53" s="9" t="s">
        <v>139</v>
      </c>
      <c r="E53" s="9" t="s">
        <v>626</v>
      </c>
      <c r="F53" s="9" t="s">
        <v>617</v>
      </c>
      <c r="G53" s="9" t="s">
        <v>621</v>
      </c>
      <c r="H53" s="10">
        <v>46965000</v>
      </c>
      <c r="I53" s="10">
        <v>48392006.589922093</v>
      </c>
      <c r="J53" s="10">
        <v>36275000</v>
      </c>
      <c r="K53" s="10">
        <f t="shared" si="1"/>
        <v>44981000</v>
      </c>
      <c r="L53" s="17">
        <f t="shared" si="2"/>
        <v>0.9295130160890569</v>
      </c>
      <c r="M53" s="17">
        <f t="shared" si="3"/>
        <v>-4.2244224422442245E-2</v>
      </c>
    </row>
    <row r="54" spans="1:13" x14ac:dyDescent="0.3">
      <c r="A54" s="8" t="s">
        <v>173</v>
      </c>
      <c r="B54" s="9" t="s">
        <v>463</v>
      </c>
      <c r="C54" s="9" t="s">
        <v>120</v>
      </c>
      <c r="D54" s="9" t="s">
        <v>139</v>
      </c>
      <c r="E54" s="9" t="s">
        <v>626</v>
      </c>
      <c r="F54" s="9" t="s">
        <v>617</v>
      </c>
      <c r="G54" s="9" t="s">
        <v>621</v>
      </c>
      <c r="H54" s="10">
        <v>44600000</v>
      </c>
      <c r="I54" s="10">
        <v>55007846.119341321</v>
      </c>
      <c r="J54" s="10">
        <v>28875000</v>
      </c>
      <c r="K54" s="10">
        <f t="shared" si="1"/>
        <v>35805000</v>
      </c>
      <c r="L54" s="17">
        <f t="shared" si="2"/>
        <v>0.65090714372491298</v>
      </c>
      <c r="M54" s="17">
        <f t="shared" si="3"/>
        <v>-0.19719730941704036</v>
      </c>
    </row>
    <row r="55" spans="1:13" x14ac:dyDescent="0.3">
      <c r="A55" s="8" t="s">
        <v>59</v>
      </c>
      <c r="B55" s="9" t="s">
        <v>363</v>
      </c>
      <c r="C55" s="9" t="s">
        <v>14</v>
      </c>
      <c r="D55" s="9" t="s">
        <v>30</v>
      </c>
      <c r="E55" s="9" t="s">
        <v>616</v>
      </c>
      <c r="F55" s="9" t="s">
        <v>617</v>
      </c>
      <c r="G55" s="9" t="s">
        <v>620</v>
      </c>
      <c r="H55" s="10">
        <v>43075000</v>
      </c>
      <c r="I55" s="10">
        <v>41038916.355205625</v>
      </c>
      <c r="J55" s="10">
        <v>28675000</v>
      </c>
      <c r="K55" s="10">
        <f t="shared" si="1"/>
        <v>35557000</v>
      </c>
      <c r="L55" s="17">
        <f t="shared" si="2"/>
        <v>0.86642151299128378</v>
      </c>
      <c r="M55" s="17">
        <f t="shared" si="3"/>
        <v>-0.17453279164248403</v>
      </c>
    </row>
    <row r="56" spans="1:13" x14ac:dyDescent="0.3">
      <c r="A56" s="8" t="s">
        <v>209</v>
      </c>
      <c r="B56" s="9" t="s">
        <v>499</v>
      </c>
      <c r="C56" s="9" t="s">
        <v>118</v>
      </c>
      <c r="D56" s="9" t="s">
        <v>130</v>
      </c>
      <c r="E56" s="9" t="s">
        <v>628</v>
      </c>
      <c r="F56" s="9" t="s">
        <v>617</v>
      </c>
      <c r="G56" s="9" t="s">
        <v>620</v>
      </c>
      <c r="H56" s="10">
        <v>126800000</v>
      </c>
      <c r="I56" s="10">
        <v>127259886.20955187</v>
      </c>
      <c r="J56" s="10">
        <v>144675000</v>
      </c>
      <c r="K56" s="10">
        <f t="shared" si="1"/>
        <v>179397000</v>
      </c>
      <c r="L56" s="17">
        <f t="shared" si="2"/>
        <v>1.4096900865100319</v>
      </c>
      <c r="M56" s="17">
        <f t="shared" si="3"/>
        <v>0.41480283911671922</v>
      </c>
    </row>
    <row r="57" spans="1:13" x14ac:dyDescent="0.3">
      <c r="A57" s="8" t="s">
        <v>227</v>
      </c>
      <c r="B57" s="9" t="s">
        <v>517</v>
      </c>
      <c r="C57" s="9" t="s">
        <v>118</v>
      </c>
      <c r="D57" s="9" t="s">
        <v>130</v>
      </c>
      <c r="E57" s="9" t="s">
        <v>628</v>
      </c>
      <c r="F57" s="9" t="s">
        <v>617</v>
      </c>
      <c r="G57" s="9" t="s">
        <v>620</v>
      </c>
      <c r="H57" s="10">
        <v>4250000</v>
      </c>
      <c r="I57" s="10">
        <v>8240379.9901739787</v>
      </c>
      <c r="J57" s="10">
        <v>3750000</v>
      </c>
      <c r="K57" s="10">
        <f t="shared" si="1"/>
        <v>4650000</v>
      </c>
      <c r="L57" s="17">
        <f t="shared" si="2"/>
        <v>0.56429436573856651</v>
      </c>
      <c r="M57" s="17">
        <f t="shared" si="3"/>
        <v>9.4117647058823528E-2</v>
      </c>
    </row>
    <row r="58" spans="1:13" x14ac:dyDescent="0.3">
      <c r="A58" s="8" t="s">
        <v>207</v>
      </c>
      <c r="B58" s="9" t="s">
        <v>497</v>
      </c>
      <c r="C58" s="9" t="s">
        <v>118</v>
      </c>
      <c r="D58" s="9" t="s">
        <v>130</v>
      </c>
      <c r="E58" s="9" t="s">
        <v>628</v>
      </c>
      <c r="F58" s="9" t="s">
        <v>617</v>
      </c>
      <c r="G58" s="9" t="s">
        <v>620</v>
      </c>
      <c r="H58" s="10">
        <v>103250000</v>
      </c>
      <c r="I58" s="10">
        <v>126075460.29593387</v>
      </c>
      <c r="J58" s="10">
        <v>79275000</v>
      </c>
      <c r="K58" s="10">
        <f t="shared" si="1"/>
        <v>98301000</v>
      </c>
      <c r="L58" s="17">
        <f t="shared" si="2"/>
        <v>0.77969971134160798</v>
      </c>
      <c r="M58" s="17">
        <f t="shared" si="3"/>
        <v>-4.7932203389830508E-2</v>
      </c>
    </row>
    <row r="59" spans="1:13" x14ac:dyDescent="0.3">
      <c r="A59" s="8" t="s">
        <v>192</v>
      </c>
      <c r="B59" s="9" t="s">
        <v>482</v>
      </c>
      <c r="C59" s="9" t="s">
        <v>120</v>
      </c>
      <c r="D59" s="9" t="s">
        <v>137</v>
      </c>
      <c r="E59" s="9" t="s">
        <v>627</v>
      </c>
      <c r="F59" s="9" t="s">
        <v>617</v>
      </c>
      <c r="G59" s="9" t="s">
        <v>620</v>
      </c>
      <c r="H59" s="10">
        <v>24475000</v>
      </c>
      <c r="I59" s="10">
        <v>23841205.070464443</v>
      </c>
      <c r="J59" s="10">
        <v>11150000</v>
      </c>
      <c r="K59" s="10">
        <f t="shared" si="1"/>
        <v>13826000</v>
      </c>
      <c r="L59" s="17">
        <f t="shared" si="2"/>
        <v>0.57992035046618806</v>
      </c>
      <c r="M59" s="17">
        <f t="shared" si="3"/>
        <v>-0.43509703779366699</v>
      </c>
    </row>
    <row r="60" spans="1:13" x14ac:dyDescent="0.3">
      <c r="A60" s="8" t="s">
        <v>186</v>
      </c>
      <c r="B60" s="9" t="s">
        <v>476</v>
      </c>
      <c r="C60" s="9" t="s">
        <v>120</v>
      </c>
      <c r="D60" s="9" t="s">
        <v>137</v>
      </c>
      <c r="E60" s="9" t="s">
        <v>627</v>
      </c>
      <c r="F60" s="9" t="s">
        <v>617</v>
      </c>
      <c r="G60" s="9" t="s">
        <v>620</v>
      </c>
      <c r="H60" s="10">
        <v>38450000</v>
      </c>
      <c r="I60" s="10">
        <v>39786531.577691488</v>
      </c>
      <c r="J60" s="10">
        <v>35450000</v>
      </c>
      <c r="K60" s="10">
        <f t="shared" si="1"/>
        <v>43958000</v>
      </c>
      <c r="L60" s="17">
        <f t="shared" si="2"/>
        <v>1.1048462446183038</v>
      </c>
      <c r="M60" s="17">
        <f t="shared" si="3"/>
        <v>0.14325097529258779</v>
      </c>
    </row>
    <row r="61" spans="1:13" x14ac:dyDescent="0.3">
      <c r="A61" s="8" t="s">
        <v>127</v>
      </c>
      <c r="B61" s="9" t="s">
        <v>425</v>
      </c>
      <c r="C61" s="9" t="s">
        <v>14</v>
      </c>
      <c r="D61" s="9" t="s">
        <v>28</v>
      </c>
      <c r="E61" s="9" t="s">
        <v>616</v>
      </c>
      <c r="F61" s="9" t="s">
        <v>617</v>
      </c>
      <c r="G61" s="9" t="s">
        <v>620</v>
      </c>
      <c r="H61" s="10">
        <v>8300000</v>
      </c>
      <c r="I61" s="10">
        <v>12536792.320645265</v>
      </c>
      <c r="J61" s="10">
        <v>11500000</v>
      </c>
      <c r="K61" s="10">
        <f t="shared" si="1"/>
        <v>14260000</v>
      </c>
      <c r="L61" s="17">
        <f t="shared" si="2"/>
        <v>1.1374520399860977</v>
      </c>
      <c r="M61" s="17">
        <f t="shared" si="3"/>
        <v>0.71807228915662646</v>
      </c>
    </row>
    <row r="62" spans="1:13" x14ac:dyDescent="0.3">
      <c r="A62" s="8" t="s">
        <v>121</v>
      </c>
      <c r="B62" s="9" t="s">
        <v>419</v>
      </c>
      <c r="C62" s="9" t="s">
        <v>14</v>
      </c>
      <c r="D62" s="9" t="s">
        <v>28</v>
      </c>
      <c r="E62" s="9" t="s">
        <v>616</v>
      </c>
      <c r="F62" s="9" t="s">
        <v>617</v>
      </c>
      <c r="G62" s="9" t="s">
        <v>620</v>
      </c>
      <c r="H62" s="10">
        <v>26000000</v>
      </c>
      <c r="I62" s="10">
        <v>32554060.971535221</v>
      </c>
      <c r="J62" s="10">
        <v>17845000</v>
      </c>
      <c r="K62" s="10">
        <f t="shared" si="1"/>
        <v>22127800</v>
      </c>
      <c r="L62" s="17">
        <f t="shared" si="2"/>
        <v>0.67972472065307654</v>
      </c>
      <c r="M62" s="17">
        <f t="shared" si="3"/>
        <v>-0.14893076923076923</v>
      </c>
    </row>
    <row r="63" spans="1:13" x14ac:dyDescent="0.3">
      <c r="A63" s="8" t="s">
        <v>228</v>
      </c>
      <c r="B63" s="9" t="s">
        <v>518</v>
      </c>
      <c r="C63" s="9" t="s">
        <v>118</v>
      </c>
      <c r="D63" s="9" t="s">
        <v>130</v>
      </c>
      <c r="E63" s="9" t="s">
        <v>628</v>
      </c>
      <c r="F63" s="9" t="s">
        <v>617</v>
      </c>
      <c r="G63" s="9" t="s">
        <v>620</v>
      </c>
      <c r="H63" s="10">
        <v>1900000</v>
      </c>
      <c r="I63" s="10">
        <v>1779875.0068030192</v>
      </c>
      <c r="J63" s="10">
        <v>600000</v>
      </c>
      <c r="K63" s="10">
        <f t="shared" si="1"/>
        <v>744000</v>
      </c>
      <c r="L63" s="17">
        <f t="shared" si="2"/>
        <v>0.41800688090809252</v>
      </c>
      <c r="M63" s="17">
        <f t="shared" si="3"/>
        <v>-0.60842105263157897</v>
      </c>
    </row>
    <row r="64" spans="1:13" x14ac:dyDescent="0.3">
      <c r="A64" s="8" t="s">
        <v>213</v>
      </c>
      <c r="B64" s="9" t="s">
        <v>503</v>
      </c>
      <c r="C64" s="9" t="s">
        <v>118</v>
      </c>
      <c r="D64" s="9" t="s">
        <v>132</v>
      </c>
      <c r="E64" s="9" t="s">
        <v>628</v>
      </c>
      <c r="F64" s="9" t="s">
        <v>617</v>
      </c>
      <c r="G64" s="9" t="s">
        <v>620</v>
      </c>
      <c r="H64" s="10">
        <v>22300000</v>
      </c>
      <c r="I64" s="10">
        <v>29542983.170770116</v>
      </c>
      <c r="J64" s="10">
        <v>21050000</v>
      </c>
      <c r="K64" s="10">
        <f t="shared" si="1"/>
        <v>26102000</v>
      </c>
      <c r="L64" s="17">
        <f t="shared" si="2"/>
        <v>0.88352621159211064</v>
      </c>
      <c r="M64" s="17">
        <f t="shared" si="3"/>
        <v>0.17049327354260091</v>
      </c>
    </row>
    <row r="65" spans="1:13" x14ac:dyDescent="0.3">
      <c r="A65" s="8" t="s">
        <v>190</v>
      </c>
      <c r="B65" s="9" t="s">
        <v>480</v>
      </c>
      <c r="C65" s="9" t="s">
        <v>120</v>
      </c>
      <c r="D65" s="9" t="s">
        <v>137</v>
      </c>
      <c r="E65" s="9" t="s">
        <v>627</v>
      </c>
      <c r="F65" s="9" t="s">
        <v>617</v>
      </c>
      <c r="G65" s="9" t="s">
        <v>620</v>
      </c>
      <c r="H65" s="10">
        <v>27500000</v>
      </c>
      <c r="I65" s="10">
        <v>53791353.036179245</v>
      </c>
      <c r="J65" s="10">
        <v>22375000</v>
      </c>
      <c r="K65" s="10">
        <f t="shared" si="1"/>
        <v>27745000</v>
      </c>
      <c r="L65" s="17">
        <f t="shared" si="2"/>
        <v>0.51578921953011925</v>
      </c>
      <c r="M65" s="17">
        <f t="shared" si="3"/>
        <v>8.9090909090909099E-3</v>
      </c>
    </row>
    <row r="66" spans="1:13" x14ac:dyDescent="0.3">
      <c r="A66" s="8" t="s">
        <v>13</v>
      </c>
      <c r="B66" s="9" t="s">
        <v>332</v>
      </c>
      <c r="C66" s="9" t="s">
        <v>16</v>
      </c>
      <c r="D66" s="9" t="s">
        <v>22</v>
      </c>
      <c r="E66" s="9" t="s">
        <v>616</v>
      </c>
      <c r="F66" s="9" t="s">
        <v>617</v>
      </c>
      <c r="G66" s="9" t="s">
        <v>618</v>
      </c>
      <c r="H66" s="10">
        <v>86500000</v>
      </c>
      <c r="I66" s="10">
        <v>105840782.11941954</v>
      </c>
      <c r="J66" s="10">
        <v>80400000</v>
      </c>
      <c r="K66" s="10">
        <f t="shared" si="1"/>
        <v>99696000</v>
      </c>
      <c r="L66" s="17">
        <f t="shared" si="2"/>
        <v>0.94194315275858009</v>
      </c>
      <c r="M66" s="17">
        <f t="shared" si="3"/>
        <v>0.1525549132947977</v>
      </c>
    </row>
    <row r="67" spans="1:13" x14ac:dyDescent="0.3">
      <c r="A67" s="8" t="s">
        <v>128</v>
      </c>
      <c r="B67" s="9" t="s">
        <v>426</v>
      </c>
      <c r="C67" s="9" t="s">
        <v>16</v>
      </c>
      <c r="D67" s="9" t="s">
        <v>42</v>
      </c>
      <c r="E67" s="9" t="s">
        <v>616</v>
      </c>
      <c r="F67" s="9" t="s">
        <v>617</v>
      </c>
      <c r="G67" s="9" t="s">
        <v>618</v>
      </c>
      <c r="H67" s="10">
        <v>79480000</v>
      </c>
      <c r="I67" s="10">
        <v>110153669.32598686</v>
      </c>
      <c r="J67" s="10">
        <v>68445000</v>
      </c>
      <c r="K67" s="10">
        <f t="shared" si="1"/>
        <v>84871800</v>
      </c>
      <c r="L67" s="17">
        <f t="shared" si="2"/>
        <v>0.77048545472263719</v>
      </c>
      <c r="M67" s="17">
        <f t="shared" si="3"/>
        <v>6.7838449924509311E-2</v>
      </c>
    </row>
    <row r="68" spans="1:13" x14ac:dyDescent="0.3">
      <c r="A68" s="8" t="s">
        <v>216</v>
      </c>
      <c r="B68" s="9" t="s">
        <v>506</v>
      </c>
      <c r="C68" s="9" t="s">
        <v>118</v>
      </c>
      <c r="D68" s="9" t="s">
        <v>133</v>
      </c>
      <c r="E68" s="9" t="s">
        <v>628</v>
      </c>
      <c r="F68" s="9" t="s">
        <v>617</v>
      </c>
      <c r="G68" s="9" t="s">
        <v>618</v>
      </c>
      <c r="H68" s="10">
        <v>107650000</v>
      </c>
      <c r="I68" s="10">
        <v>148628388.89453211</v>
      </c>
      <c r="J68" s="10">
        <v>75975000</v>
      </c>
      <c r="K68" s="10">
        <f t="shared" si="1"/>
        <v>94209000</v>
      </c>
      <c r="L68" s="17">
        <f t="shared" si="2"/>
        <v>0.63385602643416561</v>
      </c>
      <c r="M68" s="17">
        <f t="shared" si="3"/>
        <v>-0.12485833720390153</v>
      </c>
    </row>
    <row r="69" spans="1:13" x14ac:dyDescent="0.3">
      <c r="A69" s="8" t="s">
        <v>187</v>
      </c>
      <c r="B69" s="9" t="s">
        <v>477</v>
      </c>
      <c r="C69" s="9" t="s">
        <v>120</v>
      </c>
      <c r="D69" s="9" t="s">
        <v>135</v>
      </c>
      <c r="E69" s="9" t="s">
        <v>627</v>
      </c>
      <c r="F69" s="9" t="s">
        <v>617</v>
      </c>
      <c r="G69" s="9" t="s">
        <v>618</v>
      </c>
      <c r="H69" s="10">
        <v>25100000</v>
      </c>
      <c r="I69" s="10">
        <v>26265659.60452456</v>
      </c>
      <c r="J69" s="10">
        <v>13275000</v>
      </c>
      <c r="K69" s="10">
        <f t="shared" si="1"/>
        <v>16461000</v>
      </c>
      <c r="L69" s="17">
        <f t="shared" si="2"/>
        <v>0.62671184534670532</v>
      </c>
      <c r="M69" s="17">
        <f t="shared" si="3"/>
        <v>-0.34418326693227091</v>
      </c>
    </row>
    <row r="70" spans="1:13" x14ac:dyDescent="0.3">
      <c r="A70" s="8" t="s">
        <v>45</v>
      </c>
      <c r="B70" s="9" t="s">
        <v>349</v>
      </c>
      <c r="C70" s="9" t="s">
        <v>16</v>
      </c>
      <c r="D70" s="9" t="s">
        <v>34</v>
      </c>
      <c r="E70" s="9" t="s">
        <v>616</v>
      </c>
      <c r="F70" s="9" t="s">
        <v>617</v>
      </c>
      <c r="G70" s="9" t="s">
        <v>621</v>
      </c>
      <c r="H70" s="10">
        <v>58855000</v>
      </c>
      <c r="I70" s="10">
        <v>70386554.566551402</v>
      </c>
      <c r="J70" s="10">
        <v>45750000</v>
      </c>
      <c r="K70" s="10">
        <f t="shared" ref="K70:K133" si="7">IFERROR(J70/$A$1*$B$1,0)</f>
        <v>56730000</v>
      </c>
      <c r="L70" s="17">
        <f t="shared" ref="L70:L133" si="8">IFERROR(K70/I70,0)</f>
        <v>0.80597779432947025</v>
      </c>
      <c r="M70" s="17">
        <f t="shared" ref="M70:M133" si="9">IFERROR((K70-H70)/H70,0)</f>
        <v>-3.6105683459349246E-2</v>
      </c>
    </row>
    <row r="71" spans="1:13" x14ac:dyDescent="0.3">
      <c r="A71" s="8" t="s">
        <v>196</v>
      </c>
      <c r="B71" s="9" t="s">
        <v>486</v>
      </c>
      <c r="C71" s="9" t="s">
        <v>120</v>
      </c>
      <c r="D71" s="9" t="s">
        <v>135</v>
      </c>
      <c r="E71" s="9" t="s">
        <v>627</v>
      </c>
      <c r="F71" s="9" t="s">
        <v>617</v>
      </c>
      <c r="G71" s="9" t="s">
        <v>621</v>
      </c>
      <c r="H71" s="10">
        <v>26200000</v>
      </c>
      <c r="I71" s="10">
        <v>48261972.746449865</v>
      </c>
      <c r="J71" s="10">
        <v>32725000</v>
      </c>
      <c r="K71" s="10">
        <f t="shared" si="7"/>
        <v>40579000</v>
      </c>
      <c r="L71" s="17">
        <f t="shared" si="8"/>
        <v>0.84080690636470046</v>
      </c>
      <c r="M71" s="17">
        <f t="shared" si="9"/>
        <v>0.54881679389312976</v>
      </c>
    </row>
    <row r="72" spans="1:13" x14ac:dyDescent="0.3">
      <c r="A72" s="8" t="s">
        <v>136</v>
      </c>
      <c r="B72" s="9" t="s">
        <v>428</v>
      </c>
      <c r="C72" s="9" t="s">
        <v>14</v>
      </c>
      <c r="D72" s="9" t="s">
        <v>26</v>
      </c>
      <c r="E72" s="9" t="s">
        <v>616</v>
      </c>
      <c r="F72" s="9" t="s">
        <v>617</v>
      </c>
      <c r="G72" s="9" t="s">
        <v>619</v>
      </c>
      <c r="H72" s="10">
        <v>22300000</v>
      </c>
      <c r="I72" s="10">
        <v>41990634.643967234</v>
      </c>
      <c r="J72" s="10">
        <v>29790000</v>
      </c>
      <c r="K72" s="10">
        <f t="shared" si="7"/>
        <v>36939600</v>
      </c>
      <c r="L72" s="17">
        <f t="shared" si="8"/>
        <v>0.87971044765590578</v>
      </c>
      <c r="M72" s="17">
        <f t="shared" si="9"/>
        <v>0.65648430493273546</v>
      </c>
    </row>
    <row r="73" spans="1:13" x14ac:dyDescent="0.3">
      <c r="A73" s="8" t="s">
        <v>217</v>
      </c>
      <c r="B73" s="9" t="s">
        <v>507</v>
      </c>
      <c r="C73" s="9" t="s">
        <v>118</v>
      </c>
      <c r="D73" s="9" t="s">
        <v>134</v>
      </c>
      <c r="E73" s="9" t="s">
        <v>628</v>
      </c>
      <c r="F73" s="9" t="s">
        <v>617</v>
      </c>
      <c r="G73" s="9" t="s">
        <v>621</v>
      </c>
      <c r="H73" s="10">
        <v>73825000</v>
      </c>
      <c r="I73" s="10">
        <v>87746955.252740845</v>
      </c>
      <c r="J73" s="10">
        <v>38825000</v>
      </c>
      <c r="K73" s="10">
        <f t="shared" si="7"/>
        <v>48143000</v>
      </c>
      <c r="L73" s="17">
        <f t="shared" si="8"/>
        <v>0.54865721393217481</v>
      </c>
      <c r="M73" s="17">
        <f t="shared" si="9"/>
        <v>-0.34787673552319676</v>
      </c>
    </row>
    <row r="74" spans="1:13" x14ac:dyDescent="0.3">
      <c r="A74" s="8" t="s">
        <v>46</v>
      </c>
      <c r="B74" s="9" t="s">
        <v>350</v>
      </c>
      <c r="C74" s="9" t="s">
        <v>16</v>
      </c>
      <c r="D74" s="9" t="s">
        <v>22</v>
      </c>
      <c r="E74" s="9" t="s">
        <v>616</v>
      </c>
      <c r="F74" s="9" t="s">
        <v>617</v>
      </c>
      <c r="G74" s="9" t="s">
        <v>618</v>
      </c>
      <c r="H74" s="10">
        <v>49325000</v>
      </c>
      <c r="I74" s="10">
        <v>58129835.139538601</v>
      </c>
      <c r="J74" s="10">
        <v>34800000</v>
      </c>
      <c r="K74" s="10">
        <f t="shared" si="7"/>
        <v>43152000</v>
      </c>
      <c r="L74" s="17">
        <f t="shared" si="8"/>
        <v>0.74233824844703511</v>
      </c>
      <c r="M74" s="17">
        <f t="shared" si="9"/>
        <v>-0.12514951849974659</v>
      </c>
    </row>
    <row r="75" spans="1:13" x14ac:dyDescent="0.3">
      <c r="A75" s="8" t="s">
        <v>140</v>
      </c>
      <c r="B75" s="9" t="s">
        <v>430</v>
      </c>
      <c r="C75" s="9" t="s">
        <v>14</v>
      </c>
      <c r="D75" s="9" t="s">
        <v>26</v>
      </c>
      <c r="E75" s="9" t="s">
        <v>616</v>
      </c>
      <c r="F75" s="9" t="s">
        <v>617</v>
      </c>
      <c r="G75" s="9" t="s">
        <v>619</v>
      </c>
      <c r="H75" s="10">
        <v>17500000</v>
      </c>
      <c r="I75" s="10">
        <v>24620819.742865764</v>
      </c>
      <c r="J75" s="10">
        <v>24875000</v>
      </c>
      <c r="K75" s="10">
        <f t="shared" si="7"/>
        <v>30845000</v>
      </c>
      <c r="L75" s="17">
        <f t="shared" si="8"/>
        <v>1.2528015038547928</v>
      </c>
      <c r="M75" s="17">
        <f t="shared" si="9"/>
        <v>0.76257142857142857</v>
      </c>
    </row>
    <row r="76" spans="1:13" x14ac:dyDescent="0.3">
      <c r="A76" s="8" t="s">
        <v>138</v>
      </c>
      <c r="B76" s="9" t="s">
        <v>429</v>
      </c>
      <c r="C76" s="9" t="s">
        <v>14</v>
      </c>
      <c r="D76" s="9" t="s">
        <v>28</v>
      </c>
      <c r="E76" s="9" t="s">
        <v>616</v>
      </c>
      <c r="F76" s="9" t="s">
        <v>617</v>
      </c>
      <c r="G76" s="9" t="s">
        <v>620</v>
      </c>
      <c r="H76" s="10">
        <v>1900000</v>
      </c>
      <c r="I76" s="10">
        <v>1984634.1811393665</v>
      </c>
      <c r="J76" s="10">
        <v>1550000</v>
      </c>
      <c r="K76" s="10">
        <f t="shared" si="7"/>
        <v>1922000</v>
      </c>
      <c r="L76" s="17">
        <f t="shared" si="8"/>
        <v>0.96844044019064079</v>
      </c>
      <c r="M76" s="17">
        <f t="shared" si="9"/>
        <v>1.1578947368421053E-2</v>
      </c>
    </row>
    <row r="77" spans="1:13" x14ac:dyDescent="0.3">
      <c r="A77" s="8" t="s">
        <v>197</v>
      </c>
      <c r="B77" s="9" t="s">
        <v>487</v>
      </c>
      <c r="C77" s="9" t="s">
        <v>120</v>
      </c>
      <c r="D77" s="9" t="s">
        <v>137</v>
      </c>
      <c r="E77" s="9" t="s">
        <v>627</v>
      </c>
      <c r="F77" s="9" t="s">
        <v>617</v>
      </c>
      <c r="G77" s="9" t="s">
        <v>620</v>
      </c>
      <c r="H77" s="10">
        <v>3950000</v>
      </c>
      <c r="I77" s="10">
        <v>4274936.1527032517</v>
      </c>
      <c r="J77" s="10">
        <v>1900000</v>
      </c>
      <c r="K77" s="10">
        <f t="shared" si="7"/>
        <v>2356000</v>
      </c>
      <c r="L77" s="17">
        <f t="shared" si="8"/>
        <v>0.55111934210062663</v>
      </c>
      <c r="M77" s="17">
        <f t="shared" si="9"/>
        <v>-0.40354430379746836</v>
      </c>
    </row>
    <row r="78" spans="1:13" x14ac:dyDescent="0.3">
      <c r="A78" s="8" t="s">
        <v>218</v>
      </c>
      <c r="B78" s="9" t="s">
        <v>508</v>
      </c>
      <c r="C78" s="9" t="s">
        <v>118</v>
      </c>
      <c r="D78" s="9" t="s">
        <v>134</v>
      </c>
      <c r="E78" s="9" t="s">
        <v>628</v>
      </c>
      <c r="F78" s="9" t="s">
        <v>617</v>
      </c>
      <c r="G78" s="9" t="s">
        <v>622</v>
      </c>
      <c r="H78" s="10">
        <v>12275000</v>
      </c>
      <c r="I78" s="10">
        <v>21123733.097267833</v>
      </c>
      <c r="J78" s="10">
        <v>17700000</v>
      </c>
      <c r="K78" s="10">
        <f t="shared" si="7"/>
        <v>21948000</v>
      </c>
      <c r="L78" s="17">
        <f t="shared" si="8"/>
        <v>1.0390208917588899</v>
      </c>
      <c r="M78" s="17">
        <f t="shared" si="9"/>
        <v>0.78802443991853366</v>
      </c>
    </row>
    <row r="79" spans="1:13" x14ac:dyDescent="0.3">
      <c r="A79" s="8" t="s">
        <v>141</v>
      </c>
      <c r="B79" s="9" t="s">
        <v>431</v>
      </c>
      <c r="C79" s="9" t="s">
        <v>16</v>
      </c>
      <c r="D79" s="9" t="s">
        <v>36</v>
      </c>
      <c r="E79" s="9" t="s">
        <v>616</v>
      </c>
      <c r="F79" s="9" t="s">
        <v>624</v>
      </c>
      <c r="G79" s="9" t="s">
        <v>622</v>
      </c>
      <c r="H79" s="10">
        <v>1895000</v>
      </c>
      <c r="I79" s="10">
        <v>13312876.662454581</v>
      </c>
      <c r="J79" s="10">
        <v>0</v>
      </c>
      <c r="K79" s="10">
        <f t="shared" si="7"/>
        <v>0</v>
      </c>
      <c r="L79" s="17">
        <f t="shared" si="8"/>
        <v>0</v>
      </c>
      <c r="M79" s="17">
        <f t="shared" si="9"/>
        <v>-1</v>
      </c>
    </row>
    <row r="80" spans="1:13" x14ac:dyDescent="0.3">
      <c r="A80" s="8" t="s">
        <v>142</v>
      </c>
      <c r="B80" s="9" t="s">
        <v>432</v>
      </c>
      <c r="C80" s="9" t="s">
        <v>16</v>
      </c>
      <c r="D80" s="9" t="s">
        <v>38</v>
      </c>
      <c r="E80" s="9" t="s">
        <v>616</v>
      </c>
      <c r="F80" s="9" t="s">
        <v>624</v>
      </c>
      <c r="G80" s="9" t="s">
        <v>621</v>
      </c>
      <c r="H80" s="10">
        <v>950000</v>
      </c>
      <c r="I80" s="10">
        <v>4311122.0412713131</v>
      </c>
      <c r="J80" s="10">
        <v>0</v>
      </c>
      <c r="K80" s="10">
        <f t="shared" si="7"/>
        <v>0</v>
      </c>
      <c r="L80" s="17">
        <f t="shared" si="8"/>
        <v>0</v>
      </c>
      <c r="M80" s="17">
        <f t="shared" si="9"/>
        <v>-1</v>
      </c>
    </row>
    <row r="81" spans="1:13" x14ac:dyDescent="0.3">
      <c r="A81" s="8" t="s">
        <v>63</v>
      </c>
      <c r="B81" s="9" t="s">
        <v>365</v>
      </c>
      <c r="C81" s="9" t="s">
        <v>16</v>
      </c>
      <c r="D81" s="9" t="s">
        <v>22</v>
      </c>
      <c r="E81" s="9" t="s">
        <v>616</v>
      </c>
      <c r="F81" s="9" t="s">
        <v>617</v>
      </c>
      <c r="G81" s="9" t="s">
        <v>618</v>
      </c>
      <c r="H81" s="10">
        <v>21050000</v>
      </c>
      <c r="I81" s="10">
        <v>33262480.643664427</v>
      </c>
      <c r="J81" s="10">
        <v>23120000</v>
      </c>
      <c r="K81" s="10">
        <f t="shared" si="7"/>
        <v>28668800</v>
      </c>
      <c r="L81" s="17">
        <f t="shared" si="8"/>
        <v>0.86189602955727251</v>
      </c>
      <c r="M81" s="17">
        <f t="shared" si="9"/>
        <v>0.36193824228028504</v>
      </c>
    </row>
    <row r="82" spans="1:13" x14ac:dyDescent="0.3">
      <c r="A82" s="8" t="s">
        <v>168</v>
      </c>
      <c r="B82" s="9" t="s">
        <v>458</v>
      </c>
      <c r="C82" s="9" t="s">
        <v>14</v>
      </c>
      <c r="D82" s="9" t="s">
        <v>24</v>
      </c>
      <c r="E82" s="9" t="s">
        <v>616</v>
      </c>
      <c r="F82" s="9" t="s">
        <v>617</v>
      </c>
      <c r="G82" s="9" t="s">
        <v>619</v>
      </c>
      <c r="H82" s="10">
        <v>70525000</v>
      </c>
      <c r="I82" s="10">
        <v>110330774.24401914</v>
      </c>
      <c r="J82" s="10">
        <v>86200000</v>
      </c>
      <c r="K82" s="10">
        <f t="shared" si="7"/>
        <v>106888000</v>
      </c>
      <c r="L82" s="17">
        <f t="shared" si="8"/>
        <v>0.96879588430690489</v>
      </c>
      <c r="M82" s="17">
        <f t="shared" si="9"/>
        <v>0.51560439560439564</v>
      </c>
    </row>
    <row r="83" spans="1:13" x14ac:dyDescent="0.3">
      <c r="A83" s="8" t="s">
        <v>178</v>
      </c>
      <c r="B83" s="9" t="s">
        <v>468</v>
      </c>
      <c r="C83" s="9" t="s">
        <v>120</v>
      </c>
      <c r="D83" s="9" t="s">
        <v>139</v>
      </c>
      <c r="E83" s="9" t="s">
        <v>626</v>
      </c>
      <c r="F83" s="9" t="s">
        <v>617</v>
      </c>
      <c r="G83" s="9" t="s">
        <v>622</v>
      </c>
      <c r="H83" s="10">
        <v>33075000</v>
      </c>
      <c r="I83" s="10">
        <v>46415904.041046739</v>
      </c>
      <c r="J83" s="10">
        <v>38675000</v>
      </c>
      <c r="K83" s="10">
        <f t="shared" si="7"/>
        <v>47957000</v>
      </c>
      <c r="L83" s="17">
        <f t="shared" si="8"/>
        <v>1.0332018947124337</v>
      </c>
      <c r="M83" s="17">
        <f t="shared" si="9"/>
        <v>0.44994708994708993</v>
      </c>
    </row>
    <row r="84" spans="1:13" x14ac:dyDescent="0.3">
      <c r="A84" s="8" t="s">
        <v>88</v>
      </c>
      <c r="B84" s="9" t="s">
        <v>390</v>
      </c>
      <c r="C84" s="9" t="s">
        <v>16</v>
      </c>
      <c r="D84" s="9" t="s">
        <v>34</v>
      </c>
      <c r="E84" s="9" t="s">
        <v>616</v>
      </c>
      <c r="F84" s="9" t="s">
        <v>617</v>
      </c>
      <c r="G84" s="9" t="s">
        <v>621</v>
      </c>
      <c r="H84" s="10">
        <v>14115000</v>
      </c>
      <c r="I84" s="10">
        <v>18076469.407934666</v>
      </c>
      <c r="J84" s="10">
        <v>12950000</v>
      </c>
      <c r="K84" s="10">
        <f t="shared" si="7"/>
        <v>16058000</v>
      </c>
      <c r="L84" s="17">
        <f t="shared" si="8"/>
        <v>0.88833718784439963</v>
      </c>
      <c r="M84" s="17">
        <f t="shared" si="9"/>
        <v>0.13765497697484946</v>
      </c>
    </row>
    <row r="85" spans="1:13" x14ac:dyDescent="0.3">
      <c r="A85" s="8" t="s">
        <v>143</v>
      </c>
      <c r="B85" s="9" t="s">
        <v>433</v>
      </c>
      <c r="C85" s="9" t="s">
        <v>16</v>
      </c>
      <c r="D85" s="9" t="s">
        <v>22</v>
      </c>
      <c r="E85" s="9" t="s">
        <v>616</v>
      </c>
      <c r="F85" s="9" t="s">
        <v>617</v>
      </c>
      <c r="G85" s="9" t="s">
        <v>618</v>
      </c>
      <c r="H85" s="10">
        <v>23850000</v>
      </c>
      <c r="I85" s="10">
        <v>34492506.660762504</v>
      </c>
      <c r="J85" s="10">
        <v>20730000</v>
      </c>
      <c r="K85" s="10">
        <f t="shared" si="7"/>
        <v>25705200</v>
      </c>
      <c r="L85" s="17">
        <f t="shared" si="8"/>
        <v>0.74524012571232923</v>
      </c>
      <c r="M85" s="17">
        <f t="shared" si="9"/>
        <v>7.7786163522012577E-2</v>
      </c>
    </row>
    <row r="86" spans="1:13" x14ac:dyDescent="0.3">
      <c r="A86" s="8" t="s">
        <v>102</v>
      </c>
      <c r="B86" s="9" t="s">
        <v>404</v>
      </c>
      <c r="C86" s="9" t="s">
        <v>16</v>
      </c>
      <c r="D86" s="9" t="s">
        <v>42</v>
      </c>
      <c r="E86" s="9" t="s">
        <v>616</v>
      </c>
      <c r="F86" s="9" t="s">
        <v>617</v>
      </c>
      <c r="G86" s="9" t="s">
        <v>618</v>
      </c>
      <c r="H86" s="10">
        <v>8995000</v>
      </c>
      <c r="I86" s="10">
        <v>9232991.2749596611</v>
      </c>
      <c r="J86" s="10">
        <v>5030000</v>
      </c>
      <c r="K86" s="10">
        <f t="shared" si="7"/>
        <v>6237200</v>
      </c>
      <c r="L86" s="17">
        <f t="shared" si="8"/>
        <v>0.6755340511276775</v>
      </c>
      <c r="M86" s="17">
        <f t="shared" si="9"/>
        <v>-0.30659255141745412</v>
      </c>
    </row>
    <row r="87" spans="1:13" x14ac:dyDescent="0.3">
      <c r="A87" s="8" t="s">
        <v>179</v>
      </c>
      <c r="B87" s="9" t="s">
        <v>469</v>
      </c>
      <c r="C87" s="9" t="s">
        <v>120</v>
      </c>
      <c r="D87" s="9" t="s">
        <v>139</v>
      </c>
      <c r="E87" s="9" t="s">
        <v>626</v>
      </c>
      <c r="F87" s="9" t="s">
        <v>617</v>
      </c>
      <c r="G87" s="9" t="s">
        <v>618</v>
      </c>
      <c r="H87" s="10">
        <v>64600000</v>
      </c>
      <c r="I87" s="10">
        <v>84796775.654687837</v>
      </c>
      <c r="J87" s="10">
        <v>52375000</v>
      </c>
      <c r="K87" s="10">
        <f t="shared" si="7"/>
        <v>64945000</v>
      </c>
      <c r="L87" s="17">
        <f t="shared" si="8"/>
        <v>0.76588997044499807</v>
      </c>
      <c r="M87" s="17">
        <f t="shared" si="9"/>
        <v>5.3405572755417961E-3</v>
      </c>
    </row>
    <row r="88" spans="1:13" x14ac:dyDescent="0.3">
      <c r="A88" s="8" t="s">
        <v>77</v>
      </c>
      <c r="B88" s="9" t="s">
        <v>379</v>
      </c>
      <c r="C88" s="9" t="s">
        <v>16</v>
      </c>
      <c r="D88" s="9" t="s">
        <v>44</v>
      </c>
      <c r="E88" s="9" t="s">
        <v>616</v>
      </c>
      <c r="F88" s="9" t="s">
        <v>617</v>
      </c>
      <c r="G88" s="9" t="s">
        <v>622</v>
      </c>
      <c r="H88" s="10">
        <v>6015000</v>
      </c>
      <c r="I88" s="10">
        <v>12079908.703196492</v>
      </c>
      <c r="J88" s="10">
        <v>7300000</v>
      </c>
      <c r="K88" s="10">
        <f t="shared" si="7"/>
        <v>9052000</v>
      </c>
      <c r="L88" s="17">
        <f t="shared" si="8"/>
        <v>0.74934341164389184</v>
      </c>
      <c r="M88" s="17">
        <f t="shared" si="9"/>
        <v>0.50490440565253536</v>
      </c>
    </row>
    <row r="89" spans="1:13" x14ac:dyDescent="0.3">
      <c r="A89" s="8" t="s">
        <v>176</v>
      </c>
      <c r="B89" s="9" t="s">
        <v>466</v>
      </c>
      <c r="C89" s="9" t="s">
        <v>120</v>
      </c>
      <c r="D89" s="9" t="s">
        <v>139</v>
      </c>
      <c r="E89" s="9" t="s">
        <v>626</v>
      </c>
      <c r="F89" s="9" t="s">
        <v>617</v>
      </c>
      <c r="G89" s="9" t="s">
        <v>622</v>
      </c>
      <c r="H89" s="10">
        <v>25475000</v>
      </c>
      <c r="I89" s="10">
        <v>53110587.620354094</v>
      </c>
      <c r="J89" s="10">
        <v>37200000</v>
      </c>
      <c r="K89" s="10">
        <f t="shared" si="7"/>
        <v>46128000</v>
      </c>
      <c r="L89" s="17">
        <f t="shared" si="8"/>
        <v>0.86852738910992411</v>
      </c>
      <c r="M89" s="17">
        <f t="shared" si="9"/>
        <v>0.81071638861629047</v>
      </c>
    </row>
    <row r="90" spans="1:13" x14ac:dyDescent="0.3">
      <c r="A90" s="8" t="s">
        <v>144</v>
      </c>
      <c r="B90" s="9" t="s">
        <v>434</v>
      </c>
      <c r="C90" s="9" t="s">
        <v>16</v>
      </c>
      <c r="D90" s="9" t="s">
        <v>40</v>
      </c>
      <c r="E90" s="9" t="s">
        <v>616</v>
      </c>
      <c r="F90" s="9" t="s">
        <v>617</v>
      </c>
      <c r="G90" s="9" t="s">
        <v>623</v>
      </c>
      <c r="H90" s="10">
        <v>31920000</v>
      </c>
      <c r="I90" s="10">
        <v>36279442.328749545</v>
      </c>
      <c r="J90" s="10">
        <v>18180000</v>
      </c>
      <c r="K90" s="10">
        <f t="shared" si="7"/>
        <v>22543200</v>
      </c>
      <c r="L90" s="17">
        <f t="shared" si="8"/>
        <v>0.62137669580812993</v>
      </c>
      <c r="M90" s="17">
        <f t="shared" si="9"/>
        <v>-0.29375939849624061</v>
      </c>
    </row>
    <row r="91" spans="1:13" x14ac:dyDescent="0.3">
      <c r="A91" s="8" t="s">
        <v>145</v>
      </c>
      <c r="B91" s="9" t="s">
        <v>435</v>
      </c>
      <c r="C91" s="9" t="s">
        <v>14</v>
      </c>
      <c r="D91" s="9" t="s">
        <v>26</v>
      </c>
      <c r="E91" s="9" t="s">
        <v>616</v>
      </c>
      <c r="F91" s="9" t="s">
        <v>617</v>
      </c>
      <c r="G91" s="9" t="s">
        <v>619</v>
      </c>
      <c r="H91" s="10">
        <v>8150000</v>
      </c>
      <c r="I91" s="10">
        <v>14582618.898712736</v>
      </c>
      <c r="J91" s="10">
        <v>5850000</v>
      </c>
      <c r="K91" s="10">
        <f t="shared" si="7"/>
        <v>7254000</v>
      </c>
      <c r="L91" s="17">
        <f t="shared" si="8"/>
        <v>0.49744151241861906</v>
      </c>
      <c r="M91" s="17">
        <f t="shared" si="9"/>
        <v>-0.10993865030674847</v>
      </c>
    </row>
    <row r="92" spans="1:13" x14ac:dyDescent="0.3">
      <c r="A92" s="8" t="s">
        <v>53</v>
      </c>
      <c r="B92" s="9" t="s">
        <v>357</v>
      </c>
      <c r="C92" s="9" t="s">
        <v>16</v>
      </c>
      <c r="D92" s="9" t="s">
        <v>44</v>
      </c>
      <c r="E92" s="9" t="s">
        <v>616</v>
      </c>
      <c r="F92" s="9" t="s">
        <v>617</v>
      </c>
      <c r="G92" s="9" t="s">
        <v>622</v>
      </c>
      <c r="H92" s="10">
        <v>39300000</v>
      </c>
      <c r="I92" s="10">
        <v>51414263.770895213</v>
      </c>
      <c r="J92" s="10">
        <v>29650000</v>
      </c>
      <c r="K92" s="10">
        <f t="shared" si="7"/>
        <v>36766000</v>
      </c>
      <c r="L92" s="17">
        <f t="shared" si="8"/>
        <v>0.71509338661020838</v>
      </c>
      <c r="M92" s="17">
        <f t="shared" si="9"/>
        <v>-6.4478371501272266E-2</v>
      </c>
    </row>
    <row r="93" spans="1:13" x14ac:dyDescent="0.3">
      <c r="A93" s="8" t="s">
        <v>146</v>
      </c>
      <c r="B93" s="9" t="s">
        <v>436</v>
      </c>
      <c r="C93" s="9" t="s">
        <v>16</v>
      </c>
      <c r="D93" s="9" t="s">
        <v>40</v>
      </c>
      <c r="E93" s="9" t="s">
        <v>616</v>
      </c>
      <c r="F93" s="9" t="s">
        <v>617</v>
      </c>
      <c r="G93" s="9" t="s">
        <v>623</v>
      </c>
      <c r="H93" s="10">
        <v>26590000</v>
      </c>
      <c r="I93" s="10">
        <v>34358942.486698285</v>
      </c>
      <c r="J93" s="10">
        <v>20725000</v>
      </c>
      <c r="K93" s="10">
        <f t="shared" si="7"/>
        <v>25699000</v>
      </c>
      <c r="L93" s="17">
        <f t="shared" si="8"/>
        <v>0.74795666397326133</v>
      </c>
      <c r="M93" s="17">
        <f t="shared" si="9"/>
        <v>-3.3508837908988343E-2</v>
      </c>
    </row>
    <row r="94" spans="1:13" x14ac:dyDescent="0.3">
      <c r="A94" s="8" t="s">
        <v>177</v>
      </c>
      <c r="B94" s="9" t="s">
        <v>467</v>
      </c>
      <c r="C94" s="9" t="s">
        <v>120</v>
      </c>
      <c r="D94" s="9" t="s">
        <v>139</v>
      </c>
      <c r="E94" s="9" t="s">
        <v>626</v>
      </c>
      <c r="F94" s="9" t="s">
        <v>617</v>
      </c>
      <c r="G94" s="9" t="s">
        <v>619</v>
      </c>
      <c r="H94" s="10">
        <v>34350000</v>
      </c>
      <c r="I94" s="10">
        <v>40797794.775771603</v>
      </c>
      <c r="J94" s="10">
        <v>33575000</v>
      </c>
      <c r="K94" s="10">
        <f t="shared" si="7"/>
        <v>41633000</v>
      </c>
      <c r="L94" s="17">
        <f t="shared" si="8"/>
        <v>1.0204718227742151</v>
      </c>
      <c r="M94" s="17">
        <f t="shared" si="9"/>
        <v>0.21202328966521106</v>
      </c>
    </row>
    <row r="95" spans="1:13" x14ac:dyDescent="0.3">
      <c r="A95" s="8" t="s">
        <v>69</v>
      </c>
      <c r="B95" s="9" t="s">
        <v>371</v>
      </c>
      <c r="C95" s="9" t="s">
        <v>14</v>
      </c>
      <c r="D95" s="9" t="s">
        <v>32</v>
      </c>
      <c r="E95" s="9" t="s">
        <v>616</v>
      </c>
      <c r="F95" s="9" t="s">
        <v>617</v>
      </c>
      <c r="G95" s="9" t="s">
        <v>619</v>
      </c>
      <c r="H95" s="10">
        <v>13150000</v>
      </c>
      <c r="I95" s="10">
        <v>16541363.988844059</v>
      </c>
      <c r="J95" s="10">
        <v>18300000</v>
      </c>
      <c r="K95" s="10">
        <f t="shared" si="7"/>
        <v>22692000</v>
      </c>
      <c r="L95" s="17">
        <f t="shared" si="8"/>
        <v>1.3718336659119583</v>
      </c>
      <c r="M95" s="17">
        <f t="shared" si="9"/>
        <v>0.72562737642585551</v>
      </c>
    </row>
    <row r="96" spans="1:13" x14ac:dyDescent="0.3">
      <c r="A96" s="8" t="s">
        <v>57</v>
      </c>
      <c r="B96" s="9" t="s">
        <v>361</v>
      </c>
      <c r="C96" s="9" t="s">
        <v>14</v>
      </c>
      <c r="D96" s="9" t="s">
        <v>28</v>
      </c>
      <c r="E96" s="9" t="s">
        <v>616</v>
      </c>
      <c r="F96" s="9" t="s">
        <v>617</v>
      </c>
      <c r="G96" s="9" t="s">
        <v>620</v>
      </c>
      <c r="H96" s="10">
        <v>35025000</v>
      </c>
      <c r="I96" s="10">
        <v>62133230.030873403</v>
      </c>
      <c r="J96" s="10">
        <v>31125000</v>
      </c>
      <c r="K96" s="10">
        <f t="shared" si="7"/>
        <v>38595000</v>
      </c>
      <c r="L96" s="17">
        <f t="shared" si="8"/>
        <v>0.62116519583518381</v>
      </c>
      <c r="M96" s="17">
        <f t="shared" si="9"/>
        <v>0.10192719486081371</v>
      </c>
    </row>
    <row r="97" spans="1:13" x14ac:dyDescent="0.3">
      <c r="A97" s="8" t="s">
        <v>181</v>
      </c>
      <c r="B97" s="9" t="s">
        <v>471</v>
      </c>
      <c r="C97" s="9" t="s">
        <v>120</v>
      </c>
      <c r="D97" s="9" t="s">
        <v>139</v>
      </c>
      <c r="E97" s="9" t="s">
        <v>626</v>
      </c>
      <c r="F97" s="9" t="s">
        <v>617</v>
      </c>
      <c r="G97" s="9" t="s">
        <v>621</v>
      </c>
      <c r="H97" s="10">
        <v>17100000</v>
      </c>
      <c r="I97" s="10">
        <v>25964110.533124045</v>
      </c>
      <c r="J97" s="10">
        <v>13650000</v>
      </c>
      <c r="K97" s="10">
        <f t="shared" si="7"/>
        <v>16926000</v>
      </c>
      <c r="L97" s="17">
        <f t="shared" si="8"/>
        <v>0.65189985916931148</v>
      </c>
      <c r="M97" s="17">
        <f t="shared" si="9"/>
        <v>-1.0175438596491228E-2</v>
      </c>
    </row>
    <row r="98" spans="1:13" x14ac:dyDescent="0.3">
      <c r="A98" s="8" t="s">
        <v>199</v>
      </c>
      <c r="B98" s="9" t="s">
        <v>489</v>
      </c>
      <c r="C98" s="9" t="s">
        <v>120</v>
      </c>
      <c r="D98" s="9" t="s">
        <v>135</v>
      </c>
      <c r="E98" s="9" t="s">
        <v>627</v>
      </c>
      <c r="F98" s="9" t="s">
        <v>624</v>
      </c>
      <c r="G98" s="9" t="s">
        <v>623</v>
      </c>
      <c r="H98" s="10">
        <v>0</v>
      </c>
      <c r="I98" s="10">
        <v>2474173.3565641972</v>
      </c>
      <c r="J98" s="10">
        <v>0</v>
      </c>
      <c r="K98" s="10">
        <f t="shared" si="7"/>
        <v>0</v>
      </c>
      <c r="L98" s="17">
        <f t="shared" si="8"/>
        <v>0</v>
      </c>
      <c r="M98" s="17">
        <f t="shared" si="9"/>
        <v>0</v>
      </c>
    </row>
    <row r="99" spans="1:13" x14ac:dyDescent="0.3">
      <c r="A99" s="8" t="s">
        <v>198</v>
      </c>
      <c r="B99" s="9" t="s">
        <v>488</v>
      </c>
      <c r="C99" s="9" t="s">
        <v>120</v>
      </c>
      <c r="D99" s="9" t="s">
        <v>135</v>
      </c>
      <c r="E99" s="9" t="s">
        <v>627</v>
      </c>
      <c r="F99" s="9" t="s">
        <v>617</v>
      </c>
      <c r="G99" s="9" t="s">
        <v>623</v>
      </c>
      <c r="H99" s="10">
        <v>2150000</v>
      </c>
      <c r="I99" s="10">
        <v>2840739.3497008188</v>
      </c>
      <c r="J99" s="10">
        <v>1200000</v>
      </c>
      <c r="K99" s="10">
        <f t="shared" si="7"/>
        <v>1488000</v>
      </c>
      <c r="L99" s="17">
        <f t="shared" si="8"/>
        <v>0.52380729691258487</v>
      </c>
      <c r="M99" s="17">
        <f t="shared" si="9"/>
        <v>-0.30790697674418605</v>
      </c>
    </row>
    <row r="100" spans="1:13" x14ac:dyDescent="0.3">
      <c r="A100" s="8" t="s">
        <v>200</v>
      </c>
      <c r="B100" s="9" t="s">
        <v>490</v>
      </c>
      <c r="C100" s="9" t="s">
        <v>120</v>
      </c>
      <c r="D100" s="9" t="s">
        <v>137</v>
      </c>
      <c r="E100" s="9" t="s">
        <v>627</v>
      </c>
      <c r="F100" s="9" t="s">
        <v>617</v>
      </c>
      <c r="G100" s="9" t="s">
        <v>619</v>
      </c>
      <c r="H100" s="10">
        <v>97825000</v>
      </c>
      <c r="I100" s="10">
        <v>129185387.35327515</v>
      </c>
      <c r="J100" s="10">
        <v>72300000</v>
      </c>
      <c r="K100" s="10">
        <f t="shared" si="7"/>
        <v>89652000</v>
      </c>
      <c r="L100" s="17">
        <f t="shared" si="8"/>
        <v>0.69397941854549161</v>
      </c>
      <c r="M100" s="17">
        <f t="shared" si="9"/>
        <v>-8.3547150523894706E-2</v>
      </c>
    </row>
    <row r="101" spans="1:13" x14ac:dyDescent="0.3">
      <c r="A101" s="8" t="s">
        <v>147</v>
      </c>
      <c r="B101" s="9" t="s">
        <v>437</v>
      </c>
      <c r="C101" s="9" t="s">
        <v>16</v>
      </c>
      <c r="D101" s="9" t="s">
        <v>42</v>
      </c>
      <c r="E101" s="9" t="s">
        <v>616</v>
      </c>
      <c r="F101" s="9" t="s">
        <v>617</v>
      </c>
      <c r="G101" s="9" t="s">
        <v>618</v>
      </c>
      <c r="H101" s="10">
        <v>17675000</v>
      </c>
      <c r="I101" s="10">
        <v>22287951.751610257</v>
      </c>
      <c r="J101" s="10">
        <v>13250000</v>
      </c>
      <c r="K101" s="10">
        <f t="shared" si="7"/>
        <v>16430000</v>
      </c>
      <c r="L101" s="17">
        <f t="shared" si="8"/>
        <v>0.73716957857345355</v>
      </c>
      <c r="M101" s="17">
        <f t="shared" si="9"/>
        <v>-7.0438472418670434E-2</v>
      </c>
    </row>
    <row r="102" spans="1:13" x14ac:dyDescent="0.3">
      <c r="A102" s="8" t="s">
        <v>99</v>
      </c>
      <c r="B102" s="9" t="s">
        <v>401</v>
      </c>
      <c r="C102" s="9" t="s">
        <v>16</v>
      </c>
      <c r="D102" s="9" t="s">
        <v>42</v>
      </c>
      <c r="E102" s="9" t="s">
        <v>616</v>
      </c>
      <c r="F102" s="9" t="s">
        <v>617</v>
      </c>
      <c r="G102" s="9" t="s">
        <v>618</v>
      </c>
      <c r="H102" s="10">
        <v>18510000</v>
      </c>
      <c r="I102" s="10">
        <v>21031356.11344368</v>
      </c>
      <c r="J102" s="10">
        <v>9425000</v>
      </c>
      <c r="K102" s="10">
        <f t="shared" si="7"/>
        <v>11687000</v>
      </c>
      <c r="L102" s="17">
        <f t="shared" si="8"/>
        <v>0.55569407588174624</v>
      </c>
      <c r="M102" s="17">
        <f t="shared" si="9"/>
        <v>-0.36861156131820638</v>
      </c>
    </row>
    <row r="103" spans="1:13" x14ac:dyDescent="0.3">
      <c r="A103" s="8" t="s">
        <v>71</v>
      </c>
      <c r="B103" s="9" t="s">
        <v>373</v>
      </c>
      <c r="C103" s="9" t="s">
        <v>16</v>
      </c>
      <c r="D103" s="9" t="s">
        <v>44</v>
      </c>
      <c r="E103" s="9" t="s">
        <v>616</v>
      </c>
      <c r="F103" s="9" t="s">
        <v>617</v>
      </c>
      <c r="G103" s="9" t="s">
        <v>622</v>
      </c>
      <c r="H103" s="10">
        <v>20565000</v>
      </c>
      <c r="I103" s="10">
        <v>34918994.131814115</v>
      </c>
      <c r="J103" s="10">
        <v>16010000</v>
      </c>
      <c r="K103" s="10">
        <f t="shared" si="7"/>
        <v>19852400</v>
      </c>
      <c r="L103" s="17">
        <f t="shared" si="8"/>
        <v>0.56852725840441121</v>
      </c>
      <c r="M103" s="17">
        <f t="shared" si="9"/>
        <v>-3.4651106248480425E-2</v>
      </c>
    </row>
    <row r="104" spans="1:13" x14ac:dyDescent="0.3">
      <c r="A104" s="8" t="s">
        <v>148</v>
      </c>
      <c r="B104" s="9" t="s">
        <v>438</v>
      </c>
      <c r="C104" s="9" t="s">
        <v>14</v>
      </c>
      <c r="D104" s="9" t="s">
        <v>30</v>
      </c>
      <c r="E104" s="9" t="s">
        <v>616</v>
      </c>
      <c r="F104" s="9" t="s">
        <v>617</v>
      </c>
      <c r="G104" s="9" t="s">
        <v>620</v>
      </c>
      <c r="H104" s="10">
        <v>35900000</v>
      </c>
      <c r="I104" s="10">
        <v>60230676.035998166</v>
      </c>
      <c r="J104" s="10">
        <v>34650000</v>
      </c>
      <c r="K104" s="10">
        <f t="shared" si="7"/>
        <v>42966000</v>
      </c>
      <c r="L104" s="17">
        <f t="shared" si="8"/>
        <v>0.71335742561349369</v>
      </c>
      <c r="M104" s="17">
        <f t="shared" si="9"/>
        <v>0.19682451253481895</v>
      </c>
    </row>
    <row r="105" spans="1:13" x14ac:dyDescent="0.3">
      <c r="A105" s="8" t="s">
        <v>149</v>
      </c>
      <c r="B105" s="9" t="s">
        <v>439</v>
      </c>
      <c r="C105" s="9" t="s">
        <v>14</v>
      </c>
      <c r="D105" s="9" t="s">
        <v>32</v>
      </c>
      <c r="E105" s="9" t="s">
        <v>616</v>
      </c>
      <c r="F105" s="9" t="s">
        <v>617</v>
      </c>
      <c r="G105" s="9" t="s">
        <v>619</v>
      </c>
      <c r="H105" s="10">
        <v>18500000</v>
      </c>
      <c r="I105" s="10">
        <v>32057755.329142384</v>
      </c>
      <c r="J105" s="10">
        <v>18750000</v>
      </c>
      <c r="K105" s="10">
        <f t="shared" si="7"/>
        <v>23250000</v>
      </c>
      <c r="L105" s="17">
        <f t="shared" si="8"/>
        <v>0.72525352325165393</v>
      </c>
      <c r="M105" s="17">
        <f t="shared" si="9"/>
        <v>0.25675675675675674</v>
      </c>
    </row>
    <row r="106" spans="1:13" x14ac:dyDescent="0.3">
      <c r="A106" s="8" t="s">
        <v>21</v>
      </c>
      <c r="B106" s="9" t="s">
        <v>337</v>
      </c>
      <c r="C106" s="9" t="s">
        <v>14</v>
      </c>
      <c r="D106" s="9" t="s">
        <v>30</v>
      </c>
      <c r="E106" s="9" t="s">
        <v>616</v>
      </c>
      <c r="F106" s="9" t="s">
        <v>617</v>
      </c>
      <c r="G106" s="9" t="s">
        <v>620</v>
      </c>
      <c r="H106" s="10">
        <v>45300000</v>
      </c>
      <c r="I106" s="10">
        <v>53926093.987107478</v>
      </c>
      <c r="J106" s="10">
        <v>33750000</v>
      </c>
      <c r="K106" s="10">
        <f t="shared" si="7"/>
        <v>41850000</v>
      </c>
      <c r="L106" s="17">
        <f t="shared" si="8"/>
        <v>0.77606214182702349</v>
      </c>
      <c r="M106" s="17">
        <f t="shared" si="9"/>
        <v>-7.6158940397350994E-2</v>
      </c>
    </row>
    <row r="107" spans="1:13" x14ac:dyDescent="0.3">
      <c r="A107" s="8" t="s">
        <v>80</v>
      </c>
      <c r="B107" s="9" t="s">
        <v>382</v>
      </c>
      <c r="C107" s="9" t="s">
        <v>16</v>
      </c>
      <c r="D107" s="9" t="s">
        <v>44</v>
      </c>
      <c r="E107" s="9" t="s">
        <v>616</v>
      </c>
      <c r="F107" s="9" t="s">
        <v>617</v>
      </c>
      <c r="G107" s="9" t="s">
        <v>622</v>
      </c>
      <c r="H107" s="10">
        <v>16550000</v>
      </c>
      <c r="I107" s="10">
        <v>15415188.529994149</v>
      </c>
      <c r="J107" s="10">
        <v>7750000</v>
      </c>
      <c r="K107" s="10">
        <f t="shared" si="7"/>
        <v>9610000</v>
      </c>
      <c r="L107" s="17">
        <f t="shared" si="8"/>
        <v>0.62341112347093997</v>
      </c>
      <c r="M107" s="17">
        <f t="shared" si="9"/>
        <v>-0.41933534743202416</v>
      </c>
    </row>
    <row r="108" spans="1:13" x14ac:dyDescent="0.3">
      <c r="A108" s="8" t="s">
        <v>20</v>
      </c>
      <c r="B108" s="9" t="s">
        <v>336</v>
      </c>
      <c r="C108" s="9" t="s">
        <v>14</v>
      </c>
      <c r="D108" s="9" t="s">
        <v>28</v>
      </c>
      <c r="E108" s="9" t="s">
        <v>616</v>
      </c>
      <c r="F108" s="9" t="s">
        <v>617</v>
      </c>
      <c r="G108" s="9" t="s">
        <v>620</v>
      </c>
      <c r="H108" s="10">
        <v>42750000</v>
      </c>
      <c r="I108" s="10">
        <v>61123261.287343688</v>
      </c>
      <c r="J108" s="10">
        <v>31175000</v>
      </c>
      <c r="K108" s="10">
        <f t="shared" si="7"/>
        <v>38657000</v>
      </c>
      <c r="L108" s="17">
        <f t="shared" si="8"/>
        <v>0.6324433478487248</v>
      </c>
      <c r="M108" s="17">
        <f t="shared" si="9"/>
        <v>-9.5742690058479532E-2</v>
      </c>
    </row>
    <row r="109" spans="1:13" x14ac:dyDescent="0.3">
      <c r="A109" s="8" t="s">
        <v>150</v>
      </c>
      <c r="B109" s="9" t="s">
        <v>440</v>
      </c>
      <c r="C109" s="9" t="s">
        <v>16</v>
      </c>
      <c r="D109" s="9" t="s">
        <v>42</v>
      </c>
      <c r="E109" s="9" t="s">
        <v>616</v>
      </c>
      <c r="F109" s="9" t="s">
        <v>624</v>
      </c>
      <c r="G109" s="9" t="s">
        <v>618</v>
      </c>
      <c r="H109" s="10">
        <v>3176000</v>
      </c>
      <c r="I109" s="10">
        <v>8100108.1879849397</v>
      </c>
      <c r="J109" s="10">
        <v>0</v>
      </c>
      <c r="K109" s="10">
        <f t="shared" si="7"/>
        <v>0</v>
      </c>
      <c r="L109" s="17">
        <f t="shared" si="8"/>
        <v>0</v>
      </c>
      <c r="M109" s="17">
        <f t="shared" si="9"/>
        <v>-1</v>
      </c>
    </row>
    <row r="110" spans="1:13" x14ac:dyDescent="0.3">
      <c r="A110" s="8" t="s">
        <v>73</v>
      </c>
      <c r="B110" s="9" t="s">
        <v>375</v>
      </c>
      <c r="C110" s="9" t="s">
        <v>14</v>
      </c>
      <c r="D110" s="9" t="s">
        <v>26</v>
      </c>
      <c r="E110" s="9" t="s">
        <v>616</v>
      </c>
      <c r="F110" s="9" t="s">
        <v>617</v>
      </c>
      <c r="G110" s="9" t="s">
        <v>619</v>
      </c>
      <c r="H110" s="10">
        <v>20705000</v>
      </c>
      <c r="I110" s="10">
        <v>27128237.045838021</v>
      </c>
      <c r="J110" s="10">
        <v>22200000</v>
      </c>
      <c r="K110" s="10">
        <f t="shared" si="7"/>
        <v>27528000</v>
      </c>
      <c r="L110" s="17">
        <f t="shared" si="8"/>
        <v>1.0147360461900456</v>
      </c>
      <c r="M110" s="17">
        <f t="shared" si="9"/>
        <v>0.32953392900265638</v>
      </c>
    </row>
    <row r="111" spans="1:13" x14ac:dyDescent="0.3">
      <c r="A111" s="8" t="s">
        <v>79</v>
      </c>
      <c r="B111" s="9" t="s">
        <v>381</v>
      </c>
      <c r="C111" s="9" t="s">
        <v>16</v>
      </c>
      <c r="D111" s="9" t="s">
        <v>42</v>
      </c>
      <c r="E111" s="9" t="s">
        <v>616</v>
      </c>
      <c r="F111" s="9" t="s">
        <v>617</v>
      </c>
      <c r="G111" s="9" t="s">
        <v>618</v>
      </c>
      <c r="H111" s="10">
        <v>16280000</v>
      </c>
      <c r="I111" s="10">
        <v>22116932.770485517</v>
      </c>
      <c r="J111" s="10">
        <v>17255000</v>
      </c>
      <c r="K111" s="10">
        <f t="shared" si="7"/>
        <v>21396200</v>
      </c>
      <c r="L111" s="17">
        <f t="shared" si="8"/>
        <v>0.9674126255224994</v>
      </c>
      <c r="M111" s="17">
        <f t="shared" si="9"/>
        <v>0.31426289926289924</v>
      </c>
    </row>
    <row r="112" spans="1:13" x14ac:dyDescent="0.3">
      <c r="A112" s="8" t="s">
        <v>96</v>
      </c>
      <c r="B112" s="9" t="s">
        <v>398</v>
      </c>
      <c r="C112" s="9" t="s">
        <v>14</v>
      </c>
      <c r="D112" s="9" t="s">
        <v>32</v>
      </c>
      <c r="E112" s="9" t="s">
        <v>616</v>
      </c>
      <c r="F112" s="9" t="s">
        <v>617</v>
      </c>
      <c r="G112" s="9" t="s">
        <v>619</v>
      </c>
      <c r="H112" s="10">
        <v>10425000</v>
      </c>
      <c r="I112" s="10">
        <v>16129492.086443361</v>
      </c>
      <c r="J112" s="10">
        <v>23600000</v>
      </c>
      <c r="K112" s="10">
        <f t="shared" si="7"/>
        <v>29264000</v>
      </c>
      <c r="L112" s="17">
        <f t="shared" si="8"/>
        <v>1.8143162750050903</v>
      </c>
      <c r="M112" s="17">
        <f t="shared" si="9"/>
        <v>1.8070983213429257</v>
      </c>
    </row>
    <row r="113" spans="1:13" x14ac:dyDescent="0.3">
      <c r="A113" s="8" t="s">
        <v>65</v>
      </c>
      <c r="B113" s="9" t="s">
        <v>367</v>
      </c>
      <c r="C113" s="9" t="s">
        <v>14</v>
      </c>
      <c r="D113" s="9" t="s">
        <v>26</v>
      </c>
      <c r="E113" s="9" t="s">
        <v>616</v>
      </c>
      <c r="F113" s="9" t="s">
        <v>617</v>
      </c>
      <c r="G113" s="9" t="s">
        <v>619</v>
      </c>
      <c r="H113" s="10">
        <v>3165000</v>
      </c>
      <c r="I113" s="10">
        <v>8591059.4956465736</v>
      </c>
      <c r="J113" s="10">
        <v>3800000</v>
      </c>
      <c r="K113" s="10">
        <f t="shared" si="7"/>
        <v>4712000</v>
      </c>
      <c r="L113" s="17">
        <f t="shared" si="8"/>
        <v>0.54847717006124275</v>
      </c>
      <c r="M113" s="17">
        <f t="shared" si="9"/>
        <v>0.48878357030015795</v>
      </c>
    </row>
    <row r="114" spans="1:13" x14ac:dyDescent="0.3">
      <c r="A114" s="8" t="s">
        <v>83</v>
      </c>
      <c r="B114" s="9" t="s">
        <v>385</v>
      </c>
      <c r="C114" s="9" t="s">
        <v>14</v>
      </c>
      <c r="D114" s="9" t="s">
        <v>32</v>
      </c>
      <c r="E114" s="9" t="s">
        <v>616</v>
      </c>
      <c r="F114" s="9" t="s">
        <v>617</v>
      </c>
      <c r="G114" s="9" t="s">
        <v>619</v>
      </c>
      <c r="H114" s="10">
        <v>5150000</v>
      </c>
      <c r="I114" s="10">
        <v>11092004.525866816</v>
      </c>
      <c r="J114" s="10">
        <v>6200000</v>
      </c>
      <c r="K114" s="10">
        <f t="shared" si="7"/>
        <v>7688000</v>
      </c>
      <c r="L114" s="17">
        <f t="shared" si="8"/>
        <v>0.69311187009267827</v>
      </c>
      <c r="M114" s="17">
        <f t="shared" si="9"/>
        <v>0.49281553398058253</v>
      </c>
    </row>
    <row r="115" spans="1:13" x14ac:dyDescent="0.3">
      <c r="A115" s="8" t="s">
        <v>152</v>
      </c>
      <c r="B115" s="9" t="s">
        <v>442</v>
      </c>
      <c r="C115" s="9" t="s">
        <v>16</v>
      </c>
      <c r="D115" s="9" t="s">
        <v>40</v>
      </c>
      <c r="E115" s="9" t="s">
        <v>616</v>
      </c>
      <c r="F115" s="9" t="s">
        <v>617</v>
      </c>
      <c r="G115" s="9" t="s">
        <v>623</v>
      </c>
      <c r="H115" s="10">
        <v>25505000</v>
      </c>
      <c r="I115" s="10">
        <v>33124503.556360185</v>
      </c>
      <c r="J115" s="10">
        <v>16050000</v>
      </c>
      <c r="K115" s="10">
        <f t="shared" si="7"/>
        <v>19902000</v>
      </c>
      <c r="L115" s="17">
        <f t="shared" si="8"/>
        <v>0.60082409887705768</v>
      </c>
      <c r="M115" s="17">
        <f t="shared" si="9"/>
        <v>-0.2196824152127034</v>
      </c>
    </row>
    <row r="116" spans="1:13" x14ac:dyDescent="0.3">
      <c r="A116" s="8" t="s">
        <v>67</v>
      </c>
      <c r="B116" s="9" t="s">
        <v>369</v>
      </c>
      <c r="C116" s="9" t="s">
        <v>14</v>
      </c>
      <c r="D116" s="9" t="s">
        <v>24</v>
      </c>
      <c r="E116" s="9" t="s">
        <v>616</v>
      </c>
      <c r="F116" s="9" t="s">
        <v>617</v>
      </c>
      <c r="G116" s="9" t="s">
        <v>619</v>
      </c>
      <c r="H116" s="10">
        <v>15100000</v>
      </c>
      <c r="I116" s="10">
        <v>21566495.392348584</v>
      </c>
      <c r="J116" s="10">
        <v>4375000</v>
      </c>
      <c r="K116" s="10">
        <f t="shared" si="7"/>
        <v>5425000</v>
      </c>
      <c r="L116" s="17">
        <f t="shared" si="8"/>
        <v>0.25154759275003463</v>
      </c>
      <c r="M116" s="17">
        <f t="shared" si="9"/>
        <v>-0.64072847682119205</v>
      </c>
    </row>
    <row r="117" spans="1:13" x14ac:dyDescent="0.3">
      <c r="A117" s="8" t="s">
        <v>151</v>
      </c>
      <c r="B117" s="9" t="s">
        <v>441</v>
      </c>
      <c r="C117" s="9" t="s">
        <v>16</v>
      </c>
      <c r="D117" s="9" t="s">
        <v>36</v>
      </c>
      <c r="E117" s="9" t="s">
        <v>616</v>
      </c>
      <c r="F117" s="9" t="s">
        <v>617</v>
      </c>
      <c r="G117" s="9" t="s">
        <v>622</v>
      </c>
      <c r="H117" s="10">
        <v>21850000</v>
      </c>
      <c r="I117" s="10">
        <v>23854443.810184468</v>
      </c>
      <c r="J117" s="10">
        <v>14500000</v>
      </c>
      <c r="K117" s="10">
        <f t="shared" si="7"/>
        <v>17980000</v>
      </c>
      <c r="L117" s="17">
        <f t="shared" si="8"/>
        <v>0.75373796777955393</v>
      </c>
      <c r="M117" s="17">
        <f t="shared" si="9"/>
        <v>-0.17711670480549199</v>
      </c>
    </row>
    <row r="118" spans="1:13" x14ac:dyDescent="0.3">
      <c r="A118" s="8" t="s">
        <v>82</v>
      </c>
      <c r="B118" s="9" t="s">
        <v>384</v>
      </c>
      <c r="C118" s="9" t="s">
        <v>16</v>
      </c>
      <c r="D118" s="9" t="s">
        <v>44</v>
      </c>
      <c r="E118" s="9" t="s">
        <v>616</v>
      </c>
      <c r="F118" s="9" t="s">
        <v>617</v>
      </c>
      <c r="G118" s="9" t="s">
        <v>622</v>
      </c>
      <c r="H118" s="10">
        <v>8330000</v>
      </c>
      <c r="I118" s="10">
        <v>14434580.369221285</v>
      </c>
      <c r="J118" s="10">
        <v>6860000</v>
      </c>
      <c r="K118" s="10">
        <f t="shared" si="7"/>
        <v>8506400</v>
      </c>
      <c r="L118" s="17">
        <f t="shared" si="8"/>
        <v>0.58930705170606235</v>
      </c>
      <c r="M118" s="17">
        <f t="shared" si="9"/>
        <v>2.1176470588235293E-2</v>
      </c>
    </row>
    <row r="119" spans="1:13" x14ac:dyDescent="0.3">
      <c r="A119" s="8" t="s">
        <v>153</v>
      </c>
      <c r="B119" s="9" t="s">
        <v>443</v>
      </c>
      <c r="C119" s="9" t="s">
        <v>16</v>
      </c>
      <c r="D119" s="9" t="s">
        <v>40</v>
      </c>
      <c r="E119" s="9" t="s">
        <v>616</v>
      </c>
      <c r="F119" s="9" t="s">
        <v>617</v>
      </c>
      <c r="G119" s="9" t="s">
        <v>623</v>
      </c>
      <c r="H119" s="10">
        <v>16210000</v>
      </c>
      <c r="I119" s="10">
        <v>23502587.527847871</v>
      </c>
      <c r="J119" s="10">
        <v>10450000</v>
      </c>
      <c r="K119" s="10">
        <f t="shared" si="7"/>
        <v>12958000</v>
      </c>
      <c r="L119" s="17">
        <f t="shared" si="8"/>
        <v>0.55134354822192477</v>
      </c>
      <c r="M119" s="17">
        <f t="shared" si="9"/>
        <v>-0.20061690314620603</v>
      </c>
    </row>
    <row r="120" spans="1:13" x14ac:dyDescent="0.3">
      <c r="A120" s="8" t="s">
        <v>89</v>
      </c>
      <c r="B120" s="9" t="s">
        <v>391</v>
      </c>
      <c r="C120" s="9" t="s">
        <v>16</v>
      </c>
      <c r="D120" s="9" t="s">
        <v>36</v>
      </c>
      <c r="E120" s="9" t="s">
        <v>616</v>
      </c>
      <c r="F120" s="9" t="s">
        <v>617</v>
      </c>
      <c r="G120" s="9" t="s">
        <v>622</v>
      </c>
      <c r="H120" s="10">
        <v>6100000</v>
      </c>
      <c r="I120" s="10">
        <v>14439052.121304492</v>
      </c>
      <c r="J120" s="10">
        <v>10675000</v>
      </c>
      <c r="K120" s="10">
        <f t="shared" si="7"/>
        <v>13237000</v>
      </c>
      <c r="L120" s="17">
        <f t="shared" si="8"/>
        <v>0.91674992851290482</v>
      </c>
      <c r="M120" s="17">
        <f t="shared" si="9"/>
        <v>1.17</v>
      </c>
    </row>
    <row r="121" spans="1:13" x14ac:dyDescent="0.3">
      <c r="A121" s="8" t="s">
        <v>81</v>
      </c>
      <c r="B121" s="9" t="s">
        <v>383</v>
      </c>
      <c r="C121" s="9" t="s">
        <v>16</v>
      </c>
      <c r="D121" s="9" t="s">
        <v>40</v>
      </c>
      <c r="E121" s="9" t="s">
        <v>616</v>
      </c>
      <c r="F121" s="9" t="s">
        <v>617</v>
      </c>
      <c r="G121" s="9" t="s">
        <v>623</v>
      </c>
      <c r="H121" s="10">
        <v>24030000</v>
      </c>
      <c r="I121" s="10">
        <v>33122397.125773627</v>
      </c>
      <c r="J121" s="10">
        <v>16985000</v>
      </c>
      <c r="K121" s="10">
        <f t="shared" si="7"/>
        <v>21061400</v>
      </c>
      <c r="L121" s="17">
        <f t="shared" si="8"/>
        <v>0.63586581369774808</v>
      </c>
      <c r="M121" s="17">
        <f t="shared" si="9"/>
        <v>-0.12353724511027882</v>
      </c>
    </row>
    <row r="122" spans="1:13" x14ac:dyDescent="0.3">
      <c r="A122" s="8" t="s">
        <v>154</v>
      </c>
      <c r="B122" s="9" t="s">
        <v>444</v>
      </c>
      <c r="C122" s="9" t="s">
        <v>14</v>
      </c>
      <c r="D122" s="9" t="s">
        <v>24</v>
      </c>
      <c r="E122" s="9" t="s">
        <v>616</v>
      </c>
      <c r="F122" s="9" t="s">
        <v>617</v>
      </c>
      <c r="G122" s="9" t="s">
        <v>619</v>
      </c>
      <c r="H122" s="10">
        <v>30225000</v>
      </c>
      <c r="I122" s="10">
        <v>45016127.961316362</v>
      </c>
      <c r="J122" s="10">
        <v>25250000</v>
      </c>
      <c r="K122" s="10">
        <f t="shared" si="7"/>
        <v>31310000</v>
      </c>
      <c r="L122" s="17">
        <f t="shared" si="8"/>
        <v>0.69552850096093499</v>
      </c>
      <c r="M122" s="17">
        <f t="shared" si="9"/>
        <v>3.5897435897435895E-2</v>
      </c>
    </row>
    <row r="123" spans="1:13" x14ac:dyDescent="0.3">
      <c r="A123" s="8" t="s">
        <v>93</v>
      </c>
      <c r="B123" s="9" t="s">
        <v>395</v>
      </c>
      <c r="C123" s="9" t="s">
        <v>14</v>
      </c>
      <c r="D123" s="9" t="s">
        <v>30</v>
      </c>
      <c r="E123" s="9" t="s">
        <v>616</v>
      </c>
      <c r="F123" s="9" t="s">
        <v>617</v>
      </c>
      <c r="G123" s="9" t="s">
        <v>620</v>
      </c>
      <c r="H123" s="10">
        <v>17065000</v>
      </c>
      <c r="I123" s="10">
        <v>25042988.442826483</v>
      </c>
      <c r="J123" s="10">
        <v>10550000</v>
      </c>
      <c r="K123" s="10">
        <f t="shared" si="7"/>
        <v>13082000</v>
      </c>
      <c r="L123" s="17">
        <f t="shared" si="8"/>
        <v>0.52238174488904954</v>
      </c>
      <c r="M123" s="17">
        <f t="shared" si="9"/>
        <v>-0.23340169938470554</v>
      </c>
    </row>
    <row r="124" spans="1:13" x14ac:dyDescent="0.3">
      <c r="A124" s="8" t="s">
        <v>64</v>
      </c>
      <c r="B124" s="9" t="s">
        <v>366</v>
      </c>
      <c r="C124" s="9" t="s">
        <v>14</v>
      </c>
      <c r="D124" s="9" t="s">
        <v>32</v>
      </c>
      <c r="E124" s="9" t="s">
        <v>616</v>
      </c>
      <c r="F124" s="9" t="s">
        <v>617</v>
      </c>
      <c r="G124" s="9" t="s">
        <v>619</v>
      </c>
      <c r="H124" s="10">
        <v>6550000</v>
      </c>
      <c r="I124" s="10">
        <v>11685982.647971824</v>
      </c>
      <c r="J124" s="10">
        <v>6450000</v>
      </c>
      <c r="K124" s="10">
        <f t="shared" si="7"/>
        <v>7998000</v>
      </c>
      <c r="L124" s="17">
        <f t="shared" si="8"/>
        <v>0.6844097104138781</v>
      </c>
      <c r="M124" s="17">
        <f t="shared" si="9"/>
        <v>0.22106870229007633</v>
      </c>
    </row>
    <row r="125" spans="1:13" x14ac:dyDescent="0.3">
      <c r="A125" s="8" t="s">
        <v>91</v>
      </c>
      <c r="B125" s="9" t="s">
        <v>393</v>
      </c>
      <c r="C125" s="9" t="s">
        <v>14</v>
      </c>
      <c r="D125" s="9" t="s">
        <v>28</v>
      </c>
      <c r="E125" s="9" t="s">
        <v>616</v>
      </c>
      <c r="F125" s="9" t="s">
        <v>617</v>
      </c>
      <c r="G125" s="9" t="s">
        <v>620</v>
      </c>
      <c r="H125" s="10">
        <v>11965000</v>
      </c>
      <c r="I125" s="10">
        <v>17704019.53047803</v>
      </c>
      <c r="J125" s="10">
        <v>13675000</v>
      </c>
      <c r="K125" s="10">
        <f t="shared" si="7"/>
        <v>16957000</v>
      </c>
      <c r="L125" s="17">
        <f t="shared" si="8"/>
        <v>0.95780508888436255</v>
      </c>
      <c r="M125" s="17">
        <f t="shared" si="9"/>
        <v>0.41721688257417466</v>
      </c>
    </row>
    <row r="126" spans="1:13" x14ac:dyDescent="0.3">
      <c r="A126" s="8" t="s">
        <v>84</v>
      </c>
      <c r="B126" s="9" t="s">
        <v>386</v>
      </c>
      <c r="C126" s="9" t="s">
        <v>16</v>
      </c>
      <c r="D126" s="9" t="s">
        <v>44</v>
      </c>
      <c r="E126" s="9" t="s">
        <v>616</v>
      </c>
      <c r="F126" s="9" t="s">
        <v>617</v>
      </c>
      <c r="G126" s="9" t="s">
        <v>622</v>
      </c>
      <c r="H126" s="10">
        <v>10450000</v>
      </c>
      <c r="I126" s="10">
        <v>17228895.871637225</v>
      </c>
      <c r="J126" s="10">
        <v>10450000</v>
      </c>
      <c r="K126" s="10">
        <f t="shared" si="7"/>
        <v>12958000</v>
      </c>
      <c r="L126" s="17">
        <f t="shared" si="8"/>
        <v>0.75210855626168627</v>
      </c>
      <c r="M126" s="17">
        <f t="shared" si="9"/>
        <v>0.24</v>
      </c>
    </row>
    <row r="127" spans="1:13" x14ac:dyDescent="0.3">
      <c r="A127" s="8" t="s">
        <v>72</v>
      </c>
      <c r="B127" s="9" t="s">
        <v>374</v>
      </c>
      <c r="C127" s="9" t="s">
        <v>14</v>
      </c>
      <c r="D127" s="9" t="s">
        <v>30</v>
      </c>
      <c r="E127" s="9" t="s">
        <v>616</v>
      </c>
      <c r="F127" s="9" t="s">
        <v>617</v>
      </c>
      <c r="G127" s="9" t="s">
        <v>620</v>
      </c>
      <c r="H127" s="10">
        <v>15800000</v>
      </c>
      <c r="I127" s="10">
        <v>29824821.229698595</v>
      </c>
      <c r="J127" s="10">
        <v>30925000</v>
      </c>
      <c r="K127" s="10">
        <f t="shared" si="7"/>
        <v>38347000</v>
      </c>
      <c r="L127" s="17">
        <f t="shared" si="8"/>
        <v>1.285741151796588</v>
      </c>
      <c r="M127" s="17">
        <f t="shared" si="9"/>
        <v>1.4270253164556963</v>
      </c>
    </row>
    <row r="128" spans="1:13" x14ac:dyDescent="0.3">
      <c r="A128" s="8" t="s">
        <v>106</v>
      </c>
      <c r="B128" s="9" t="s">
        <v>408</v>
      </c>
      <c r="C128" s="9" t="s">
        <v>16</v>
      </c>
      <c r="D128" s="9" t="s">
        <v>34</v>
      </c>
      <c r="E128" s="9" t="s">
        <v>616</v>
      </c>
      <c r="F128" s="9" t="s">
        <v>617</v>
      </c>
      <c r="G128" s="9" t="s">
        <v>621</v>
      </c>
      <c r="H128" s="10">
        <v>7480000</v>
      </c>
      <c r="I128" s="10">
        <v>8556344.5781585146</v>
      </c>
      <c r="J128" s="10">
        <v>8300000</v>
      </c>
      <c r="K128" s="10">
        <f t="shared" si="7"/>
        <v>10292000</v>
      </c>
      <c r="L128" s="17">
        <f t="shared" si="8"/>
        <v>1.2028501080089777</v>
      </c>
      <c r="M128" s="17">
        <f t="shared" si="9"/>
        <v>0.37593582887700533</v>
      </c>
    </row>
    <row r="129" spans="1:22" x14ac:dyDescent="0.3">
      <c r="A129" s="8" t="s">
        <v>201</v>
      </c>
      <c r="B129" s="9" t="s">
        <v>491</v>
      </c>
      <c r="C129" s="9" t="s">
        <v>120</v>
      </c>
      <c r="D129" s="9" t="s">
        <v>135</v>
      </c>
      <c r="E129" s="9" t="s">
        <v>627</v>
      </c>
      <c r="F129" s="9" t="s">
        <v>617</v>
      </c>
      <c r="G129" s="9" t="s">
        <v>622</v>
      </c>
      <c r="H129" s="10">
        <v>0</v>
      </c>
      <c r="I129" s="10">
        <v>2030528.4788354444</v>
      </c>
      <c r="J129" s="10">
        <v>4050000</v>
      </c>
      <c r="K129" s="10">
        <f t="shared" si="7"/>
        <v>5022000</v>
      </c>
      <c r="L129" s="17">
        <f t="shared" si="8"/>
        <v>2.4732477541414415</v>
      </c>
      <c r="M129" s="17">
        <f t="shared" si="9"/>
        <v>0</v>
      </c>
    </row>
    <row r="130" spans="1:22" x14ac:dyDescent="0.3">
      <c r="A130" s="8" t="s">
        <v>101</v>
      </c>
      <c r="B130" s="9" t="s">
        <v>403</v>
      </c>
      <c r="C130" s="9" t="s">
        <v>16</v>
      </c>
      <c r="D130" s="9" t="s">
        <v>42</v>
      </c>
      <c r="E130" s="9" t="s">
        <v>616</v>
      </c>
      <c r="F130" s="9" t="s">
        <v>617</v>
      </c>
      <c r="G130" s="9" t="s">
        <v>618</v>
      </c>
      <c r="H130" s="10">
        <v>14155000</v>
      </c>
      <c r="I130" s="10">
        <v>15721150.514634669</v>
      </c>
      <c r="J130" s="10">
        <v>8850000</v>
      </c>
      <c r="K130" s="10">
        <f t="shared" si="7"/>
        <v>10974000</v>
      </c>
      <c r="L130" s="17">
        <f t="shared" si="8"/>
        <v>0.69804051489643892</v>
      </c>
      <c r="M130" s="17">
        <f t="shared" si="9"/>
        <v>-0.224726245143059</v>
      </c>
    </row>
    <row r="131" spans="1:22" x14ac:dyDescent="0.3">
      <c r="A131" s="8" t="s">
        <v>76</v>
      </c>
      <c r="B131" s="9" t="s">
        <v>378</v>
      </c>
      <c r="C131" s="9" t="s">
        <v>16</v>
      </c>
      <c r="D131" s="9" t="s">
        <v>22</v>
      </c>
      <c r="E131" s="9" t="s">
        <v>616</v>
      </c>
      <c r="F131" s="9" t="s">
        <v>617</v>
      </c>
      <c r="G131" s="9" t="s">
        <v>618</v>
      </c>
      <c r="H131" s="10">
        <v>9100000</v>
      </c>
      <c r="I131" s="10">
        <v>15992985.97021913</v>
      </c>
      <c r="J131" s="10">
        <v>10675000</v>
      </c>
      <c r="K131" s="10">
        <f t="shared" si="7"/>
        <v>13237000</v>
      </c>
      <c r="L131" s="17">
        <f t="shared" si="8"/>
        <v>0.82767533371497304</v>
      </c>
      <c r="M131" s="17">
        <f t="shared" si="9"/>
        <v>0.45461538461538459</v>
      </c>
    </row>
    <row r="132" spans="1:22" x14ac:dyDescent="0.3">
      <c r="A132" s="8" t="s">
        <v>156</v>
      </c>
      <c r="B132" s="9" t="s">
        <v>446</v>
      </c>
      <c r="C132" s="9" t="s">
        <v>14</v>
      </c>
      <c r="D132" s="9" t="s">
        <v>28</v>
      </c>
      <c r="E132" s="9" t="s">
        <v>616</v>
      </c>
      <c r="F132" s="9" t="s">
        <v>624</v>
      </c>
      <c r="G132" s="9" t="s">
        <v>620</v>
      </c>
      <c r="H132" s="10">
        <v>2150000</v>
      </c>
      <c r="I132" s="10">
        <v>7276846.8616977837</v>
      </c>
      <c r="J132" s="10">
        <v>0</v>
      </c>
      <c r="K132" s="10">
        <f t="shared" si="7"/>
        <v>0</v>
      </c>
      <c r="L132" s="17">
        <f t="shared" si="8"/>
        <v>0</v>
      </c>
      <c r="M132" s="17">
        <f t="shared" si="9"/>
        <v>-1</v>
      </c>
    </row>
    <row r="133" spans="1:22" x14ac:dyDescent="0.3">
      <c r="A133" s="8" t="s">
        <v>155</v>
      </c>
      <c r="B133" s="9" t="s">
        <v>445</v>
      </c>
      <c r="C133" s="9" t="s">
        <v>14</v>
      </c>
      <c r="D133" s="9" t="s">
        <v>24</v>
      </c>
      <c r="E133" s="9" t="s">
        <v>616</v>
      </c>
      <c r="F133" s="9" t="s">
        <v>624</v>
      </c>
      <c r="G133" s="9" t="s">
        <v>619</v>
      </c>
      <c r="H133" s="10">
        <v>600000</v>
      </c>
      <c r="I133" s="10">
        <v>6141304.2590104183</v>
      </c>
      <c r="J133" s="10">
        <v>0</v>
      </c>
      <c r="K133" s="10">
        <f t="shared" si="7"/>
        <v>0</v>
      </c>
      <c r="L133" s="17">
        <f t="shared" si="8"/>
        <v>0</v>
      </c>
      <c r="M133" s="17">
        <f t="shared" si="9"/>
        <v>-1</v>
      </c>
    </row>
    <row r="134" spans="1:22" x14ac:dyDescent="0.3">
      <c r="A134" s="8" t="s">
        <v>104</v>
      </c>
      <c r="B134" s="9" t="s">
        <v>406</v>
      </c>
      <c r="C134" s="9" t="s">
        <v>16</v>
      </c>
      <c r="D134" s="9" t="s">
        <v>36</v>
      </c>
      <c r="E134" s="9" t="s">
        <v>616</v>
      </c>
      <c r="F134" s="9" t="s">
        <v>617</v>
      </c>
      <c r="G134" s="9" t="s">
        <v>622</v>
      </c>
      <c r="H134" s="10">
        <v>630000</v>
      </c>
      <c r="I134" s="10">
        <v>5324326.9211770315</v>
      </c>
      <c r="J134" s="10">
        <v>2850000</v>
      </c>
      <c r="K134" s="10">
        <f t="shared" ref="K134:K205" si="10">IFERROR(J134/$A$1*$B$1,0)</f>
        <v>3534000</v>
      </c>
      <c r="L134" s="17">
        <f t="shared" ref="L134:L205" si="11">IFERROR(K134/I134,0)</f>
        <v>0.66374586916213441</v>
      </c>
      <c r="M134" s="17">
        <f t="shared" ref="M134:M205" si="12">IFERROR((K134-H134)/H134,0)</f>
        <v>4.6095238095238091</v>
      </c>
    </row>
    <row r="135" spans="1:22" x14ac:dyDescent="0.3">
      <c r="A135" s="8" t="s">
        <v>97</v>
      </c>
      <c r="B135" s="9" t="s">
        <v>399</v>
      </c>
      <c r="C135" s="9" t="s">
        <v>16</v>
      </c>
      <c r="D135" s="9" t="s">
        <v>44</v>
      </c>
      <c r="E135" s="9" t="s">
        <v>616</v>
      </c>
      <c r="F135" s="9" t="s">
        <v>617</v>
      </c>
      <c r="G135" s="9" t="s">
        <v>622</v>
      </c>
      <c r="H135" s="10">
        <v>11630000</v>
      </c>
      <c r="I135" s="10">
        <v>15555224.976810388</v>
      </c>
      <c r="J135" s="10">
        <v>4940000</v>
      </c>
      <c r="K135" s="10">
        <f t="shared" si="10"/>
        <v>6125600</v>
      </c>
      <c r="L135" s="17">
        <f t="shared" si="11"/>
        <v>0.39379694020060774</v>
      </c>
      <c r="M135" s="17">
        <f t="shared" si="12"/>
        <v>-0.47329320722269991</v>
      </c>
    </row>
    <row r="136" spans="1:22" x14ac:dyDescent="0.3">
      <c r="A136" s="8" t="s">
        <v>31</v>
      </c>
      <c r="B136" s="9" t="s">
        <v>342</v>
      </c>
      <c r="C136" s="9" t="s">
        <v>14</v>
      </c>
      <c r="D136" s="9" t="s">
        <v>32</v>
      </c>
      <c r="E136" s="9" t="s">
        <v>616</v>
      </c>
      <c r="F136" s="9" t="s">
        <v>617</v>
      </c>
      <c r="G136" s="9" t="s">
        <v>619</v>
      </c>
      <c r="H136" s="10">
        <v>6250000</v>
      </c>
      <c r="I136" s="10">
        <v>9799609.3349766228</v>
      </c>
      <c r="J136" s="10">
        <v>5350000</v>
      </c>
      <c r="K136" s="10">
        <f t="shared" si="10"/>
        <v>6634000</v>
      </c>
      <c r="L136" s="17">
        <f t="shared" si="11"/>
        <v>0.6769657619229803</v>
      </c>
      <c r="M136" s="17">
        <f t="shared" si="12"/>
        <v>6.1440000000000002E-2</v>
      </c>
    </row>
    <row r="137" spans="1:22" x14ac:dyDescent="0.3">
      <c r="A137" s="8" t="s">
        <v>90</v>
      </c>
      <c r="B137" s="9" t="s">
        <v>392</v>
      </c>
      <c r="C137" s="9" t="s">
        <v>16</v>
      </c>
      <c r="D137" s="9" t="s">
        <v>34</v>
      </c>
      <c r="E137" s="9" t="s">
        <v>616</v>
      </c>
      <c r="F137" s="9" t="s">
        <v>617</v>
      </c>
      <c r="G137" s="9" t="s">
        <v>621</v>
      </c>
      <c r="H137" s="10">
        <v>7240000</v>
      </c>
      <c r="I137" s="10">
        <v>11189971.199794982</v>
      </c>
      <c r="J137" s="10">
        <v>6630000</v>
      </c>
      <c r="K137" s="10">
        <f t="shared" si="10"/>
        <v>8221200</v>
      </c>
      <c r="L137" s="17">
        <f t="shared" si="11"/>
        <v>0.73469357992187023</v>
      </c>
      <c r="M137" s="17">
        <f t="shared" si="12"/>
        <v>0.13552486187845303</v>
      </c>
    </row>
    <row r="138" spans="1:22" x14ac:dyDescent="0.3">
      <c r="A138" s="8" t="s">
        <v>161</v>
      </c>
      <c r="B138" s="9" t="s">
        <v>451</v>
      </c>
      <c r="C138" s="9" t="s">
        <v>16</v>
      </c>
      <c r="D138" s="9" t="s">
        <v>36</v>
      </c>
      <c r="E138" s="9" t="s">
        <v>616</v>
      </c>
      <c r="F138" s="9" t="s">
        <v>617</v>
      </c>
      <c r="G138" s="9" t="s">
        <v>622</v>
      </c>
      <c r="H138" s="10">
        <v>17830000</v>
      </c>
      <c r="I138" s="10">
        <v>23756182.942040298</v>
      </c>
      <c r="J138" s="10">
        <v>13215000</v>
      </c>
      <c r="K138" s="10">
        <f t="shared" si="10"/>
        <v>16386600</v>
      </c>
      <c r="L138" s="17">
        <f t="shared" si="11"/>
        <v>0.6897825311406125</v>
      </c>
      <c r="M138" s="17">
        <f t="shared" si="12"/>
        <v>-8.0953449242849126E-2</v>
      </c>
    </row>
    <row r="139" spans="1:22" x14ac:dyDescent="0.3">
      <c r="A139" s="8" t="s">
        <v>111</v>
      </c>
      <c r="B139" s="9" t="s">
        <v>413</v>
      </c>
      <c r="C139" s="9" t="s">
        <v>16</v>
      </c>
      <c r="D139" s="9" t="s">
        <v>34</v>
      </c>
      <c r="E139" s="9" t="s">
        <v>616</v>
      </c>
      <c r="F139" s="9" t="s">
        <v>617</v>
      </c>
      <c r="G139" s="9" t="s">
        <v>621</v>
      </c>
      <c r="H139" s="10">
        <v>5950000</v>
      </c>
      <c r="I139" s="10">
        <v>14573793.072232721</v>
      </c>
      <c r="J139" s="10">
        <v>3100000</v>
      </c>
      <c r="K139" s="10">
        <f t="shared" si="10"/>
        <v>3844000</v>
      </c>
      <c r="L139" s="17">
        <f t="shared" si="11"/>
        <v>0.26376112114037964</v>
      </c>
      <c r="M139" s="17">
        <f t="shared" si="12"/>
        <v>-0.35394957983193276</v>
      </c>
      <c r="T139" s="15"/>
      <c r="U139" s="15"/>
      <c r="V139" s="15"/>
    </row>
    <row r="140" spans="1:22" x14ac:dyDescent="0.3">
      <c r="A140" s="8" t="s">
        <v>219</v>
      </c>
      <c r="B140" s="9" t="s">
        <v>509</v>
      </c>
      <c r="C140" s="9" t="s">
        <v>118</v>
      </c>
      <c r="D140" s="9" t="s">
        <v>132</v>
      </c>
      <c r="E140" s="9" t="s">
        <v>628</v>
      </c>
      <c r="F140" s="9" t="s">
        <v>617</v>
      </c>
      <c r="G140" s="9" t="s">
        <v>620</v>
      </c>
      <c r="H140" s="10">
        <v>7400000</v>
      </c>
      <c r="I140" s="10">
        <v>7867930.1127173463</v>
      </c>
      <c r="J140" s="10">
        <v>4600000</v>
      </c>
      <c r="K140" s="10">
        <f t="shared" si="10"/>
        <v>5704000</v>
      </c>
      <c r="L140" s="17">
        <f t="shared" si="11"/>
        <v>0.72496831037941312</v>
      </c>
      <c r="M140" s="17">
        <f t="shared" si="12"/>
        <v>-0.22918918918918918</v>
      </c>
    </row>
    <row r="141" spans="1:22" x14ac:dyDescent="0.3">
      <c r="A141" s="8" t="s">
        <v>78</v>
      </c>
      <c r="B141" s="9" t="s">
        <v>380</v>
      </c>
      <c r="C141" s="9" t="s">
        <v>16</v>
      </c>
      <c r="D141" s="9" t="s">
        <v>38</v>
      </c>
      <c r="E141" s="9" t="s">
        <v>616</v>
      </c>
      <c r="F141" s="9" t="s">
        <v>617</v>
      </c>
      <c r="G141" s="9" t="s">
        <v>621</v>
      </c>
      <c r="H141" s="10">
        <v>38020000</v>
      </c>
      <c r="I141" s="10">
        <v>61327137.879032038</v>
      </c>
      <c r="J141" s="10">
        <v>39700000</v>
      </c>
      <c r="K141" s="10">
        <f t="shared" si="10"/>
        <v>49228000</v>
      </c>
      <c r="L141" s="17">
        <f t="shared" si="11"/>
        <v>0.80271151895433923</v>
      </c>
      <c r="M141" s="17">
        <f t="shared" si="12"/>
        <v>0.29479221462388217</v>
      </c>
    </row>
    <row r="142" spans="1:22" x14ac:dyDescent="0.3">
      <c r="A142" s="8" t="s">
        <v>95</v>
      </c>
      <c r="B142" s="9" t="s">
        <v>397</v>
      </c>
      <c r="C142" s="9" t="s">
        <v>16</v>
      </c>
      <c r="D142" s="9" t="s">
        <v>38</v>
      </c>
      <c r="E142" s="9" t="s">
        <v>616</v>
      </c>
      <c r="F142" s="9" t="s">
        <v>617</v>
      </c>
      <c r="G142" s="9" t="s">
        <v>621</v>
      </c>
      <c r="H142" s="10">
        <v>12050000</v>
      </c>
      <c r="I142" s="10">
        <v>15174537.66130574</v>
      </c>
      <c r="J142" s="10">
        <v>6100000</v>
      </c>
      <c r="K142" s="10">
        <f t="shared" si="10"/>
        <v>7564000</v>
      </c>
      <c r="L142" s="17">
        <f t="shared" si="11"/>
        <v>0.49846658717568676</v>
      </c>
      <c r="M142" s="17">
        <f t="shared" si="12"/>
        <v>-0.37228215767634854</v>
      </c>
    </row>
    <row r="143" spans="1:22" x14ac:dyDescent="0.3">
      <c r="A143" s="8" t="s">
        <v>75</v>
      </c>
      <c r="B143" s="9" t="s">
        <v>377</v>
      </c>
      <c r="C143" s="9" t="s">
        <v>16</v>
      </c>
      <c r="D143" s="9" t="s">
        <v>42</v>
      </c>
      <c r="E143" s="9" t="s">
        <v>616</v>
      </c>
      <c r="F143" s="9" t="s">
        <v>617</v>
      </c>
      <c r="G143" s="9" t="s">
        <v>618</v>
      </c>
      <c r="H143" s="10">
        <v>11065000</v>
      </c>
      <c r="I143" s="10">
        <v>25667856.957611538</v>
      </c>
      <c r="J143" s="10">
        <v>11760000</v>
      </c>
      <c r="K143" s="10">
        <f t="shared" si="10"/>
        <v>14582400</v>
      </c>
      <c r="L143" s="17">
        <f t="shared" si="11"/>
        <v>0.56811910803779586</v>
      </c>
      <c r="M143" s="17">
        <f t="shared" si="12"/>
        <v>0.31788522367826477</v>
      </c>
    </row>
    <row r="144" spans="1:22" x14ac:dyDescent="0.3">
      <c r="A144" s="8" t="s">
        <v>157</v>
      </c>
      <c r="B144" s="9" t="s">
        <v>447</v>
      </c>
      <c r="C144" s="9" t="s">
        <v>16</v>
      </c>
      <c r="D144" s="9" t="s">
        <v>42</v>
      </c>
      <c r="E144" s="9" t="s">
        <v>616</v>
      </c>
      <c r="F144" s="9" t="s">
        <v>624</v>
      </c>
      <c r="G144" s="9" t="s">
        <v>618</v>
      </c>
      <c r="H144" s="10">
        <v>3450000</v>
      </c>
      <c r="I144" s="10">
        <v>8324813.7301661223</v>
      </c>
      <c r="J144" s="10">
        <v>0</v>
      </c>
      <c r="K144" s="10">
        <f t="shared" si="10"/>
        <v>0</v>
      </c>
      <c r="L144" s="17">
        <f t="shared" si="11"/>
        <v>0</v>
      </c>
      <c r="M144" s="17">
        <f t="shared" si="12"/>
        <v>-1</v>
      </c>
    </row>
    <row r="145" spans="1:23" x14ac:dyDescent="0.3">
      <c r="A145" s="8" t="s">
        <v>159</v>
      </c>
      <c r="B145" s="9" t="s">
        <v>449</v>
      </c>
      <c r="C145" s="9" t="s">
        <v>16</v>
      </c>
      <c r="D145" s="9" t="s">
        <v>40</v>
      </c>
      <c r="E145" s="9" t="s">
        <v>616</v>
      </c>
      <c r="F145" s="9" t="s">
        <v>617</v>
      </c>
      <c r="G145" s="9" t="s">
        <v>623</v>
      </c>
      <c r="H145" s="10">
        <v>28965000</v>
      </c>
      <c r="I145" s="10">
        <v>36835763.591206484</v>
      </c>
      <c r="J145" s="10">
        <v>11200000</v>
      </c>
      <c r="K145" s="10">
        <f t="shared" si="10"/>
        <v>13888000</v>
      </c>
      <c r="L145" s="17">
        <f t="shared" si="11"/>
        <v>0.37702489770879555</v>
      </c>
      <c r="M145" s="17">
        <f t="shared" si="12"/>
        <v>-0.52052477127567753</v>
      </c>
    </row>
    <row r="146" spans="1:23" x14ac:dyDescent="0.3">
      <c r="A146" s="8" t="s">
        <v>158</v>
      </c>
      <c r="B146" s="9" t="s">
        <v>448</v>
      </c>
      <c r="C146" s="9" t="s">
        <v>16</v>
      </c>
      <c r="D146" s="9" t="s">
        <v>40</v>
      </c>
      <c r="E146" s="9" t="s">
        <v>616</v>
      </c>
      <c r="F146" s="9" t="s">
        <v>617</v>
      </c>
      <c r="G146" s="9" t="s">
        <v>623</v>
      </c>
      <c r="H146" s="10">
        <v>24450000</v>
      </c>
      <c r="I146" s="10">
        <v>28100843.12393567</v>
      </c>
      <c r="J146" s="10">
        <v>17830000</v>
      </c>
      <c r="K146" s="10">
        <f t="shared" si="10"/>
        <v>22109200</v>
      </c>
      <c r="L146" s="17">
        <f t="shared" si="11"/>
        <v>0.78678066357261278</v>
      </c>
      <c r="M146" s="17">
        <f t="shared" si="12"/>
        <v>-9.5738241308793451E-2</v>
      </c>
    </row>
    <row r="147" spans="1:23" x14ac:dyDescent="0.3">
      <c r="A147" s="8" t="s">
        <v>85</v>
      </c>
      <c r="B147" s="9" t="s">
        <v>387</v>
      </c>
      <c r="C147" s="9" t="s">
        <v>16</v>
      </c>
      <c r="D147" s="9" t="s">
        <v>34</v>
      </c>
      <c r="E147" s="9" t="s">
        <v>616</v>
      </c>
      <c r="F147" s="9" t="s">
        <v>617</v>
      </c>
      <c r="G147" s="9" t="s">
        <v>621</v>
      </c>
      <c r="H147" s="10">
        <v>17330000</v>
      </c>
      <c r="I147" s="10">
        <v>23121900.212343223</v>
      </c>
      <c r="J147" s="10">
        <v>8380000</v>
      </c>
      <c r="K147" s="10">
        <f t="shared" si="10"/>
        <v>10391200</v>
      </c>
      <c r="L147" s="17">
        <f t="shared" si="11"/>
        <v>0.4494094302185786</v>
      </c>
      <c r="M147" s="17">
        <f t="shared" si="12"/>
        <v>-0.40039238315060588</v>
      </c>
    </row>
    <row r="148" spans="1:23" x14ac:dyDescent="0.3">
      <c r="A148" s="8" t="s">
        <v>92</v>
      </c>
      <c r="B148" s="9" t="s">
        <v>394</v>
      </c>
      <c r="C148" s="9" t="s">
        <v>16</v>
      </c>
      <c r="D148" s="9" t="s">
        <v>34</v>
      </c>
      <c r="E148" s="9" t="s">
        <v>616</v>
      </c>
      <c r="F148" s="9" t="s">
        <v>617</v>
      </c>
      <c r="G148" s="9" t="s">
        <v>621</v>
      </c>
      <c r="H148" s="10">
        <v>18105000</v>
      </c>
      <c r="I148" s="10">
        <v>24300442.24164122</v>
      </c>
      <c r="J148" s="10">
        <v>15430000</v>
      </c>
      <c r="K148" s="10">
        <f t="shared" si="10"/>
        <v>19133200</v>
      </c>
      <c r="L148" s="17">
        <f t="shared" si="11"/>
        <v>0.78736015623671918</v>
      </c>
      <c r="M148" s="17">
        <f t="shared" si="12"/>
        <v>5.6790941728804195E-2</v>
      </c>
    </row>
    <row r="149" spans="1:23" x14ac:dyDescent="0.3">
      <c r="A149" s="8" t="s">
        <v>109</v>
      </c>
      <c r="B149" s="9" t="s">
        <v>411</v>
      </c>
      <c r="C149" s="9" t="s">
        <v>16</v>
      </c>
      <c r="D149" s="9" t="s">
        <v>38</v>
      </c>
      <c r="E149" s="9" t="s">
        <v>616</v>
      </c>
      <c r="F149" s="9" t="s">
        <v>617</v>
      </c>
      <c r="G149" s="9" t="s">
        <v>621</v>
      </c>
      <c r="H149" s="10">
        <v>4275000</v>
      </c>
      <c r="I149" s="10">
        <v>13811830.05279143</v>
      </c>
      <c r="J149" s="10">
        <v>6445000</v>
      </c>
      <c r="K149" s="10">
        <f t="shared" si="10"/>
        <v>7991800</v>
      </c>
      <c r="L149" s="17">
        <f t="shared" si="11"/>
        <v>0.57861991998553608</v>
      </c>
      <c r="M149" s="17">
        <f t="shared" si="12"/>
        <v>0.86942690058479533</v>
      </c>
    </row>
    <row r="150" spans="1:23" x14ac:dyDescent="0.3">
      <c r="A150" s="8" t="s">
        <v>107</v>
      </c>
      <c r="B150" s="9" t="s">
        <v>409</v>
      </c>
      <c r="C150" s="9" t="s">
        <v>16</v>
      </c>
      <c r="D150" s="9" t="s">
        <v>34</v>
      </c>
      <c r="E150" s="9" t="s">
        <v>616</v>
      </c>
      <c r="F150" s="9" t="s">
        <v>617</v>
      </c>
      <c r="G150" s="9" t="s">
        <v>621</v>
      </c>
      <c r="H150" s="10">
        <v>11550000</v>
      </c>
      <c r="I150" s="10">
        <v>9742535.6570725273</v>
      </c>
      <c r="J150" s="10">
        <v>6900000</v>
      </c>
      <c r="K150" s="10">
        <f t="shared" si="10"/>
        <v>8556000</v>
      </c>
      <c r="L150" s="17">
        <f t="shared" si="11"/>
        <v>0.87821079656904621</v>
      </c>
      <c r="M150" s="17">
        <f t="shared" si="12"/>
        <v>-0.25922077922077924</v>
      </c>
    </row>
    <row r="151" spans="1:23" x14ac:dyDescent="0.3">
      <c r="A151" s="8" t="s">
        <v>87</v>
      </c>
      <c r="B151" s="9" t="s">
        <v>389</v>
      </c>
      <c r="C151" s="9" t="s">
        <v>14</v>
      </c>
      <c r="D151" s="9" t="s">
        <v>32</v>
      </c>
      <c r="E151" s="9" t="s">
        <v>616</v>
      </c>
      <c r="F151" s="9" t="s">
        <v>617</v>
      </c>
      <c r="G151" s="9" t="s">
        <v>619</v>
      </c>
      <c r="H151" s="10">
        <v>7450000</v>
      </c>
      <c r="I151" s="10">
        <v>21595914.813948635</v>
      </c>
      <c r="J151" s="10">
        <v>8350000</v>
      </c>
      <c r="K151" s="10">
        <f t="shared" si="10"/>
        <v>10354000</v>
      </c>
      <c r="L151" s="17">
        <f t="shared" si="11"/>
        <v>0.47944252833005396</v>
      </c>
      <c r="M151" s="17">
        <f t="shared" si="12"/>
        <v>0.38979865771812078</v>
      </c>
    </row>
    <row r="152" spans="1:23" x14ac:dyDescent="0.3">
      <c r="A152" s="8" t="s">
        <v>114</v>
      </c>
      <c r="B152" s="9" t="s">
        <v>416</v>
      </c>
      <c r="C152" s="9" t="s">
        <v>16</v>
      </c>
      <c r="D152" s="9" t="s">
        <v>38</v>
      </c>
      <c r="E152" s="9" t="s">
        <v>616</v>
      </c>
      <c r="F152" s="9" t="s">
        <v>617</v>
      </c>
      <c r="G152" s="9" t="s">
        <v>621</v>
      </c>
      <c r="H152" s="10">
        <v>4410000</v>
      </c>
      <c r="I152" s="10">
        <v>6590538.8268431798</v>
      </c>
      <c r="J152" s="10">
        <v>4010000</v>
      </c>
      <c r="K152" s="10">
        <f t="shared" si="10"/>
        <v>4972400</v>
      </c>
      <c r="L152" s="17">
        <f t="shared" si="11"/>
        <v>0.75447548836939993</v>
      </c>
      <c r="M152" s="17">
        <f t="shared" si="12"/>
        <v>0.1275283446712018</v>
      </c>
    </row>
    <row r="153" spans="1:23" x14ac:dyDescent="0.3">
      <c r="A153" s="8" t="s">
        <v>162</v>
      </c>
      <c r="B153" s="9" t="s">
        <v>452</v>
      </c>
      <c r="C153" s="9" t="s">
        <v>16</v>
      </c>
      <c r="D153" s="9" t="s">
        <v>40</v>
      </c>
      <c r="E153" s="9" t="s">
        <v>616</v>
      </c>
      <c r="F153" s="9" t="s">
        <v>617</v>
      </c>
      <c r="G153" s="9" t="s">
        <v>623</v>
      </c>
      <c r="H153" s="10">
        <v>16930000</v>
      </c>
      <c r="I153" s="10">
        <v>22292566.717437815</v>
      </c>
      <c r="J153" s="10">
        <v>8025000</v>
      </c>
      <c r="K153" s="10">
        <f t="shared" si="10"/>
        <v>9951000</v>
      </c>
      <c r="L153" s="17">
        <f t="shared" si="11"/>
        <v>0.44638197683248709</v>
      </c>
      <c r="M153" s="17">
        <f t="shared" si="12"/>
        <v>-0.41222681630242175</v>
      </c>
    </row>
    <row r="154" spans="1:23" x14ac:dyDescent="0.3">
      <c r="A154" s="8" t="s">
        <v>66</v>
      </c>
      <c r="B154" s="9" t="s">
        <v>368</v>
      </c>
      <c r="C154" s="9" t="s">
        <v>14</v>
      </c>
      <c r="D154" s="9" t="s">
        <v>28</v>
      </c>
      <c r="E154" s="9" t="s">
        <v>616</v>
      </c>
      <c r="F154" s="9" t="s">
        <v>617</v>
      </c>
      <c r="G154" s="9" t="s">
        <v>620</v>
      </c>
      <c r="H154" s="10">
        <v>23850000</v>
      </c>
      <c r="I154" s="10">
        <v>37471517.29198356</v>
      </c>
      <c r="J154" s="10">
        <v>27825000</v>
      </c>
      <c r="K154" s="10">
        <f t="shared" si="10"/>
        <v>34503000</v>
      </c>
      <c r="L154" s="17">
        <f t="shared" si="11"/>
        <v>0.9207793677300965</v>
      </c>
      <c r="M154" s="17">
        <f t="shared" si="12"/>
        <v>0.44666666666666666</v>
      </c>
    </row>
    <row r="155" spans="1:23" x14ac:dyDescent="0.3">
      <c r="A155" s="8" t="s">
        <v>112</v>
      </c>
      <c r="B155" s="9" t="s">
        <v>414</v>
      </c>
      <c r="C155" s="9" t="s">
        <v>14</v>
      </c>
      <c r="D155" s="9" t="s">
        <v>32</v>
      </c>
      <c r="E155" s="9" t="s">
        <v>616</v>
      </c>
      <c r="F155" s="9" t="s">
        <v>617</v>
      </c>
      <c r="G155" s="9" t="s">
        <v>619</v>
      </c>
      <c r="H155" s="10">
        <v>600000</v>
      </c>
      <c r="I155" s="10">
        <v>3914548.23810264</v>
      </c>
      <c r="J155" s="10">
        <v>1550000</v>
      </c>
      <c r="K155" s="10">
        <f t="shared" si="10"/>
        <v>1922000</v>
      </c>
      <c r="L155" s="17">
        <f t="shared" si="11"/>
        <v>0.49098896809905779</v>
      </c>
      <c r="M155" s="17">
        <f t="shared" si="12"/>
        <v>2.2033333333333331</v>
      </c>
    </row>
    <row r="156" spans="1:23" x14ac:dyDescent="0.3">
      <c r="A156" s="8" t="s">
        <v>74</v>
      </c>
      <c r="B156" s="9" t="s">
        <v>376</v>
      </c>
      <c r="C156" s="9" t="s">
        <v>16</v>
      </c>
      <c r="D156" s="9" t="s">
        <v>34</v>
      </c>
      <c r="E156" s="9" t="s">
        <v>616</v>
      </c>
      <c r="F156" s="9" t="s">
        <v>617</v>
      </c>
      <c r="G156" s="9" t="s">
        <v>621</v>
      </c>
      <c r="H156" s="10">
        <v>27555000</v>
      </c>
      <c r="I156" s="10">
        <v>30976297.39112455</v>
      </c>
      <c r="J156" s="10">
        <v>26500000</v>
      </c>
      <c r="K156" s="10">
        <f t="shared" si="10"/>
        <v>32860000</v>
      </c>
      <c r="L156" s="17">
        <f t="shared" si="11"/>
        <v>1.0608110964680748</v>
      </c>
      <c r="M156" s="17">
        <f t="shared" si="12"/>
        <v>0.19252404282344401</v>
      </c>
      <c r="W156" s="15"/>
    </row>
    <row r="157" spans="1:23" x14ac:dyDescent="0.3">
      <c r="A157" s="8" t="s">
        <v>160</v>
      </c>
      <c r="B157" s="9" t="s">
        <v>450</v>
      </c>
      <c r="C157" s="9" t="s">
        <v>16</v>
      </c>
      <c r="D157" s="9" t="s">
        <v>40</v>
      </c>
      <c r="E157" s="9" t="s">
        <v>616</v>
      </c>
      <c r="F157" s="9" t="s">
        <v>617</v>
      </c>
      <c r="G157" s="9" t="s">
        <v>623</v>
      </c>
      <c r="H157" s="10">
        <v>24110000</v>
      </c>
      <c r="I157" s="10">
        <v>26666940.515149236</v>
      </c>
      <c r="J157" s="10">
        <v>11345000</v>
      </c>
      <c r="K157" s="10">
        <f t="shared" si="10"/>
        <v>14067800</v>
      </c>
      <c r="L157" s="17">
        <f t="shared" si="11"/>
        <v>0.52753708255389165</v>
      </c>
      <c r="M157" s="17">
        <f t="shared" si="12"/>
        <v>-0.41651596847781003</v>
      </c>
    </row>
    <row r="158" spans="1:23" x14ac:dyDescent="0.3">
      <c r="A158" s="8" t="s">
        <v>68</v>
      </c>
      <c r="B158" s="9" t="s">
        <v>370</v>
      </c>
      <c r="C158" s="9" t="s">
        <v>16</v>
      </c>
      <c r="D158" s="9" t="s">
        <v>38</v>
      </c>
      <c r="E158" s="9" t="s">
        <v>616</v>
      </c>
      <c r="F158" s="9" t="s">
        <v>617</v>
      </c>
      <c r="G158" s="9" t="s">
        <v>622</v>
      </c>
      <c r="H158" s="10">
        <v>7465000</v>
      </c>
      <c r="I158" s="10">
        <v>11849554.632068101</v>
      </c>
      <c r="J158" s="10">
        <v>6935000</v>
      </c>
      <c r="K158" s="10">
        <f t="shared" si="10"/>
        <v>8599400</v>
      </c>
      <c r="L158" s="17">
        <f t="shared" si="11"/>
        <v>0.7257150388359489</v>
      </c>
      <c r="M158" s="17">
        <f t="shared" si="12"/>
        <v>0.15196249162759545</v>
      </c>
    </row>
    <row r="159" spans="1:23" x14ac:dyDescent="0.3">
      <c r="A159" s="8" t="s">
        <v>105</v>
      </c>
      <c r="B159" s="9" t="s">
        <v>407</v>
      </c>
      <c r="C159" s="9" t="s">
        <v>14</v>
      </c>
      <c r="D159" s="9" t="s">
        <v>32</v>
      </c>
      <c r="E159" s="9" t="s">
        <v>616</v>
      </c>
      <c r="F159" s="9" t="s">
        <v>617</v>
      </c>
      <c r="G159" s="9" t="s">
        <v>619</v>
      </c>
      <c r="H159" s="10">
        <v>8550000</v>
      </c>
      <c r="I159" s="10">
        <v>19885469.642121732</v>
      </c>
      <c r="J159" s="10">
        <v>15375000</v>
      </c>
      <c r="K159" s="10">
        <f t="shared" si="10"/>
        <v>19065000</v>
      </c>
      <c r="L159" s="17">
        <f t="shared" si="11"/>
        <v>0.9587402431580595</v>
      </c>
      <c r="M159" s="17">
        <f t="shared" si="12"/>
        <v>1.2298245614035088</v>
      </c>
    </row>
    <row r="160" spans="1:23" x14ac:dyDescent="0.3">
      <c r="A160" s="8" t="s">
        <v>33</v>
      </c>
      <c r="B160" s="9" t="s">
        <v>343</v>
      </c>
      <c r="C160" s="9" t="s">
        <v>16</v>
      </c>
      <c r="D160" s="9" t="s">
        <v>36</v>
      </c>
      <c r="E160" s="9" t="s">
        <v>616</v>
      </c>
      <c r="F160" s="9" t="s">
        <v>617</v>
      </c>
      <c r="G160" s="9" t="s">
        <v>622</v>
      </c>
      <c r="H160" s="10">
        <v>8200000</v>
      </c>
      <c r="I160" s="10">
        <v>14736776.667897001</v>
      </c>
      <c r="J160" s="10">
        <v>6450000</v>
      </c>
      <c r="K160" s="10">
        <f t="shared" si="10"/>
        <v>7998000</v>
      </c>
      <c r="L160" s="17">
        <f t="shared" si="11"/>
        <v>0.542723838478401</v>
      </c>
      <c r="M160" s="17">
        <f t="shared" si="12"/>
        <v>-2.4634146341463416E-2</v>
      </c>
    </row>
    <row r="161" spans="1:13" x14ac:dyDescent="0.3">
      <c r="A161" s="8" t="s">
        <v>103</v>
      </c>
      <c r="B161" s="9" t="s">
        <v>405</v>
      </c>
      <c r="C161" s="9" t="s">
        <v>14</v>
      </c>
      <c r="D161" s="9" t="s">
        <v>26</v>
      </c>
      <c r="E161" s="9" t="s">
        <v>616</v>
      </c>
      <c r="F161" s="9" t="s">
        <v>617</v>
      </c>
      <c r="G161" s="9" t="s">
        <v>619</v>
      </c>
      <c r="H161" s="10">
        <v>6700000</v>
      </c>
      <c r="I161" s="10">
        <v>19250892.718208656</v>
      </c>
      <c r="J161" s="10">
        <v>10725000</v>
      </c>
      <c r="K161" s="10">
        <f t="shared" si="10"/>
        <v>13299000</v>
      </c>
      <c r="L161" s="17">
        <f t="shared" si="11"/>
        <v>0.69082510586228574</v>
      </c>
      <c r="M161" s="17">
        <f t="shared" si="12"/>
        <v>0.98492537313432837</v>
      </c>
    </row>
    <row r="162" spans="1:13" x14ac:dyDescent="0.3">
      <c r="A162" s="8" t="s">
        <v>94</v>
      </c>
      <c r="B162" s="9" t="s">
        <v>396</v>
      </c>
      <c r="C162" s="9" t="s">
        <v>14</v>
      </c>
      <c r="D162" s="9" t="s">
        <v>32</v>
      </c>
      <c r="E162" s="9" t="s">
        <v>616</v>
      </c>
      <c r="F162" s="9" t="s">
        <v>617</v>
      </c>
      <c r="G162" s="9" t="s">
        <v>619</v>
      </c>
      <c r="H162" s="10">
        <v>5700000</v>
      </c>
      <c r="I162" s="10">
        <v>13854194.019895503</v>
      </c>
      <c r="J162" s="10">
        <v>5600000</v>
      </c>
      <c r="K162" s="10">
        <f t="shared" si="10"/>
        <v>6944000</v>
      </c>
      <c r="L162" s="17">
        <f t="shared" si="11"/>
        <v>0.5012200630385264</v>
      </c>
      <c r="M162" s="17">
        <f t="shared" si="12"/>
        <v>0.21824561403508771</v>
      </c>
    </row>
    <row r="163" spans="1:13" x14ac:dyDescent="0.3">
      <c r="A163" s="8" t="s">
        <v>113</v>
      </c>
      <c r="B163" s="9" t="s">
        <v>415</v>
      </c>
      <c r="C163" s="9" t="s">
        <v>14</v>
      </c>
      <c r="D163" s="9" t="s">
        <v>24</v>
      </c>
      <c r="E163" s="9" t="s">
        <v>616</v>
      </c>
      <c r="F163" s="9" t="s">
        <v>617</v>
      </c>
      <c r="G163" s="9" t="s">
        <v>619</v>
      </c>
      <c r="H163" s="10">
        <v>10050000</v>
      </c>
      <c r="I163" s="10">
        <v>10868122.727490436</v>
      </c>
      <c r="J163" s="10">
        <v>4650000</v>
      </c>
      <c r="K163" s="10">
        <f t="shared" si="10"/>
        <v>5766000</v>
      </c>
      <c r="L163" s="17">
        <f t="shared" si="11"/>
        <v>0.53054240779000017</v>
      </c>
      <c r="M163" s="17">
        <f t="shared" si="12"/>
        <v>-0.42626865671641789</v>
      </c>
    </row>
    <row r="164" spans="1:13" x14ac:dyDescent="0.3">
      <c r="A164" s="8" t="s">
        <v>163</v>
      </c>
      <c r="B164" s="9" t="s">
        <v>453</v>
      </c>
      <c r="C164" s="9" t="s">
        <v>14</v>
      </c>
      <c r="D164" s="9" t="s">
        <v>26</v>
      </c>
      <c r="E164" s="9" t="s">
        <v>616</v>
      </c>
      <c r="F164" s="9" t="s">
        <v>617</v>
      </c>
      <c r="G164" s="9" t="s">
        <v>619</v>
      </c>
      <c r="H164" s="10">
        <v>17250000</v>
      </c>
      <c r="I164" s="10">
        <v>28673050.874056637</v>
      </c>
      <c r="J164" s="10">
        <v>18875000</v>
      </c>
      <c r="K164" s="10">
        <f t="shared" si="10"/>
        <v>23405000</v>
      </c>
      <c r="L164" s="17">
        <f t="shared" si="11"/>
        <v>0.81627170065731769</v>
      </c>
      <c r="M164" s="17">
        <f t="shared" si="12"/>
        <v>0.35681159420289854</v>
      </c>
    </row>
    <row r="165" spans="1:13" x14ac:dyDescent="0.3">
      <c r="A165" s="8" t="s">
        <v>110</v>
      </c>
      <c r="B165" s="9" t="s">
        <v>412</v>
      </c>
      <c r="C165" s="9" t="s">
        <v>14</v>
      </c>
      <c r="D165" s="9" t="s">
        <v>32</v>
      </c>
      <c r="E165" s="9" t="s">
        <v>616</v>
      </c>
      <c r="F165" s="9" t="s">
        <v>617</v>
      </c>
      <c r="G165" s="9" t="s">
        <v>619</v>
      </c>
      <c r="H165" s="10">
        <v>4250000</v>
      </c>
      <c r="I165" s="10">
        <v>6380484.1566188242</v>
      </c>
      <c r="J165" s="10">
        <v>2800000</v>
      </c>
      <c r="K165" s="10">
        <f t="shared" si="10"/>
        <v>3472000</v>
      </c>
      <c r="L165" s="17">
        <f t="shared" si="11"/>
        <v>0.54415933254818993</v>
      </c>
      <c r="M165" s="17">
        <f t="shared" si="12"/>
        <v>-0.18305882352941177</v>
      </c>
    </row>
    <row r="166" spans="1:13" x14ac:dyDescent="0.3">
      <c r="A166" s="8" t="s">
        <v>70</v>
      </c>
      <c r="B166" s="9" t="s">
        <v>372</v>
      </c>
      <c r="C166" s="9" t="s">
        <v>16</v>
      </c>
      <c r="D166" s="9" t="s">
        <v>42</v>
      </c>
      <c r="E166" s="9" t="s">
        <v>616</v>
      </c>
      <c r="F166" s="9" t="s">
        <v>617</v>
      </c>
      <c r="G166" s="9" t="s">
        <v>618</v>
      </c>
      <c r="H166" s="10">
        <v>10440000</v>
      </c>
      <c r="I166" s="10">
        <v>14529369.745616648</v>
      </c>
      <c r="J166" s="10">
        <v>6480000</v>
      </c>
      <c r="K166" s="10">
        <f t="shared" si="10"/>
        <v>8035200</v>
      </c>
      <c r="L166" s="17">
        <f t="shared" si="11"/>
        <v>0.55303155888259581</v>
      </c>
      <c r="M166" s="17">
        <f t="shared" si="12"/>
        <v>-0.23034482758620689</v>
      </c>
    </row>
    <row r="167" spans="1:13" x14ac:dyDescent="0.3">
      <c r="A167" s="8" t="s">
        <v>108</v>
      </c>
      <c r="B167" s="9" t="s">
        <v>410</v>
      </c>
      <c r="C167" s="9" t="s">
        <v>14</v>
      </c>
      <c r="D167" s="9" t="s">
        <v>24</v>
      </c>
      <c r="E167" s="9" t="s">
        <v>616</v>
      </c>
      <c r="F167" s="9" t="s">
        <v>617</v>
      </c>
      <c r="G167" s="9" t="s">
        <v>619</v>
      </c>
      <c r="H167" s="10">
        <v>3350000</v>
      </c>
      <c r="I167" s="10">
        <v>5943311.5516420817</v>
      </c>
      <c r="J167" s="10">
        <v>1550000</v>
      </c>
      <c r="K167" s="10">
        <f t="shared" si="10"/>
        <v>1922000</v>
      </c>
      <c r="L167" s="17">
        <f t="shared" si="11"/>
        <v>0.32338873426027437</v>
      </c>
      <c r="M167" s="17">
        <f t="shared" si="12"/>
        <v>-0.42626865671641789</v>
      </c>
    </row>
    <row r="168" spans="1:13" x14ac:dyDescent="0.3">
      <c r="A168" s="8" t="s">
        <v>86</v>
      </c>
      <c r="B168" s="9" t="s">
        <v>388</v>
      </c>
      <c r="C168" s="9" t="s">
        <v>16</v>
      </c>
      <c r="D168" s="9" t="s">
        <v>36</v>
      </c>
      <c r="E168" s="9" t="s">
        <v>616</v>
      </c>
      <c r="F168" s="9" t="s">
        <v>617</v>
      </c>
      <c r="G168" s="9" t="s">
        <v>622</v>
      </c>
      <c r="H168" s="10">
        <v>9800000</v>
      </c>
      <c r="I168" s="10">
        <v>23108073.084191199</v>
      </c>
      <c r="J168" s="10">
        <v>16600000</v>
      </c>
      <c r="K168" s="10">
        <f t="shared" si="10"/>
        <v>20584000</v>
      </c>
      <c r="L168" s="17">
        <f t="shared" si="11"/>
        <v>0.8907709407446015</v>
      </c>
      <c r="M168" s="17">
        <f t="shared" si="12"/>
        <v>1.1004081632653062</v>
      </c>
    </row>
    <row r="169" spans="1:13" x14ac:dyDescent="0.3">
      <c r="A169" s="8" t="s">
        <v>100</v>
      </c>
      <c r="B169" s="9" t="s">
        <v>402</v>
      </c>
      <c r="C169" s="9" t="s">
        <v>16</v>
      </c>
      <c r="D169" s="9" t="s">
        <v>44</v>
      </c>
      <c r="E169" s="9" t="s">
        <v>616</v>
      </c>
      <c r="F169" s="9" t="s">
        <v>617</v>
      </c>
      <c r="G169" s="9" t="s">
        <v>622</v>
      </c>
      <c r="H169" s="10">
        <v>5000000</v>
      </c>
      <c r="I169" s="10">
        <v>3744503.9812543518</v>
      </c>
      <c r="J169" s="10">
        <v>4115000</v>
      </c>
      <c r="K169" s="10">
        <f t="shared" si="10"/>
        <v>5102600</v>
      </c>
      <c r="L169" s="17">
        <f t="shared" si="11"/>
        <v>1.3626904993410387</v>
      </c>
      <c r="M169" s="17">
        <f t="shared" si="12"/>
        <v>2.052E-2</v>
      </c>
    </row>
    <row r="170" spans="1:13" x14ac:dyDescent="0.3">
      <c r="A170" s="8" t="s">
        <v>98</v>
      </c>
      <c r="B170" s="9" t="s">
        <v>400</v>
      </c>
      <c r="C170" s="9" t="s">
        <v>16</v>
      </c>
      <c r="D170" s="9" t="s">
        <v>22</v>
      </c>
      <c r="E170" s="9" t="s">
        <v>616</v>
      </c>
      <c r="F170" s="9" t="s">
        <v>617</v>
      </c>
      <c r="G170" s="9" t="s">
        <v>618</v>
      </c>
      <c r="H170" s="10">
        <v>22250000</v>
      </c>
      <c r="I170" s="10">
        <v>30890392.680052396</v>
      </c>
      <c r="J170" s="10">
        <v>13600000</v>
      </c>
      <c r="K170" s="10">
        <f t="shared" si="10"/>
        <v>16864000</v>
      </c>
      <c r="L170" s="17">
        <f t="shared" si="11"/>
        <v>0.54593025652568028</v>
      </c>
      <c r="M170" s="17">
        <f t="shared" si="12"/>
        <v>-0.24206741573033708</v>
      </c>
    </row>
    <row r="171" spans="1:13" x14ac:dyDescent="0.3">
      <c r="A171" s="8" t="s">
        <v>202</v>
      </c>
      <c r="B171" s="9" t="s">
        <v>492</v>
      </c>
      <c r="C171" s="9" t="s">
        <v>120</v>
      </c>
      <c r="D171" s="9" t="s">
        <v>129</v>
      </c>
      <c r="E171" s="9" t="s">
        <v>627</v>
      </c>
      <c r="F171" s="9" t="s">
        <v>617</v>
      </c>
      <c r="G171" s="9" t="s">
        <v>621</v>
      </c>
      <c r="H171" s="10">
        <v>3600000</v>
      </c>
      <c r="I171" s="10">
        <v>7251593.2301963009</v>
      </c>
      <c r="J171" s="10">
        <v>1950000</v>
      </c>
      <c r="K171" s="10">
        <f t="shared" si="10"/>
        <v>2418000</v>
      </c>
      <c r="L171" s="17">
        <f t="shared" si="11"/>
        <v>0.33344396510427882</v>
      </c>
      <c r="M171" s="17">
        <f t="shared" si="12"/>
        <v>-0.32833333333333331</v>
      </c>
    </row>
    <row r="172" spans="1:13" x14ac:dyDescent="0.3">
      <c r="A172" s="8" t="s">
        <v>169</v>
      </c>
      <c r="B172" s="9" t="s">
        <v>459</v>
      </c>
      <c r="C172" s="9" t="s">
        <v>120</v>
      </c>
      <c r="D172" s="9" t="s">
        <v>129</v>
      </c>
      <c r="E172" s="9" t="s">
        <v>616</v>
      </c>
      <c r="F172" s="9" t="s">
        <v>617</v>
      </c>
      <c r="G172" s="9" t="s">
        <v>621</v>
      </c>
      <c r="H172" s="10">
        <v>5750000</v>
      </c>
      <c r="I172" s="10">
        <v>8317753.0689821104</v>
      </c>
      <c r="J172" s="10">
        <v>5700000</v>
      </c>
      <c r="K172" s="10">
        <f t="shared" si="10"/>
        <v>7068000</v>
      </c>
      <c r="L172" s="17">
        <f t="shared" si="11"/>
        <v>0.84974871715745104</v>
      </c>
      <c r="M172" s="17">
        <f t="shared" si="12"/>
        <v>0.22921739130434782</v>
      </c>
    </row>
    <row r="173" spans="1:13" x14ac:dyDescent="0.3">
      <c r="A173" s="8" t="s">
        <v>183</v>
      </c>
      <c r="B173" s="9" t="s">
        <v>473</v>
      </c>
      <c r="C173" s="9" t="s">
        <v>120</v>
      </c>
      <c r="D173" s="9" t="s">
        <v>129</v>
      </c>
      <c r="E173" s="9" t="s">
        <v>626</v>
      </c>
      <c r="F173" s="9" t="s">
        <v>617</v>
      </c>
      <c r="G173" s="9" t="s">
        <v>621</v>
      </c>
      <c r="H173" s="10">
        <v>15100000</v>
      </c>
      <c r="I173" s="10">
        <v>13248153.934934475</v>
      </c>
      <c r="J173" s="10">
        <v>2850000</v>
      </c>
      <c r="K173" s="10">
        <f t="shared" si="10"/>
        <v>3534000</v>
      </c>
      <c r="L173" s="17">
        <f t="shared" si="11"/>
        <v>0.2667541468310603</v>
      </c>
      <c r="M173" s="17">
        <f t="shared" si="12"/>
        <v>-0.76596026490066227</v>
      </c>
    </row>
    <row r="174" spans="1:13" x14ac:dyDescent="0.3">
      <c r="A174" s="8" t="s">
        <v>220</v>
      </c>
      <c r="B174" s="9" t="s">
        <v>510</v>
      </c>
      <c r="C174" s="9" t="s">
        <v>120</v>
      </c>
      <c r="D174" s="9" t="s">
        <v>129</v>
      </c>
      <c r="E174" s="9" t="s">
        <v>628</v>
      </c>
      <c r="F174" s="9" t="s">
        <v>617</v>
      </c>
      <c r="G174" s="9" t="s">
        <v>621</v>
      </c>
      <c r="H174" s="10">
        <v>750000</v>
      </c>
      <c r="I174" s="10">
        <v>3430010.3643498183</v>
      </c>
      <c r="J174" s="10">
        <v>8200000</v>
      </c>
      <c r="K174" s="10">
        <f t="shared" si="10"/>
        <v>10168000</v>
      </c>
      <c r="L174" s="17">
        <f t="shared" si="11"/>
        <v>2.9644225293550717</v>
      </c>
      <c r="M174" s="17">
        <f t="shared" si="12"/>
        <v>12.557333333333334</v>
      </c>
    </row>
    <row r="175" spans="1:13" x14ac:dyDescent="0.3">
      <c r="A175" s="8" t="s">
        <v>221</v>
      </c>
      <c r="B175" s="9" t="s">
        <v>511</v>
      </c>
      <c r="C175" s="9" t="s">
        <v>118</v>
      </c>
      <c r="D175" s="9" t="s">
        <v>134</v>
      </c>
      <c r="E175" s="9" t="s">
        <v>628</v>
      </c>
      <c r="F175" s="9" t="s">
        <v>617</v>
      </c>
      <c r="G175" s="9" t="s">
        <v>623</v>
      </c>
      <c r="H175" s="10">
        <v>43200000</v>
      </c>
      <c r="I175" s="10">
        <v>51847023.462631956</v>
      </c>
      <c r="J175" s="10">
        <v>22450000</v>
      </c>
      <c r="K175" s="10">
        <f t="shared" si="10"/>
        <v>27838000</v>
      </c>
      <c r="L175" s="17">
        <f t="shared" si="11"/>
        <v>0.53692571223618779</v>
      </c>
      <c r="M175" s="17">
        <f t="shared" si="12"/>
        <v>-0.35560185185185184</v>
      </c>
    </row>
    <row r="176" spans="1:13" x14ac:dyDescent="0.3">
      <c r="A176" s="8" t="s">
        <v>164</v>
      </c>
      <c r="B176" s="9" t="s">
        <v>454</v>
      </c>
      <c r="C176" s="9" t="s">
        <v>16</v>
      </c>
      <c r="D176" s="9" t="s">
        <v>34</v>
      </c>
      <c r="E176" s="9" t="s">
        <v>616</v>
      </c>
      <c r="F176" s="9" t="s">
        <v>617</v>
      </c>
      <c r="G176" s="9" t="s">
        <v>621</v>
      </c>
      <c r="H176" s="10">
        <v>6100000</v>
      </c>
      <c r="I176" s="10">
        <v>10962559.070826596</v>
      </c>
      <c r="J176" s="10">
        <v>3150000</v>
      </c>
      <c r="K176" s="10">
        <f t="shared" si="10"/>
        <v>3906000</v>
      </c>
      <c r="L176" s="17">
        <f t="shared" si="11"/>
        <v>0.35630366730653162</v>
      </c>
      <c r="M176" s="17">
        <f t="shared" si="12"/>
        <v>-0.35967213114754099</v>
      </c>
    </row>
    <row r="177" spans="1:13" x14ac:dyDescent="0.3">
      <c r="A177" s="8" t="s">
        <v>223</v>
      </c>
      <c r="B177" s="9" t="s">
        <v>513</v>
      </c>
      <c r="C177" s="9" t="s">
        <v>118</v>
      </c>
      <c r="D177" s="9" t="s">
        <v>130</v>
      </c>
      <c r="E177" s="9" t="s">
        <v>628</v>
      </c>
      <c r="F177" s="9" t="s">
        <v>617</v>
      </c>
      <c r="G177" s="9" t="s">
        <v>620</v>
      </c>
      <c r="H177" s="10">
        <v>6325000</v>
      </c>
      <c r="I177" s="10">
        <v>4164613.3217030638</v>
      </c>
      <c r="J177" s="10">
        <v>5700000</v>
      </c>
      <c r="K177" s="10">
        <f t="shared" si="10"/>
        <v>7068000</v>
      </c>
      <c r="L177" s="17">
        <f t="shared" si="11"/>
        <v>1.6971563633930928</v>
      </c>
      <c r="M177" s="17">
        <f t="shared" si="12"/>
        <v>0.1174703557312253</v>
      </c>
    </row>
    <row r="178" spans="1:13" x14ac:dyDescent="0.3">
      <c r="A178" s="8" t="s">
        <v>115</v>
      </c>
      <c r="B178" s="9" t="s">
        <v>417</v>
      </c>
      <c r="C178" s="9" t="s">
        <v>16</v>
      </c>
      <c r="D178" s="9" t="s">
        <v>34</v>
      </c>
      <c r="E178" s="9" t="s">
        <v>616</v>
      </c>
      <c r="F178" s="9" t="s">
        <v>617</v>
      </c>
      <c r="G178" s="9" t="s">
        <v>621</v>
      </c>
      <c r="H178" s="10">
        <v>6910000</v>
      </c>
      <c r="I178" s="10">
        <v>7763196.9718211694</v>
      </c>
      <c r="J178" s="10">
        <v>4080000</v>
      </c>
      <c r="K178" s="10">
        <f t="shared" si="10"/>
        <v>5059200</v>
      </c>
      <c r="L178" s="17">
        <f t="shared" si="11"/>
        <v>0.6516902789358392</v>
      </c>
      <c r="M178" s="17">
        <f t="shared" si="12"/>
        <v>-0.26784370477568742</v>
      </c>
    </row>
    <row r="179" spans="1:13" x14ac:dyDescent="0.3">
      <c r="A179" s="8" t="s">
        <v>224</v>
      </c>
      <c r="B179" s="9" t="s">
        <v>514</v>
      </c>
      <c r="C179" s="9" t="s">
        <v>118</v>
      </c>
      <c r="D179" s="9" t="s">
        <v>134</v>
      </c>
      <c r="E179" s="9" t="s">
        <v>628</v>
      </c>
      <c r="F179" s="9" t="s">
        <v>617</v>
      </c>
      <c r="G179" s="9" t="s">
        <v>618</v>
      </c>
      <c r="H179" s="10">
        <v>3800000</v>
      </c>
      <c r="I179" s="10">
        <v>5035722.3952805419</v>
      </c>
      <c r="J179" s="10">
        <v>5150000</v>
      </c>
      <c r="K179" s="10">
        <f t="shared" si="10"/>
        <v>6386000</v>
      </c>
      <c r="L179" s="17">
        <f t="shared" si="11"/>
        <v>1.2681398017462069</v>
      </c>
      <c r="M179" s="17">
        <f t="shared" si="12"/>
        <v>0.68052631578947365</v>
      </c>
    </row>
    <row r="180" spans="1:13" x14ac:dyDescent="0.3">
      <c r="A180" s="8" t="s">
        <v>203</v>
      </c>
      <c r="B180" s="9" t="s">
        <v>493</v>
      </c>
      <c r="C180" s="9" t="s">
        <v>120</v>
      </c>
      <c r="D180" s="9" t="s">
        <v>135</v>
      </c>
      <c r="E180" s="9" t="s">
        <v>627</v>
      </c>
      <c r="F180" s="9" t="s">
        <v>617</v>
      </c>
      <c r="G180" s="9" t="s">
        <v>622</v>
      </c>
      <c r="H180" s="10">
        <v>17475000</v>
      </c>
      <c r="I180" s="10">
        <v>28351496.595968094</v>
      </c>
      <c r="J180" s="10">
        <v>26175000</v>
      </c>
      <c r="K180" s="10">
        <f t="shared" si="10"/>
        <v>32457000</v>
      </c>
      <c r="L180" s="17">
        <f t="shared" si="11"/>
        <v>1.1448072905123376</v>
      </c>
      <c r="M180" s="17">
        <f t="shared" si="12"/>
        <v>0.85733905579399139</v>
      </c>
    </row>
    <row r="181" spans="1:13" x14ac:dyDescent="0.3">
      <c r="A181" s="8" t="s">
        <v>222</v>
      </c>
      <c r="B181" s="9" t="s">
        <v>512</v>
      </c>
      <c r="C181" s="9" t="s">
        <v>118</v>
      </c>
      <c r="D181" s="9" t="s">
        <v>134</v>
      </c>
      <c r="E181" s="9" t="s">
        <v>628</v>
      </c>
      <c r="F181" s="9" t="s">
        <v>617</v>
      </c>
      <c r="G181" s="9" t="s">
        <v>622</v>
      </c>
      <c r="H181" s="10">
        <v>75100000</v>
      </c>
      <c r="I181" s="10">
        <v>84340186.231455058</v>
      </c>
      <c r="J181" s="10">
        <v>53600000</v>
      </c>
      <c r="K181" s="10">
        <f t="shared" si="10"/>
        <v>66464000</v>
      </c>
      <c r="L181" s="17">
        <f t="shared" si="11"/>
        <v>0.78804663553389154</v>
      </c>
      <c r="M181" s="17">
        <f t="shared" si="12"/>
        <v>-0.11499334221038615</v>
      </c>
    </row>
    <row r="182" spans="1:13" x14ac:dyDescent="0.3">
      <c r="A182" s="8" t="s">
        <v>225</v>
      </c>
      <c r="B182" s="9" t="s">
        <v>515</v>
      </c>
      <c r="C182" s="9" t="s">
        <v>118</v>
      </c>
      <c r="D182" s="9" t="s">
        <v>134</v>
      </c>
      <c r="E182" s="9" t="s">
        <v>628</v>
      </c>
      <c r="F182" s="9" t="s">
        <v>617</v>
      </c>
      <c r="G182" s="9" t="s">
        <v>618</v>
      </c>
      <c r="H182" s="10">
        <v>6625000</v>
      </c>
      <c r="I182" s="10">
        <v>6877672.381659667</v>
      </c>
      <c r="J182" s="10">
        <v>5675000</v>
      </c>
      <c r="K182" s="10">
        <f t="shared" si="10"/>
        <v>7037000</v>
      </c>
      <c r="L182" s="17">
        <f t="shared" si="11"/>
        <v>1.0231659214773305</v>
      </c>
      <c r="M182" s="17">
        <f t="shared" si="12"/>
        <v>6.218867924528302E-2</v>
      </c>
    </row>
    <row r="183" spans="1:13" x14ac:dyDescent="0.3">
      <c r="A183" s="8" t="s">
        <v>56</v>
      </c>
      <c r="B183" s="9" t="s">
        <v>360</v>
      </c>
      <c r="C183" s="9" t="s">
        <v>16</v>
      </c>
      <c r="D183" s="9" t="s">
        <v>44</v>
      </c>
      <c r="E183" s="9" t="s">
        <v>616</v>
      </c>
      <c r="F183" s="9" t="s">
        <v>617</v>
      </c>
      <c r="G183" s="9" t="s">
        <v>622</v>
      </c>
      <c r="H183" s="10">
        <v>46850000</v>
      </c>
      <c r="I183" s="10">
        <v>51928809.454680093</v>
      </c>
      <c r="J183" s="10">
        <v>31800000</v>
      </c>
      <c r="K183" s="10">
        <f t="shared" si="10"/>
        <v>39432000</v>
      </c>
      <c r="L183" s="17">
        <f t="shared" si="11"/>
        <v>0.75934727589727524</v>
      </c>
      <c r="M183" s="17">
        <f t="shared" si="12"/>
        <v>-0.15833511205976522</v>
      </c>
    </row>
    <row r="184" spans="1:13" x14ac:dyDescent="0.3">
      <c r="A184" s="8" t="s">
        <v>166</v>
      </c>
      <c r="B184" s="9" t="s">
        <v>456</v>
      </c>
      <c r="C184" s="9" t="s">
        <v>16</v>
      </c>
      <c r="D184" s="9" t="s">
        <v>34</v>
      </c>
      <c r="E184" s="9" t="s">
        <v>616</v>
      </c>
      <c r="F184" s="9" t="s">
        <v>617</v>
      </c>
      <c r="G184" s="9" t="s">
        <v>621</v>
      </c>
      <c r="H184" s="10">
        <v>10730000</v>
      </c>
      <c r="I184" s="10">
        <v>12022540.831076393</v>
      </c>
      <c r="J184" s="10">
        <v>7080000</v>
      </c>
      <c r="K184" s="10">
        <f t="shared" si="10"/>
        <v>8779200</v>
      </c>
      <c r="L184" s="17">
        <f t="shared" si="11"/>
        <v>0.73022833720033098</v>
      </c>
      <c r="M184" s="17">
        <f t="shared" si="12"/>
        <v>-0.1818080149114632</v>
      </c>
    </row>
    <row r="185" spans="1:13" x14ac:dyDescent="0.3">
      <c r="A185" s="8" t="s">
        <v>226</v>
      </c>
      <c r="B185" s="9" t="s">
        <v>516</v>
      </c>
      <c r="C185" s="9" t="s">
        <v>118</v>
      </c>
      <c r="D185" s="9" t="s">
        <v>133</v>
      </c>
      <c r="E185" s="9" t="s">
        <v>628</v>
      </c>
      <c r="F185" s="9" t="s">
        <v>617</v>
      </c>
      <c r="G185" s="9" t="s">
        <v>621</v>
      </c>
      <c r="H185" s="10">
        <v>11425000</v>
      </c>
      <c r="I185" s="10">
        <v>16845266.613972574</v>
      </c>
      <c r="J185" s="10">
        <v>16750000</v>
      </c>
      <c r="K185" s="10">
        <f t="shared" si="10"/>
        <v>20770000</v>
      </c>
      <c r="L185" s="17">
        <f t="shared" si="11"/>
        <v>1.2329873118643306</v>
      </c>
      <c r="M185" s="17">
        <f t="shared" si="12"/>
        <v>0.8179431072210066</v>
      </c>
    </row>
    <row r="186" spans="1:13" x14ac:dyDescent="0.3">
      <c r="A186" s="8" t="s">
        <v>165</v>
      </c>
      <c r="B186" s="9" t="s">
        <v>455</v>
      </c>
      <c r="C186" s="9" t="s">
        <v>14</v>
      </c>
      <c r="D186" s="9" t="s">
        <v>28</v>
      </c>
      <c r="E186" s="9" t="s">
        <v>616</v>
      </c>
      <c r="F186" s="9" t="s">
        <v>617</v>
      </c>
      <c r="G186" s="9" t="s">
        <v>620</v>
      </c>
      <c r="H186" s="10">
        <v>11315000</v>
      </c>
      <c r="I186" s="10">
        <v>16193626.425531471</v>
      </c>
      <c r="J186" s="10">
        <v>4715000</v>
      </c>
      <c r="K186" s="10">
        <f t="shared" si="10"/>
        <v>5846600</v>
      </c>
      <c r="L186" s="17">
        <f t="shared" si="11"/>
        <v>0.36104328001429215</v>
      </c>
      <c r="M186" s="17">
        <f t="shared" si="12"/>
        <v>-0.48328767123287669</v>
      </c>
    </row>
    <row r="187" spans="1:13" x14ac:dyDescent="0.3">
      <c r="A187" s="8" t="s">
        <v>23</v>
      </c>
      <c r="B187" s="9" t="s">
        <v>338</v>
      </c>
      <c r="C187" s="9" t="s">
        <v>14</v>
      </c>
      <c r="D187" s="9" t="s">
        <v>32</v>
      </c>
      <c r="E187" s="9" t="s">
        <v>616</v>
      </c>
      <c r="F187" s="9" t="s">
        <v>617</v>
      </c>
      <c r="G187" s="9" t="s">
        <v>619</v>
      </c>
      <c r="H187" s="10">
        <v>37050000</v>
      </c>
      <c r="I187" s="10">
        <v>47468825.140112519</v>
      </c>
      <c r="J187" s="10">
        <v>41475000</v>
      </c>
      <c r="K187" s="10">
        <f t="shared" si="10"/>
        <v>51429000</v>
      </c>
      <c r="L187" s="17">
        <f t="shared" si="11"/>
        <v>1.0834268564304748</v>
      </c>
      <c r="M187" s="17">
        <f t="shared" si="12"/>
        <v>0.38809716599190286</v>
      </c>
    </row>
    <row r="188" spans="1:13" x14ac:dyDescent="0.3">
      <c r="A188" s="8" t="s">
        <v>50</v>
      </c>
      <c r="B188" s="9" t="s">
        <v>354</v>
      </c>
      <c r="C188" s="9" t="s">
        <v>14</v>
      </c>
      <c r="D188" s="9" t="s">
        <v>30</v>
      </c>
      <c r="E188" s="9" t="s">
        <v>616</v>
      </c>
      <c r="F188" s="9" t="s">
        <v>617</v>
      </c>
      <c r="G188" s="9" t="s">
        <v>620</v>
      </c>
      <c r="H188" s="10">
        <v>31625000</v>
      </c>
      <c r="I188" s="10">
        <v>35957593.856445</v>
      </c>
      <c r="J188" s="10">
        <v>32975000</v>
      </c>
      <c r="K188" s="10">
        <f t="shared" si="10"/>
        <v>40889000</v>
      </c>
      <c r="L188" s="17">
        <f t="shared" si="11"/>
        <v>1.1371450537887173</v>
      </c>
      <c r="M188" s="17">
        <f t="shared" si="12"/>
        <v>0.29293280632411067</v>
      </c>
    </row>
    <row r="189" spans="1:13" x14ac:dyDescent="0.3">
      <c r="A189" s="8" t="s">
        <v>204</v>
      </c>
      <c r="B189" s="9" t="s">
        <v>494</v>
      </c>
      <c r="C189" s="9" t="s">
        <v>16</v>
      </c>
      <c r="D189" s="9" t="s">
        <v>38</v>
      </c>
      <c r="E189" s="9" t="s">
        <v>616</v>
      </c>
      <c r="F189" s="9" t="s">
        <v>617</v>
      </c>
      <c r="G189" s="9" t="s">
        <v>621</v>
      </c>
      <c r="H189" s="10">
        <v>11975000</v>
      </c>
      <c r="I189" s="10">
        <v>17861119.241822299</v>
      </c>
      <c r="J189" s="10">
        <v>14825000</v>
      </c>
      <c r="K189" s="10">
        <f t="shared" si="10"/>
        <v>18383000</v>
      </c>
      <c r="L189" s="17">
        <f t="shared" si="11"/>
        <v>1.0292188160838041</v>
      </c>
      <c r="M189" s="17">
        <f t="shared" si="12"/>
        <v>0.53511482254697285</v>
      </c>
    </row>
    <row r="190" spans="1:13" x14ac:dyDescent="0.3">
      <c r="A190" s="8" t="s">
        <v>229</v>
      </c>
      <c r="B190" s="9" t="s">
        <v>519</v>
      </c>
      <c r="C190" s="9" t="s">
        <v>120</v>
      </c>
      <c r="D190" s="9" t="s">
        <v>139</v>
      </c>
      <c r="E190" s="9" t="s">
        <v>625</v>
      </c>
      <c r="F190" s="9" t="s">
        <v>617</v>
      </c>
      <c r="G190" s="9" t="s">
        <v>619</v>
      </c>
      <c r="H190" s="10">
        <v>7800000</v>
      </c>
      <c r="I190" s="10">
        <v>9937292.2280648574</v>
      </c>
      <c r="J190" s="10">
        <v>10650000</v>
      </c>
      <c r="K190" s="10">
        <f t="shared" si="10"/>
        <v>13206000</v>
      </c>
      <c r="L190" s="17">
        <f t="shared" si="11"/>
        <v>1.3289334455420032</v>
      </c>
      <c r="M190" s="17">
        <f t="shared" si="12"/>
        <v>0.69307692307692303</v>
      </c>
    </row>
    <row r="191" spans="1:13" x14ac:dyDescent="0.3">
      <c r="A191" s="8" t="s">
        <v>230</v>
      </c>
      <c r="B191" s="9" t="s">
        <v>520</v>
      </c>
      <c r="C191" s="9" t="s">
        <v>120</v>
      </c>
      <c r="D191" s="9" t="s">
        <v>139</v>
      </c>
      <c r="E191" s="9" t="s">
        <v>629</v>
      </c>
      <c r="F191" s="9" t="s">
        <v>617</v>
      </c>
      <c r="G191" s="9" t="s">
        <v>622</v>
      </c>
      <c r="H191" s="10">
        <v>4750000</v>
      </c>
      <c r="I191" s="10">
        <v>6676443.5379153248</v>
      </c>
      <c r="J191" s="10">
        <v>4200000</v>
      </c>
      <c r="K191" s="10">
        <f t="shared" si="10"/>
        <v>5208000</v>
      </c>
      <c r="L191" s="17">
        <f t="shared" si="11"/>
        <v>0.78005602390313378</v>
      </c>
      <c r="M191" s="17">
        <f t="shared" si="12"/>
        <v>9.6421052631578949E-2</v>
      </c>
    </row>
    <row r="192" spans="1:13" x14ac:dyDescent="0.3">
      <c r="A192" s="8" t="s">
        <v>239</v>
      </c>
      <c r="B192" s="9" t="s">
        <v>529</v>
      </c>
      <c r="C192" s="9" t="s">
        <v>120</v>
      </c>
      <c r="D192" s="9" t="s">
        <v>135</v>
      </c>
      <c r="E192" s="9" t="s">
        <v>627</v>
      </c>
      <c r="F192" s="9" t="s">
        <v>617</v>
      </c>
      <c r="G192" s="9" t="s">
        <v>621</v>
      </c>
      <c r="H192" s="10">
        <v>950000</v>
      </c>
      <c r="I192" s="10">
        <v>659583.43227311887</v>
      </c>
      <c r="J192" s="10">
        <v>950000</v>
      </c>
      <c r="K192" s="10">
        <f t="shared" si="10"/>
        <v>1178000</v>
      </c>
      <c r="L192" s="17">
        <f t="shared" si="11"/>
        <v>1.7859757270437568</v>
      </c>
      <c r="M192" s="17">
        <f t="shared" si="12"/>
        <v>0.24</v>
      </c>
    </row>
    <row r="193" spans="1:13" x14ac:dyDescent="0.3">
      <c r="A193" s="8" t="s">
        <v>231</v>
      </c>
      <c r="B193" s="9" t="s">
        <v>521</v>
      </c>
      <c r="C193" s="9" t="s">
        <v>14</v>
      </c>
      <c r="D193" s="9" t="s">
        <v>24</v>
      </c>
      <c r="E193" s="9" t="s">
        <v>616</v>
      </c>
      <c r="F193" s="9" t="s">
        <v>617</v>
      </c>
      <c r="G193" s="9" t="s">
        <v>619</v>
      </c>
      <c r="H193" s="10">
        <v>8125000</v>
      </c>
      <c r="I193" s="10">
        <v>18802834.927239895</v>
      </c>
      <c r="J193" s="10">
        <v>13150000</v>
      </c>
      <c r="K193" s="10">
        <f t="shared" si="10"/>
        <v>16306000</v>
      </c>
      <c r="L193" s="17">
        <f t="shared" si="11"/>
        <v>0.86720965551728058</v>
      </c>
      <c r="M193" s="17">
        <f t="shared" si="12"/>
        <v>1.0068923076923078</v>
      </c>
    </row>
    <row r="194" spans="1:13" x14ac:dyDescent="0.3">
      <c r="A194" s="8" t="s">
        <v>232</v>
      </c>
      <c r="B194" s="9" t="s">
        <v>522</v>
      </c>
      <c r="C194" s="9" t="s">
        <v>118</v>
      </c>
      <c r="D194" s="9" t="s">
        <v>133</v>
      </c>
      <c r="E194" s="9" t="s">
        <v>628</v>
      </c>
      <c r="F194" s="9" t="s">
        <v>617</v>
      </c>
      <c r="G194" s="9" t="s">
        <v>622</v>
      </c>
      <c r="H194" s="10">
        <v>23750000</v>
      </c>
      <c r="I194" s="10">
        <v>22640892.669182405</v>
      </c>
      <c r="J194" s="10">
        <v>14250000</v>
      </c>
      <c r="K194" s="10">
        <f t="shared" si="10"/>
        <v>17670000</v>
      </c>
      <c r="L194" s="17">
        <f t="shared" si="11"/>
        <v>0.78044625970297876</v>
      </c>
      <c r="M194" s="17">
        <f t="shared" si="12"/>
        <v>-0.25600000000000001</v>
      </c>
    </row>
    <row r="195" spans="1:13" x14ac:dyDescent="0.3">
      <c r="A195" s="8" t="s">
        <v>233</v>
      </c>
      <c r="B195" s="9" t="s">
        <v>523</v>
      </c>
      <c r="C195" s="9" t="s">
        <v>14</v>
      </c>
      <c r="D195" s="9" t="s">
        <v>30</v>
      </c>
      <c r="E195" s="9" t="s">
        <v>616</v>
      </c>
      <c r="F195" s="9" t="s">
        <v>617</v>
      </c>
      <c r="G195" s="9" t="s">
        <v>620</v>
      </c>
      <c r="H195" s="10">
        <v>8425000</v>
      </c>
      <c r="I195" s="10">
        <v>15635245.803562522</v>
      </c>
      <c r="J195" s="10">
        <v>9100000</v>
      </c>
      <c r="K195" s="10">
        <f t="shared" si="10"/>
        <v>11284000</v>
      </c>
      <c r="L195" s="17">
        <f t="shared" si="11"/>
        <v>0.72170275682067742</v>
      </c>
      <c r="M195" s="17">
        <f t="shared" si="12"/>
        <v>0.3393471810089021</v>
      </c>
    </row>
    <row r="196" spans="1:13" x14ac:dyDescent="0.3">
      <c r="A196" s="8" t="s">
        <v>236</v>
      </c>
      <c r="B196" s="9" t="s">
        <v>526</v>
      </c>
      <c r="C196" s="9" t="s">
        <v>118</v>
      </c>
      <c r="D196" s="9" t="s">
        <v>130</v>
      </c>
      <c r="E196" s="9" t="s">
        <v>628</v>
      </c>
      <c r="F196" s="9" t="s">
        <v>617</v>
      </c>
      <c r="G196" s="9" t="s">
        <v>620</v>
      </c>
      <c r="H196" s="10">
        <v>11100000</v>
      </c>
      <c r="I196" s="10">
        <v>7109497.423868061</v>
      </c>
      <c r="J196" s="10">
        <v>10250000</v>
      </c>
      <c r="K196" s="10">
        <f t="shared" si="10"/>
        <v>12710000</v>
      </c>
      <c r="L196" s="17">
        <f t="shared" si="11"/>
        <v>1.7877494346266851</v>
      </c>
      <c r="M196" s="17">
        <f t="shared" si="12"/>
        <v>0.14504504504504503</v>
      </c>
    </row>
    <row r="197" spans="1:13" x14ac:dyDescent="0.3">
      <c r="A197" s="8" t="s">
        <v>237</v>
      </c>
      <c r="B197" s="9" t="s">
        <v>527</v>
      </c>
      <c r="C197" s="9" t="s">
        <v>120</v>
      </c>
      <c r="D197" s="9" t="s">
        <v>137</v>
      </c>
      <c r="E197" s="9" t="s">
        <v>627</v>
      </c>
      <c r="F197" s="9" t="s">
        <v>617</v>
      </c>
      <c r="G197" s="9" t="s">
        <v>620</v>
      </c>
      <c r="H197" s="10">
        <v>4450000</v>
      </c>
      <c r="I197" s="10">
        <v>6783824.4267555065</v>
      </c>
      <c r="J197" s="10">
        <v>4800000</v>
      </c>
      <c r="K197" s="10">
        <f t="shared" si="10"/>
        <v>5952000</v>
      </c>
      <c r="L197" s="17">
        <f t="shared" si="11"/>
        <v>0.87738119762139211</v>
      </c>
      <c r="M197" s="17">
        <f t="shared" si="12"/>
        <v>0.33752808988764044</v>
      </c>
    </row>
    <row r="198" spans="1:13" x14ac:dyDescent="0.3">
      <c r="A198" s="8" t="s">
        <v>235</v>
      </c>
      <c r="B198" s="9" t="s">
        <v>525</v>
      </c>
      <c r="C198" s="9" t="s">
        <v>120</v>
      </c>
      <c r="D198" s="9" t="s">
        <v>139</v>
      </c>
      <c r="E198" s="9" t="s">
        <v>626</v>
      </c>
      <c r="F198" s="9" t="s">
        <v>617</v>
      </c>
      <c r="G198" s="9" t="s">
        <v>620</v>
      </c>
      <c r="H198" s="10">
        <v>2850000</v>
      </c>
      <c r="I198" s="10">
        <v>3275558.4009495568</v>
      </c>
      <c r="J198" s="10">
        <v>2900000</v>
      </c>
      <c r="K198" s="10">
        <f t="shared" si="10"/>
        <v>3596000</v>
      </c>
      <c r="L198" s="17">
        <f t="shared" si="11"/>
        <v>1.0978280829789357</v>
      </c>
      <c r="M198" s="17">
        <f t="shared" si="12"/>
        <v>0.2617543859649123</v>
      </c>
    </row>
    <row r="199" spans="1:13" x14ac:dyDescent="0.3">
      <c r="A199" s="8" t="s">
        <v>238</v>
      </c>
      <c r="B199" s="9" t="s">
        <v>528</v>
      </c>
      <c r="C199" s="9" t="s">
        <v>120</v>
      </c>
      <c r="D199" s="9" t="s">
        <v>139</v>
      </c>
      <c r="E199" s="9" t="s">
        <v>625</v>
      </c>
      <c r="F199" s="9" t="s">
        <v>617</v>
      </c>
      <c r="G199" s="9" t="s">
        <v>620</v>
      </c>
      <c r="H199" s="10">
        <v>12025000</v>
      </c>
      <c r="I199" s="10">
        <v>11377667.109603299</v>
      </c>
      <c r="J199" s="10">
        <v>5675000</v>
      </c>
      <c r="K199" s="10">
        <f t="shared" si="10"/>
        <v>7037000</v>
      </c>
      <c r="L199" s="17">
        <f t="shared" si="11"/>
        <v>0.61849234401140396</v>
      </c>
      <c r="M199" s="17">
        <f t="shared" si="12"/>
        <v>-0.41480249480249481</v>
      </c>
    </row>
    <row r="200" spans="1:13" x14ac:dyDescent="0.3">
      <c r="A200" s="8" t="s">
        <v>234</v>
      </c>
      <c r="B200" s="9" t="s">
        <v>524</v>
      </c>
      <c r="C200" s="9" t="s">
        <v>120</v>
      </c>
      <c r="D200" s="9" t="s">
        <v>137</v>
      </c>
      <c r="E200" s="9" t="s">
        <v>627</v>
      </c>
      <c r="F200" s="9" t="s">
        <v>617</v>
      </c>
      <c r="G200" s="9" t="s">
        <v>620</v>
      </c>
      <c r="H200" s="10">
        <v>0</v>
      </c>
      <c r="I200" s="10">
        <v>1970807.0529873432</v>
      </c>
      <c r="J200" s="10">
        <v>950000</v>
      </c>
      <c r="K200" s="10">
        <f t="shared" si="10"/>
        <v>1178000</v>
      </c>
      <c r="L200" s="17">
        <f t="shared" si="11"/>
        <v>0.59772467234394722</v>
      </c>
      <c r="M200" s="17">
        <f t="shared" si="12"/>
        <v>0</v>
      </c>
    </row>
    <row r="201" spans="1:13" x14ac:dyDescent="0.3">
      <c r="A201" s="8" t="s">
        <v>240</v>
      </c>
      <c r="B201" s="9" t="s">
        <v>530</v>
      </c>
      <c r="C201" s="9" t="s">
        <v>120</v>
      </c>
      <c r="D201" s="9" t="s">
        <v>139</v>
      </c>
      <c r="E201" s="9" t="s">
        <v>626</v>
      </c>
      <c r="F201" s="9" t="s">
        <v>617</v>
      </c>
      <c r="G201" s="9" t="s">
        <v>619</v>
      </c>
      <c r="H201" s="10">
        <v>950000</v>
      </c>
      <c r="I201" s="10">
        <v>2928997.6145009683</v>
      </c>
      <c r="J201" s="10">
        <v>7700000</v>
      </c>
      <c r="K201" s="10">
        <f t="shared" si="10"/>
        <v>9548000</v>
      </c>
      <c r="L201" s="17">
        <f t="shared" si="11"/>
        <v>3.2598182916672509</v>
      </c>
      <c r="M201" s="17">
        <f t="shared" si="12"/>
        <v>9.0505263157894742</v>
      </c>
    </row>
    <row r="202" spans="1:13" x14ac:dyDescent="0.3">
      <c r="A202" s="8" t="s">
        <v>241</v>
      </c>
      <c r="B202" s="9" t="s">
        <v>531</v>
      </c>
      <c r="C202" s="9" t="s">
        <v>120</v>
      </c>
      <c r="D202" s="9" t="s">
        <v>139</v>
      </c>
      <c r="E202" s="9" t="s">
        <v>626</v>
      </c>
      <c r="F202" s="9" t="s">
        <v>617</v>
      </c>
      <c r="G202" s="9" t="s">
        <v>622</v>
      </c>
      <c r="H202" s="10">
        <v>6165000</v>
      </c>
      <c r="I202" s="10">
        <v>3797458.9401344415</v>
      </c>
      <c r="J202" s="10">
        <v>8545000</v>
      </c>
      <c r="K202" s="10">
        <f t="shared" si="10"/>
        <v>10595800</v>
      </c>
      <c r="L202" s="17">
        <f t="shared" si="11"/>
        <v>2.7902342505972895</v>
      </c>
      <c r="M202" s="17">
        <f t="shared" si="12"/>
        <v>0.71870235198702348</v>
      </c>
    </row>
    <row r="203" spans="1:13" x14ac:dyDescent="0.3">
      <c r="A203" s="8" t="s">
        <v>246</v>
      </c>
      <c r="B203" s="9" t="s">
        <v>535</v>
      </c>
      <c r="C203" s="9" t="s">
        <v>120</v>
      </c>
      <c r="D203" s="9" t="s">
        <v>137</v>
      </c>
      <c r="E203" s="9" t="s">
        <v>627</v>
      </c>
      <c r="F203" s="9" t="s">
        <v>617</v>
      </c>
      <c r="G203" s="9" t="s">
        <v>619</v>
      </c>
      <c r="H203" s="10">
        <v>1900000</v>
      </c>
      <c r="I203" s="10">
        <v>670762.81248113781</v>
      </c>
      <c r="J203" s="10">
        <v>7575000</v>
      </c>
      <c r="K203" s="10">
        <f t="shared" si="10"/>
        <v>9393000</v>
      </c>
      <c r="L203" s="17">
        <f t="shared" si="11"/>
        <v>14.003459680860194</v>
      </c>
      <c r="M203" s="17">
        <f t="shared" si="12"/>
        <v>3.9436842105263157</v>
      </c>
    </row>
    <row r="204" spans="1:13" x14ac:dyDescent="0.3">
      <c r="A204" s="8" t="s">
        <v>243</v>
      </c>
      <c r="B204" s="9" t="s">
        <v>533</v>
      </c>
      <c r="C204" s="9" t="s">
        <v>120</v>
      </c>
      <c r="D204" s="9" t="s">
        <v>137</v>
      </c>
      <c r="E204" s="9" t="s">
        <v>627</v>
      </c>
      <c r="F204" s="9" t="s">
        <v>617</v>
      </c>
      <c r="G204" s="9" t="s">
        <v>619</v>
      </c>
      <c r="H204" s="10">
        <v>14925000</v>
      </c>
      <c r="I204" s="10">
        <v>5269018.4085689383</v>
      </c>
      <c r="J204" s="10">
        <v>5700000</v>
      </c>
      <c r="K204" s="10">
        <f t="shared" si="10"/>
        <v>7068000</v>
      </c>
      <c r="L204" s="17">
        <f t="shared" si="11"/>
        <v>1.3414263249688785</v>
      </c>
      <c r="M204" s="17">
        <f t="shared" si="12"/>
        <v>-0.52643216080402011</v>
      </c>
    </row>
    <row r="205" spans="1:13" x14ac:dyDescent="0.3">
      <c r="A205" s="8" t="s">
        <v>242</v>
      </c>
      <c r="B205" s="9" t="s">
        <v>532</v>
      </c>
      <c r="C205" s="9" t="s">
        <v>120</v>
      </c>
      <c r="D205" s="9" t="s">
        <v>137</v>
      </c>
      <c r="E205" s="9" t="s">
        <v>627</v>
      </c>
      <c r="F205" s="9" t="s">
        <v>617</v>
      </c>
      <c r="G205" s="9" t="s">
        <v>620</v>
      </c>
      <c r="H205" s="10">
        <v>12875000</v>
      </c>
      <c r="I205" s="10">
        <v>4545300.6372077102</v>
      </c>
      <c r="J205" s="10">
        <v>7600000</v>
      </c>
      <c r="K205" s="10">
        <f t="shared" si="10"/>
        <v>9424000</v>
      </c>
      <c r="L205" s="17">
        <f t="shared" si="11"/>
        <v>2.0733502032528688</v>
      </c>
      <c r="M205" s="17">
        <f t="shared" si="12"/>
        <v>-0.26803883495145631</v>
      </c>
    </row>
    <row r="206" spans="1:13" x14ac:dyDescent="0.3">
      <c r="A206" s="8" t="s">
        <v>244</v>
      </c>
      <c r="B206" s="9" t="s">
        <v>534</v>
      </c>
      <c r="C206" s="9" t="s">
        <v>120</v>
      </c>
      <c r="D206" s="9" t="s">
        <v>139</v>
      </c>
      <c r="E206" s="9" t="s">
        <v>625</v>
      </c>
      <c r="F206" s="9" t="s">
        <v>617</v>
      </c>
      <c r="G206" s="9" t="s">
        <v>619</v>
      </c>
      <c r="H206" s="10">
        <v>3775000</v>
      </c>
      <c r="I206" s="10">
        <v>1332699.7984822607</v>
      </c>
      <c r="J206" s="10">
        <v>5325000</v>
      </c>
      <c r="K206" s="10">
        <f t="shared" ref="K206:K211" si="13">IFERROR(J206/$A$1*$B$1,0)</f>
        <v>6603000</v>
      </c>
      <c r="L206" s="17">
        <f t="shared" ref="L206:L211" si="14">IFERROR(K206/I206,0)</f>
        <v>4.9546041858187397</v>
      </c>
      <c r="M206" s="17">
        <f t="shared" ref="M206:M211" si="15">IFERROR((K206-H206)/H206,0)</f>
        <v>0.74913907284768211</v>
      </c>
    </row>
    <row r="207" spans="1:13" x14ac:dyDescent="0.3">
      <c r="A207" s="8" t="s">
        <v>247</v>
      </c>
      <c r="B207" s="9" t="s">
        <v>536</v>
      </c>
      <c r="C207" s="9" t="s">
        <v>120</v>
      </c>
      <c r="D207" s="9" t="s">
        <v>137</v>
      </c>
      <c r="E207" s="9" t="s">
        <v>627</v>
      </c>
      <c r="F207" s="9" t="s">
        <v>617</v>
      </c>
      <c r="G207" s="9" t="s">
        <v>620</v>
      </c>
      <c r="H207" s="10">
        <v>0</v>
      </c>
      <c r="I207" s="10">
        <v>0</v>
      </c>
      <c r="J207" s="10">
        <v>2500000</v>
      </c>
      <c r="K207" s="10">
        <f t="shared" si="13"/>
        <v>3100000</v>
      </c>
      <c r="L207" s="17">
        <f t="shared" si="14"/>
        <v>0</v>
      </c>
      <c r="M207" s="17">
        <f t="shared" si="15"/>
        <v>0</v>
      </c>
    </row>
    <row r="208" spans="1:13" x14ac:dyDescent="0.3">
      <c r="A208" s="4"/>
      <c r="B208" s="7"/>
      <c r="C208" s="7"/>
      <c r="D208" s="7"/>
      <c r="E208" s="7"/>
      <c r="F208" s="7"/>
      <c r="G208" s="7"/>
      <c r="H208" s="12">
        <f>SUM(H5:H207)</f>
        <v>4989366000</v>
      </c>
      <c r="I208" s="12">
        <f>SUM(I5:I207)</f>
        <v>6650299860.9999981</v>
      </c>
      <c r="J208" s="12">
        <f>SUM(J5:J207)</f>
        <v>4285215000</v>
      </c>
      <c r="K208" s="12">
        <f>SUM(K5:K207)</f>
        <v>5313666600</v>
      </c>
      <c r="L208" s="13">
        <f>IFERROR(K208/I208,0)</f>
        <v>0.79901158008850892</v>
      </c>
      <c r="M208" s="18">
        <f>IFERROR((K208-H208)/H208,0)</f>
        <v>6.4998358508876683E-2</v>
      </c>
    </row>
    <row r="213" spans="1:23" s="15" customFormat="1" ht="23.35" customHeight="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P213"/>
      <c r="Q213"/>
      <c r="R213"/>
      <c r="S213"/>
      <c r="T213"/>
      <c r="U213"/>
      <c r="V213"/>
      <c r="W213"/>
    </row>
  </sheetData>
  <autoFilter ref="A4:M208" xr:uid="{619E141B-F8A0-4F90-B288-8950C7572E4A}"/>
  <mergeCells count="3">
    <mergeCell ref="A3:M3"/>
    <mergeCell ref="P3:V3"/>
    <mergeCell ref="Y3:Z3"/>
  </mergeCells>
  <conditionalFormatting sqref="M5:M208">
    <cfRule type="cellIs" dxfId="32" priority="3" operator="lessThan">
      <formula>0</formula>
    </cfRule>
  </conditionalFormatting>
  <conditionalFormatting sqref="V5:V9">
    <cfRule type="cellIs" dxfId="31" priority="2" operator="lessThan">
      <formula>0</formula>
    </cfRule>
  </conditionalFormatting>
  <conditionalFormatting sqref="V12:V32">
    <cfRule type="cellIs" dxfId="30" priority="1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0BE35-5284-41AC-8184-6225DAD825B1}">
  <dimension ref="A1:Z220"/>
  <sheetViews>
    <sheetView showGridLines="0" zoomScale="68" zoomScaleNormal="70" workbookViewId="0">
      <pane ySplit="4" topLeftCell="A5" activePane="bottomLeft" state="frozen"/>
      <selection activeCell="J6" sqref="J6"/>
      <selection pane="bottomLeft" activeCell="J6" sqref="J6"/>
    </sheetView>
  </sheetViews>
  <sheetFormatPr defaultRowHeight="15.05" x14ac:dyDescent="0.3"/>
  <cols>
    <col min="1" max="1" width="8.5546875" bestFit="1" customWidth="1"/>
    <col min="2" max="2" width="38.77734375" bestFit="1" customWidth="1"/>
    <col min="3" max="3" width="15.109375" bestFit="1" customWidth="1"/>
    <col min="4" max="4" width="23" bestFit="1" customWidth="1"/>
    <col min="5" max="6" width="23" customWidth="1"/>
    <col min="7" max="7" width="19.44140625" bestFit="1" customWidth="1"/>
    <col min="8" max="9" width="19.44140625" customWidth="1"/>
    <col min="10" max="11" width="14.109375" bestFit="1" customWidth="1"/>
    <col min="12" max="13" width="14.77734375" customWidth="1"/>
    <col min="16" max="16" width="23.21875" bestFit="1" customWidth="1"/>
    <col min="17" max="22" width="17.109375" customWidth="1"/>
    <col min="25" max="25" width="14.21875" style="15" customWidth="1"/>
    <col min="26" max="26" width="25.6640625" style="15" customWidth="1"/>
  </cols>
  <sheetData>
    <row r="1" spans="1:26" x14ac:dyDescent="0.3">
      <c r="A1" s="1">
        <v>25</v>
      </c>
      <c r="B1" s="1">
        <v>31</v>
      </c>
      <c r="G1" s="15"/>
      <c r="H1" s="15"/>
      <c r="I1" s="15"/>
      <c r="J1" s="15"/>
      <c r="K1" s="15"/>
    </row>
    <row r="2" spans="1:26" x14ac:dyDescent="0.3">
      <c r="A2" s="16"/>
      <c r="B2" s="16"/>
    </row>
    <row r="3" spans="1:26" s="3" customFormat="1" ht="23.5" customHeight="1" x14ac:dyDescent="0.3">
      <c r="A3" s="2" t="str">
        <f>"XL (01 - "&amp;A1&amp;" MEI 2026)"</f>
        <v>XL (01 - 25 MEI 2026)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P3" s="2" t="str">
        <f>A3</f>
        <v>XL (01 - 25 MEI 2026)</v>
      </c>
      <c r="Q3" s="2"/>
      <c r="R3" s="2"/>
      <c r="S3" s="2"/>
      <c r="T3" s="2"/>
      <c r="U3" s="2"/>
      <c r="V3" s="2"/>
      <c r="Y3" s="19" t="str">
        <f>A3</f>
        <v>XL (01 - 25 MEI 2026)</v>
      </c>
      <c r="Z3" s="19"/>
    </row>
    <row r="4" spans="1:26" s="3" customFormat="1" ht="23.5" customHeight="1" x14ac:dyDescent="0.3">
      <c r="A4" s="4" t="s">
        <v>0</v>
      </c>
      <c r="B4" s="5" t="s">
        <v>1</v>
      </c>
      <c r="C4" s="5" t="s">
        <v>2</v>
      </c>
      <c r="D4" s="5" t="s">
        <v>3</v>
      </c>
      <c r="E4" s="5" t="s">
        <v>4</v>
      </c>
      <c r="F4" s="5" t="s">
        <v>5</v>
      </c>
      <c r="G4" s="5" t="s">
        <v>6</v>
      </c>
      <c r="H4" s="7" t="s">
        <v>7</v>
      </c>
      <c r="I4" s="7" t="s">
        <v>8</v>
      </c>
      <c r="J4" s="7" t="s">
        <v>9</v>
      </c>
      <c r="K4" s="7" t="s">
        <v>10</v>
      </c>
      <c r="L4" s="7" t="s">
        <v>11</v>
      </c>
      <c r="M4" s="7" t="s">
        <v>12</v>
      </c>
      <c r="P4" s="7" t="s">
        <v>2</v>
      </c>
      <c r="Q4" s="7" t="s">
        <v>7</v>
      </c>
      <c r="R4" s="7" t="s">
        <v>8</v>
      </c>
      <c r="S4" s="7" t="s">
        <v>9</v>
      </c>
      <c r="T4" s="7" t="s">
        <v>10</v>
      </c>
      <c r="U4" s="7" t="s">
        <v>11</v>
      </c>
      <c r="V4" s="7" t="s">
        <v>12</v>
      </c>
      <c r="Y4" s="7" t="s">
        <v>116</v>
      </c>
      <c r="Z4" s="7" t="s">
        <v>117</v>
      </c>
    </row>
    <row r="5" spans="1:26" x14ac:dyDescent="0.3">
      <c r="A5" s="8" t="s">
        <v>19</v>
      </c>
      <c r="B5" s="9" t="s">
        <v>335</v>
      </c>
      <c r="C5" s="9" t="s">
        <v>14</v>
      </c>
      <c r="D5" s="9" t="s">
        <v>26</v>
      </c>
      <c r="E5" s="9" t="s">
        <v>616</v>
      </c>
      <c r="F5" s="9" t="s">
        <v>617</v>
      </c>
      <c r="G5" s="9" t="s">
        <v>619</v>
      </c>
      <c r="H5" s="10">
        <v>15401000</v>
      </c>
      <c r="I5" s="10"/>
      <c r="J5" s="10">
        <v>15937000</v>
      </c>
      <c r="K5" s="10">
        <f t="shared" ref="K5:K68" si="0">IFERROR(J5/$A$1*$B$1,0)</f>
        <v>19761880</v>
      </c>
      <c r="L5" s="17">
        <f t="shared" ref="L5:L68" si="1">IFERROR(K5/I5,0)</f>
        <v>0</v>
      </c>
      <c r="M5" s="17">
        <f t="shared" ref="M5:M68" si="2">IFERROR((K5-H5)/H5,0)</f>
        <v>0.28315563924420495</v>
      </c>
      <c r="P5" s="9" t="s">
        <v>118</v>
      </c>
      <c r="Q5" s="10">
        <f t="shared" ref="Q5:T8" si="3">SUMIF($C:$C,$P5,H:H)</f>
        <v>1087561060</v>
      </c>
      <c r="R5" s="10">
        <f t="shared" si="3"/>
        <v>0</v>
      </c>
      <c r="S5" s="10">
        <f t="shared" si="3"/>
        <v>1067255000</v>
      </c>
      <c r="T5" s="10">
        <f t="shared" si="3"/>
        <v>1323396200</v>
      </c>
      <c r="U5" s="17">
        <f>IFERROR(T5/R5,0)</f>
        <v>0</v>
      </c>
      <c r="V5" s="17">
        <f>IFERROR((T5-Q5)/Q5,0)</f>
        <v>0.21684772347402728</v>
      </c>
      <c r="Y5" s="20">
        <v>46143</v>
      </c>
      <c r="Z5" s="10">
        <v>252984694</v>
      </c>
    </row>
    <row r="6" spans="1:26" x14ac:dyDescent="0.3">
      <c r="A6" s="8" t="s">
        <v>119</v>
      </c>
      <c r="B6" s="9" t="s">
        <v>418</v>
      </c>
      <c r="C6" s="9" t="s">
        <v>14</v>
      </c>
      <c r="D6" s="9" t="s">
        <v>32</v>
      </c>
      <c r="E6" s="9" t="s">
        <v>616</v>
      </c>
      <c r="F6" s="9" t="s">
        <v>617</v>
      </c>
      <c r="G6" s="9" t="s">
        <v>619</v>
      </c>
      <c r="H6" s="10">
        <v>176729000</v>
      </c>
      <c r="I6" s="10"/>
      <c r="J6" s="10">
        <v>148766000</v>
      </c>
      <c r="K6" s="10">
        <f t="shared" si="0"/>
        <v>184469840</v>
      </c>
      <c r="L6" s="17">
        <f t="shared" si="1"/>
        <v>0</v>
      </c>
      <c r="M6" s="17">
        <f t="shared" si="2"/>
        <v>4.3800621290224016E-2</v>
      </c>
      <c r="P6" s="9" t="s">
        <v>14</v>
      </c>
      <c r="Q6" s="10">
        <f t="shared" si="3"/>
        <v>1006036910</v>
      </c>
      <c r="R6" s="10">
        <f t="shared" si="3"/>
        <v>0</v>
      </c>
      <c r="S6" s="10">
        <f t="shared" si="3"/>
        <v>898330490</v>
      </c>
      <c r="T6" s="10">
        <f t="shared" si="3"/>
        <v>1113929807.5999999</v>
      </c>
      <c r="U6" s="17">
        <f>IFERROR(T6/R6,0)</f>
        <v>0</v>
      </c>
      <c r="V6" s="17">
        <f>IFERROR((T6-Q6)/Q6,0)</f>
        <v>0.10724546637160649</v>
      </c>
      <c r="Y6" s="20">
        <v>46144</v>
      </c>
      <c r="Z6" s="10">
        <v>226909941</v>
      </c>
    </row>
    <row r="7" spans="1:26" x14ac:dyDescent="0.3">
      <c r="A7" s="8" t="s">
        <v>41</v>
      </c>
      <c r="B7" s="9" t="s">
        <v>347</v>
      </c>
      <c r="C7" s="9" t="s">
        <v>14</v>
      </c>
      <c r="D7" s="9" t="s">
        <v>32</v>
      </c>
      <c r="E7" s="9" t="s">
        <v>616</v>
      </c>
      <c r="F7" s="9" t="s">
        <v>617</v>
      </c>
      <c r="G7" s="9" t="s">
        <v>619</v>
      </c>
      <c r="H7" s="10">
        <v>92296000</v>
      </c>
      <c r="I7" s="10"/>
      <c r="J7" s="10">
        <v>69631000</v>
      </c>
      <c r="K7" s="10">
        <f t="shared" si="0"/>
        <v>86342440</v>
      </c>
      <c r="L7" s="17">
        <f t="shared" si="1"/>
        <v>0</v>
      </c>
      <c r="M7" s="17">
        <f t="shared" si="2"/>
        <v>-6.4505070642281351E-2</v>
      </c>
      <c r="P7" s="9" t="s">
        <v>120</v>
      </c>
      <c r="Q7" s="10">
        <f t="shared" si="3"/>
        <v>891858500</v>
      </c>
      <c r="R7" s="10">
        <f t="shared" si="3"/>
        <v>0</v>
      </c>
      <c r="S7" s="10">
        <f t="shared" si="3"/>
        <v>778609350</v>
      </c>
      <c r="T7" s="10">
        <f t="shared" si="3"/>
        <v>965475594</v>
      </c>
      <c r="U7" s="17">
        <f>IFERROR(T7/R7,0)</f>
        <v>0</v>
      </c>
      <c r="V7" s="17">
        <f>IFERROR((T7-Q7)/Q7,0)</f>
        <v>8.2543468498646369E-2</v>
      </c>
      <c r="Y7" s="20">
        <v>46145</v>
      </c>
      <c r="Z7" s="10">
        <v>321491028</v>
      </c>
    </row>
    <row r="8" spans="1:26" x14ac:dyDescent="0.3">
      <c r="A8" s="8" t="s">
        <v>121</v>
      </c>
      <c r="B8" s="9" t="s">
        <v>419</v>
      </c>
      <c r="C8" s="9" t="s">
        <v>14</v>
      </c>
      <c r="D8" s="9" t="s">
        <v>28</v>
      </c>
      <c r="E8" s="9" t="s">
        <v>616</v>
      </c>
      <c r="F8" s="9" t="s">
        <v>617</v>
      </c>
      <c r="G8" s="9" t="s">
        <v>620</v>
      </c>
      <c r="H8" s="10">
        <v>15630210</v>
      </c>
      <c r="I8" s="10"/>
      <c r="J8" s="10">
        <v>13706020</v>
      </c>
      <c r="K8" s="10">
        <f t="shared" si="0"/>
        <v>16995464.800000001</v>
      </c>
      <c r="L8" s="17">
        <f t="shared" si="1"/>
        <v>0</v>
      </c>
      <c r="M8" s="17">
        <f t="shared" si="2"/>
        <v>8.7347182155582084E-2</v>
      </c>
      <c r="P8" s="9" t="s">
        <v>16</v>
      </c>
      <c r="Q8" s="10">
        <f t="shared" si="3"/>
        <v>902427330</v>
      </c>
      <c r="R8" s="10">
        <f t="shared" si="3"/>
        <v>0</v>
      </c>
      <c r="S8" s="10">
        <f t="shared" si="3"/>
        <v>955734250</v>
      </c>
      <c r="T8" s="10">
        <f t="shared" si="3"/>
        <v>1185110470</v>
      </c>
      <c r="U8" s="17">
        <f>IFERROR(T8/R8,0)</f>
        <v>0</v>
      </c>
      <c r="V8" s="17">
        <f>IFERROR((T8-Q8)/Q8,0)</f>
        <v>0.31324753872425382</v>
      </c>
      <c r="Y8" s="20">
        <v>46146</v>
      </c>
      <c r="Z8" s="10">
        <v>112929766</v>
      </c>
    </row>
    <row r="9" spans="1:26" x14ac:dyDescent="0.3">
      <c r="A9" s="8" t="s">
        <v>122</v>
      </c>
      <c r="B9" s="9" t="s">
        <v>420</v>
      </c>
      <c r="C9" s="9" t="s">
        <v>14</v>
      </c>
      <c r="D9" s="9" t="s">
        <v>30</v>
      </c>
      <c r="E9" s="9" t="s">
        <v>616</v>
      </c>
      <c r="F9" s="9" t="s">
        <v>617</v>
      </c>
      <c r="G9" s="9" t="s">
        <v>620</v>
      </c>
      <c r="H9" s="10">
        <v>599000</v>
      </c>
      <c r="I9" s="10"/>
      <c r="J9" s="10">
        <v>707000</v>
      </c>
      <c r="K9" s="10">
        <f t="shared" si="0"/>
        <v>876680</v>
      </c>
      <c r="L9" s="17">
        <f t="shared" si="1"/>
        <v>0</v>
      </c>
      <c r="M9" s="17">
        <f t="shared" si="2"/>
        <v>0.46357262103505842</v>
      </c>
      <c r="P9" s="4" t="s">
        <v>62</v>
      </c>
      <c r="Q9" s="12">
        <f>SUM(Q5:Q8)</f>
        <v>3887883800</v>
      </c>
      <c r="R9" s="12">
        <f>SUM(R5:R8)</f>
        <v>0</v>
      </c>
      <c r="S9" s="12">
        <f>SUM(S5:S8)</f>
        <v>3699929090</v>
      </c>
      <c r="T9" s="12">
        <f>SUM(T5:T8)</f>
        <v>4587912071.6000004</v>
      </c>
      <c r="U9" s="13">
        <f>IFERROR(T9/R9,0)</f>
        <v>0</v>
      </c>
      <c r="V9" s="18">
        <f>IFERROR((T9-Q9)/Q9,0)</f>
        <v>0.18005380500312287</v>
      </c>
      <c r="Y9" s="20">
        <v>46147</v>
      </c>
      <c r="Z9" s="10">
        <v>110827953</v>
      </c>
    </row>
    <row r="10" spans="1:26" x14ac:dyDescent="0.3">
      <c r="A10" s="8" t="s">
        <v>51</v>
      </c>
      <c r="B10" s="9" t="s">
        <v>355</v>
      </c>
      <c r="C10" s="9" t="s">
        <v>16</v>
      </c>
      <c r="D10" s="9" t="s">
        <v>44</v>
      </c>
      <c r="E10" s="9" t="s">
        <v>616</v>
      </c>
      <c r="F10" s="9" t="s">
        <v>617</v>
      </c>
      <c r="G10" s="9" t="s">
        <v>622</v>
      </c>
      <c r="H10" s="10">
        <v>7157000</v>
      </c>
      <c r="I10" s="10"/>
      <c r="J10" s="10">
        <v>4407000</v>
      </c>
      <c r="K10" s="10">
        <f t="shared" si="0"/>
        <v>5464680</v>
      </c>
      <c r="L10" s="17">
        <f t="shared" si="1"/>
        <v>0</v>
      </c>
      <c r="M10" s="17">
        <f t="shared" si="2"/>
        <v>-0.23645661590051698</v>
      </c>
      <c r="Y10" s="20">
        <v>46148</v>
      </c>
      <c r="Z10" s="10">
        <v>139013538</v>
      </c>
    </row>
    <row r="11" spans="1:26" x14ac:dyDescent="0.3">
      <c r="A11" s="8" t="s">
        <v>123</v>
      </c>
      <c r="B11" s="9" t="s">
        <v>421</v>
      </c>
      <c r="C11" s="9" t="s">
        <v>14</v>
      </c>
      <c r="D11" s="9" t="s">
        <v>30</v>
      </c>
      <c r="E11" s="9" t="s">
        <v>616</v>
      </c>
      <c r="F11" s="9" t="s">
        <v>617</v>
      </c>
      <c r="G11" s="9" t="s">
        <v>620</v>
      </c>
      <c r="H11" s="10">
        <v>4797000</v>
      </c>
      <c r="I11" s="10"/>
      <c r="J11" s="10">
        <v>3957000</v>
      </c>
      <c r="K11" s="10">
        <f t="shared" si="0"/>
        <v>4906680</v>
      </c>
      <c r="L11" s="17">
        <f t="shared" si="1"/>
        <v>0</v>
      </c>
      <c r="M11" s="17">
        <f t="shared" si="2"/>
        <v>2.2864290181363354E-2</v>
      </c>
      <c r="P11" s="7" t="s">
        <v>3</v>
      </c>
      <c r="Q11" s="7" t="s">
        <v>7</v>
      </c>
      <c r="R11" s="7" t="s">
        <v>8</v>
      </c>
      <c r="S11" s="7" t="s">
        <v>9</v>
      </c>
      <c r="T11" s="7" t="s">
        <v>10</v>
      </c>
      <c r="U11" s="7" t="s">
        <v>11</v>
      </c>
      <c r="V11" s="7" t="s">
        <v>12</v>
      </c>
      <c r="Y11" s="20">
        <v>46149</v>
      </c>
      <c r="Z11" s="10">
        <v>134727044</v>
      </c>
    </row>
    <row r="12" spans="1:26" x14ac:dyDescent="0.3">
      <c r="A12" s="8" t="s">
        <v>55</v>
      </c>
      <c r="B12" s="9" t="s">
        <v>359</v>
      </c>
      <c r="C12" s="9" t="s">
        <v>16</v>
      </c>
      <c r="D12" s="9" t="s">
        <v>40</v>
      </c>
      <c r="E12" s="9" t="s">
        <v>616</v>
      </c>
      <c r="F12" s="9" t="s">
        <v>617</v>
      </c>
      <c r="G12" s="9" t="s">
        <v>623</v>
      </c>
      <c r="H12" s="10">
        <v>8907000</v>
      </c>
      <c r="I12" s="10"/>
      <c r="J12" s="10">
        <v>18409000</v>
      </c>
      <c r="K12" s="10">
        <f t="shared" si="0"/>
        <v>22827160</v>
      </c>
      <c r="L12" s="17">
        <f t="shared" si="1"/>
        <v>0</v>
      </c>
      <c r="M12" s="17">
        <f t="shared" si="2"/>
        <v>1.562833726282699</v>
      </c>
      <c r="P12" s="9" t="s">
        <v>22</v>
      </c>
      <c r="Q12" s="10">
        <f t="shared" ref="Q12:T31" si="4">SUMIF($D:$D,$P12,H:H)</f>
        <v>54164020</v>
      </c>
      <c r="R12" s="10">
        <f t="shared" si="4"/>
        <v>0</v>
      </c>
      <c r="S12" s="10">
        <f t="shared" si="4"/>
        <v>71453050</v>
      </c>
      <c r="T12" s="10">
        <f t="shared" si="4"/>
        <v>88601782</v>
      </c>
      <c r="U12" s="17">
        <f t="shared" ref="U12:U32" si="5">IFERROR(T12/R12,0)</f>
        <v>0</v>
      </c>
      <c r="V12" s="17">
        <f t="shared" ref="V12:V32" si="6">IFERROR((T12-Q12)/Q12,0)</f>
        <v>0.63580513410932205</v>
      </c>
      <c r="Y12" s="20">
        <v>46150</v>
      </c>
      <c r="Z12" s="10">
        <v>196774307</v>
      </c>
    </row>
    <row r="13" spans="1:26" x14ac:dyDescent="0.3">
      <c r="A13" s="8" t="s">
        <v>58</v>
      </c>
      <c r="B13" s="9" t="s">
        <v>362</v>
      </c>
      <c r="C13" s="9" t="s">
        <v>16</v>
      </c>
      <c r="D13" s="9" t="s">
        <v>36</v>
      </c>
      <c r="E13" s="9" t="s">
        <v>616</v>
      </c>
      <c r="F13" s="9" t="s">
        <v>617</v>
      </c>
      <c r="G13" s="9" t="s">
        <v>622</v>
      </c>
      <c r="H13" s="10">
        <v>34703000</v>
      </c>
      <c r="I13" s="10"/>
      <c r="J13" s="10">
        <v>50519000</v>
      </c>
      <c r="K13" s="10">
        <f t="shared" si="0"/>
        <v>62643560</v>
      </c>
      <c r="L13" s="17">
        <f t="shared" si="1"/>
        <v>0</v>
      </c>
      <c r="M13" s="17">
        <f t="shared" si="2"/>
        <v>0.80513385009941507</v>
      </c>
      <c r="P13" s="9" t="s">
        <v>44</v>
      </c>
      <c r="Q13" s="10">
        <f t="shared" si="4"/>
        <v>189281300</v>
      </c>
      <c r="R13" s="10">
        <f t="shared" si="4"/>
        <v>0</v>
      </c>
      <c r="S13" s="10">
        <f t="shared" si="4"/>
        <v>169533000</v>
      </c>
      <c r="T13" s="10">
        <f t="shared" si="4"/>
        <v>210220920</v>
      </c>
      <c r="U13" s="17">
        <f t="shared" si="5"/>
        <v>0</v>
      </c>
      <c r="V13" s="17">
        <f t="shared" si="6"/>
        <v>0.11062698745200926</v>
      </c>
      <c r="Y13" s="20">
        <v>46151</v>
      </c>
      <c r="Z13" s="10">
        <v>317039819</v>
      </c>
    </row>
    <row r="14" spans="1:26" x14ac:dyDescent="0.3">
      <c r="A14" s="8" t="s">
        <v>124</v>
      </c>
      <c r="B14" s="9" t="s">
        <v>422</v>
      </c>
      <c r="C14" s="9" t="s">
        <v>16</v>
      </c>
      <c r="D14" s="9" t="s">
        <v>38</v>
      </c>
      <c r="E14" s="9" t="s">
        <v>616</v>
      </c>
      <c r="F14" s="9" t="s">
        <v>617</v>
      </c>
      <c r="G14" s="9" t="s">
        <v>621</v>
      </c>
      <c r="H14" s="10">
        <v>50284000</v>
      </c>
      <c r="I14" s="10"/>
      <c r="J14" s="10">
        <v>51187000</v>
      </c>
      <c r="K14" s="10">
        <f t="shared" si="0"/>
        <v>63471880</v>
      </c>
      <c r="L14" s="17">
        <f t="shared" si="1"/>
        <v>0</v>
      </c>
      <c r="M14" s="17">
        <f t="shared" si="2"/>
        <v>0.26226791822448492</v>
      </c>
      <c r="P14" s="9" t="s">
        <v>42</v>
      </c>
      <c r="Q14" s="10">
        <f t="shared" si="4"/>
        <v>101626920</v>
      </c>
      <c r="R14" s="10">
        <f t="shared" si="4"/>
        <v>0</v>
      </c>
      <c r="S14" s="10">
        <f t="shared" si="4"/>
        <v>81407060</v>
      </c>
      <c r="T14" s="10">
        <f t="shared" si="4"/>
        <v>100944754.39999999</v>
      </c>
      <c r="U14" s="17">
        <f t="shared" si="5"/>
        <v>0</v>
      </c>
      <c r="V14" s="17">
        <f t="shared" si="6"/>
        <v>-6.7124498115264039E-3</v>
      </c>
      <c r="Y14" s="20">
        <v>46152</v>
      </c>
      <c r="Z14" s="10">
        <v>296965045</v>
      </c>
    </row>
    <row r="15" spans="1:26" x14ac:dyDescent="0.3">
      <c r="A15" s="8" t="s">
        <v>125</v>
      </c>
      <c r="B15" s="9" t="s">
        <v>423</v>
      </c>
      <c r="C15" s="9" t="s">
        <v>16</v>
      </c>
      <c r="D15" s="9" t="s">
        <v>36</v>
      </c>
      <c r="E15" s="9" t="s">
        <v>616</v>
      </c>
      <c r="F15" s="9" t="s">
        <v>617</v>
      </c>
      <c r="G15" s="9" t="s">
        <v>622</v>
      </c>
      <c r="H15" s="10">
        <v>7430000</v>
      </c>
      <c r="I15" s="10"/>
      <c r="J15" s="10">
        <v>11414000</v>
      </c>
      <c r="K15" s="10">
        <f t="shared" si="0"/>
        <v>14153360</v>
      </c>
      <c r="L15" s="17">
        <f t="shared" si="1"/>
        <v>0</v>
      </c>
      <c r="M15" s="17">
        <f t="shared" si="2"/>
        <v>0.90489367429340506</v>
      </c>
      <c r="P15" s="9" t="s">
        <v>36</v>
      </c>
      <c r="Q15" s="10">
        <f t="shared" si="4"/>
        <v>167635260</v>
      </c>
      <c r="R15" s="10">
        <f t="shared" si="4"/>
        <v>0</v>
      </c>
      <c r="S15" s="10">
        <f t="shared" si="4"/>
        <v>165770020</v>
      </c>
      <c r="T15" s="10">
        <f t="shared" si="4"/>
        <v>205554824.80000001</v>
      </c>
      <c r="U15" s="17">
        <f t="shared" si="5"/>
        <v>0</v>
      </c>
      <c r="V15" s="17">
        <f t="shared" si="6"/>
        <v>0.22620279766917778</v>
      </c>
      <c r="Y15" s="20">
        <v>46153</v>
      </c>
      <c r="Z15" s="10">
        <v>155878400</v>
      </c>
    </row>
    <row r="16" spans="1:26" x14ac:dyDescent="0.3">
      <c r="A16" s="8" t="s">
        <v>126</v>
      </c>
      <c r="B16" s="9" t="s">
        <v>424</v>
      </c>
      <c r="C16" s="9" t="s">
        <v>16</v>
      </c>
      <c r="D16" s="9" t="s">
        <v>36</v>
      </c>
      <c r="E16" s="9" t="s">
        <v>616</v>
      </c>
      <c r="F16" s="9" t="s">
        <v>617</v>
      </c>
      <c r="G16" s="9" t="s">
        <v>621</v>
      </c>
      <c r="H16" s="10">
        <v>85860000</v>
      </c>
      <c r="I16" s="10"/>
      <c r="J16" s="10">
        <v>88148000</v>
      </c>
      <c r="K16" s="10">
        <f t="shared" si="0"/>
        <v>109303520</v>
      </c>
      <c r="L16" s="17">
        <f t="shared" si="1"/>
        <v>0</v>
      </c>
      <c r="M16" s="17">
        <f t="shared" si="2"/>
        <v>0.27304355928255297</v>
      </c>
      <c r="P16" s="9" t="s">
        <v>32</v>
      </c>
      <c r="Q16" s="10">
        <f t="shared" si="4"/>
        <v>365632460</v>
      </c>
      <c r="R16" s="10">
        <f t="shared" si="4"/>
        <v>0</v>
      </c>
      <c r="S16" s="10">
        <f t="shared" si="4"/>
        <v>304481400</v>
      </c>
      <c r="T16" s="10">
        <f t="shared" si="4"/>
        <v>377556936</v>
      </c>
      <c r="U16" s="17">
        <f t="shared" si="5"/>
        <v>0</v>
      </c>
      <c r="V16" s="17">
        <f t="shared" si="6"/>
        <v>3.2613286030458016E-2</v>
      </c>
      <c r="Y16" s="20">
        <v>46154</v>
      </c>
      <c r="Z16" s="10">
        <v>170317137</v>
      </c>
    </row>
    <row r="17" spans="1:26" x14ac:dyDescent="0.3">
      <c r="A17" s="8" t="s">
        <v>127</v>
      </c>
      <c r="B17" s="9" t="s">
        <v>425</v>
      </c>
      <c r="C17" s="9" t="s">
        <v>14</v>
      </c>
      <c r="D17" s="9" t="s">
        <v>28</v>
      </c>
      <c r="E17" s="9" t="s">
        <v>616</v>
      </c>
      <c r="F17" s="9" t="s">
        <v>617</v>
      </c>
      <c r="G17" s="9" t="s">
        <v>620</v>
      </c>
      <c r="H17" s="10">
        <v>0</v>
      </c>
      <c r="I17" s="10"/>
      <c r="J17" s="10">
        <v>3401000</v>
      </c>
      <c r="K17" s="10">
        <f t="shared" si="0"/>
        <v>4217240</v>
      </c>
      <c r="L17" s="17">
        <f t="shared" si="1"/>
        <v>0</v>
      </c>
      <c r="M17" s="17">
        <f t="shared" si="2"/>
        <v>0</v>
      </c>
      <c r="P17" s="9" t="s">
        <v>26</v>
      </c>
      <c r="Q17" s="10">
        <f t="shared" si="4"/>
        <v>93807000</v>
      </c>
      <c r="R17" s="10">
        <f t="shared" si="4"/>
        <v>0</v>
      </c>
      <c r="S17" s="10">
        <f t="shared" si="4"/>
        <v>86897000</v>
      </c>
      <c r="T17" s="10">
        <f t="shared" si="4"/>
        <v>107752280</v>
      </c>
      <c r="U17" s="17">
        <f t="shared" si="5"/>
        <v>0</v>
      </c>
      <c r="V17" s="17">
        <f t="shared" si="6"/>
        <v>0.1486592684980865</v>
      </c>
      <c r="Y17" s="20">
        <v>46155</v>
      </c>
      <c r="Z17" s="10">
        <v>150152293</v>
      </c>
    </row>
    <row r="18" spans="1:26" x14ac:dyDescent="0.3">
      <c r="A18" s="8" t="s">
        <v>59</v>
      </c>
      <c r="B18" s="9" t="s">
        <v>363</v>
      </c>
      <c r="C18" s="9" t="s">
        <v>14</v>
      </c>
      <c r="D18" s="9" t="s">
        <v>30</v>
      </c>
      <c r="E18" s="9" t="s">
        <v>616</v>
      </c>
      <c r="F18" s="9" t="s">
        <v>617</v>
      </c>
      <c r="G18" s="9" t="s">
        <v>620</v>
      </c>
      <c r="H18" s="10">
        <v>111086000</v>
      </c>
      <c r="I18" s="10"/>
      <c r="J18" s="10">
        <v>102768000</v>
      </c>
      <c r="K18" s="10">
        <f t="shared" si="0"/>
        <v>127432320</v>
      </c>
      <c r="L18" s="17">
        <f t="shared" si="1"/>
        <v>0</v>
      </c>
      <c r="M18" s="17">
        <f t="shared" si="2"/>
        <v>0.14715013593072035</v>
      </c>
      <c r="P18" s="9" t="s">
        <v>30</v>
      </c>
      <c r="Q18" s="10">
        <f t="shared" si="4"/>
        <v>185685000</v>
      </c>
      <c r="R18" s="10">
        <f t="shared" si="4"/>
        <v>0</v>
      </c>
      <c r="S18" s="10">
        <f t="shared" si="4"/>
        <v>174531000</v>
      </c>
      <c r="T18" s="10">
        <f t="shared" si="4"/>
        <v>216418440</v>
      </c>
      <c r="U18" s="17">
        <f t="shared" si="5"/>
        <v>0</v>
      </c>
      <c r="V18" s="17">
        <f t="shared" si="6"/>
        <v>0.16551385410776315</v>
      </c>
      <c r="Y18" s="20">
        <v>46156</v>
      </c>
      <c r="Z18" s="10">
        <v>353947683</v>
      </c>
    </row>
    <row r="19" spans="1:26" x14ac:dyDescent="0.3">
      <c r="A19" s="8" t="s">
        <v>128</v>
      </c>
      <c r="B19" s="9" t="s">
        <v>426</v>
      </c>
      <c r="C19" s="9" t="s">
        <v>16</v>
      </c>
      <c r="D19" s="9" t="s">
        <v>42</v>
      </c>
      <c r="E19" s="9" t="s">
        <v>616</v>
      </c>
      <c r="F19" s="9" t="s">
        <v>617</v>
      </c>
      <c r="G19" s="9" t="s">
        <v>618</v>
      </c>
      <c r="H19" s="10">
        <v>94951340</v>
      </c>
      <c r="I19" s="10"/>
      <c r="J19" s="10">
        <v>69092000</v>
      </c>
      <c r="K19" s="10">
        <f t="shared" si="0"/>
        <v>85674080</v>
      </c>
      <c r="L19" s="17">
        <f t="shared" si="1"/>
        <v>0</v>
      </c>
      <c r="M19" s="17">
        <f t="shared" si="2"/>
        <v>-9.7705414162664789E-2</v>
      </c>
      <c r="P19" s="9" t="s">
        <v>28</v>
      </c>
      <c r="Q19" s="10">
        <f t="shared" si="4"/>
        <v>87601930</v>
      </c>
      <c r="R19" s="10">
        <f t="shared" si="4"/>
        <v>0</v>
      </c>
      <c r="S19" s="10">
        <f t="shared" si="4"/>
        <v>72305040</v>
      </c>
      <c r="T19" s="10">
        <f t="shared" si="4"/>
        <v>89658249.599999994</v>
      </c>
      <c r="U19" s="17">
        <f t="shared" si="5"/>
        <v>0</v>
      </c>
      <c r="V19" s="17">
        <f t="shared" si="6"/>
        <v>2.3473450870317516E-2</v>
      </c>
      <c r="Y19" s="20">
        <v>46157</v>
      </c>
      <c r="Z19" s="10">
        <v>258230704</v>
      </c>
    </row>
    <row r="20" spans="1:26" x14ac:dyDescent="0.3">
      <c r="A20" s="8" t="s">
        <v>54</v>
      </c>
      <c r="B20" s="9" t="s">
        <v>358</v>
      </c>
      <c r="C20" s="9" t="s">
        <v>14</v>
      </c>
      <c r="D20" s="9" t="s">
        <v>30</v>
      </c>
      <c r="E20" s="9" t="s">
        <v>616</v>
      </c>
      <c r="F20" s="9" t="s">
        <v>617</v>
      </c>
      <c r="G20" s="9" t="s">
        <v>620</v>
      </c>
      <c r="H20" s="10">
        <v>14763000</v>
      </c>
      <c r="I20" s="10"/>
      <c r="J20" s="10">
        <v>8894000</v>
      </c>
      <c r="K20" s="10">
        <f t="shared" si="0"/>
        <v>11028560</v>
      </c>
      <c r="L20" s="17">
        <f t="shared" si="1"/>
        <v>0</v>
      </c>
      <c r="M20" s="17">
        <f t="shared" si="2"/>
        <v>-0.25295942559100454</v>
      </c>
      <c r="P20" s="9" t="s">
        <v>40</v>
      </c>
      <c r="Q20" s="10">
        <f t="shared" si="4"/>
        <v>97812740</v>
      </c>
      <c r="R20" s="10">
        <f t="shared" si="4"/>
        <v>0</v>
      </c>
      <c r="S20" s="10">
        <f t="shared" si="4"/>
        <v>179822000</v>
      </c>
      <c r="T20" s="10">
        <f t="shared" si="4"/>
        <v>222979280</v>
      </c>
      <c r="U20" s="17">
        <f t="shared" si="5"/>
        <v>0</v>
      </c>
      <c r="V20" s="17">
        <f t="shared" si="6"/>
        <v>1.2796547770770965</v>
      </c>
      <c r="Y20" s="20">
        <v>46158</v>
      </c>
      <c r="Z20" s="10">
        <v>257717135</v>
      </c>
    </row>
    <row r="21" spans="1:26" x14ac:dyDescent="0.3">
      <c r="A21" s="8" t="s">
        <v>52</v>
      </c>
      <c r="B21" s="9" t="s">
        <v>356</v>
      </c>
      <c r="C21" s="9" t="s">
        <v>16</v>
      </c>
      <c r="D21" s="9" t="s">
        <v>40</v>
      </c>
      <c r="E21" s="9" t="s">
        <v>616</v>
      </c>
      <c r="F21" s="9" t="s">
        <v>617</v>
      </c>
      <c r="G21" s="9" t="s">
        <v>623</v>
      </c>
      <c r="H21" s="10">
        <v>17619000</v>
      </c>
      <c r="I21" s="10"/>
      <c r="J21" s="10">
        <v>24121000</v>
      </c>
      <c r="K21" s="10">
        <f t="shared" si="0"/>
        <v>29910040</v>
      </c>
      <c r="L21" s="17">
        <f t="shared" si="1"/>
        <v>0</v>
      </c>
      <c r="M21" s="17">
        <f t="shared" si="2"/>
        <v>0.69760145297689991</v>
      </c>
      <c r="P21" s="9" t="s">
        <v>34</v>
      </c>
      <c r="Q21" s="10">
        <f t="shared" si="4"/>
        <v>45049020</v>
      </c>
      <c r="R21" s="10">
        <f t="shared" si="4"/>
        <v>0</v>
      </c>
      <c r="S21" s="10">
        <f t="shared" si="4"/>
        <v>65195100</v>
      </c>
      <c r="T21" s="10">
        <f t="shared" si="4"/>
        <v>80841924</v>
      </c>
      <c r="U21" s="17">
        <f t="shared" si="5"/>
        <v>0</v>
      </c>
      <c r="V21" s="17">
        <f t="shared" si="6"/>
        <v>0.79453235608676953</v>
      </c>
      <c r="Y21" s="20">
        <v>46159</v>
      </c>
      <c r="Z21" s="10">
        <v>317421324</v>
      </c>
    </row>
    <row r="22" spans="1:26" x14ac:dyDescent="0.3">
      <c r="A22" s="8" t="s">
        <v>27</v>
      </c>
      <c r="B22" s="9" t="s">
        <v>340</v>
      </c>
      <c r="C22" s="9" t="s">
        <v>14</v>
      </c>
      <c r="D22" s="9" t="s">
        <v>24</v>
      </c>
      <c r="E22" s="9" t="s">
        <v>616</v>
      </c>
      <c r="F22" s="9" t="s">
        <v>617</v>
      </c>
      <c r="G22" s="9" t="s">
        <v>619</v>
      </c>
      <c r="H22" s="10">
        <v>12728000</v>
      </c>
      <c r="I22" s="10"/>
      <c r="J22" s="10">
        <v>12627000</v>
      </c>
      <c r="K22" s="10">
        <f t="shared" si="0"/>
        <v>15657480</v>
      </c>
      <c r="L22" s="17">
        <f t="shared" si="1"/>
        <v>0</v>
      </c>
      <c r="M22" s="17">
        <f t="shared" si="2"/>
        <v>0.2301602765556254</v>
      </c>
      <c r="P22" s="9" t="s">
        <v>24</v>
      </c>
      <c r="Q22" s="10">
        <f t="shared" si="4"/>
        <v>273310520</v>
      </c>
      <c r="R22" s="10">
        <f t="shared" si="4"/>
        <v>0</v>
      </c>
      <c r="S22" s="10">
        <f t="shared" si="4"/>
        <v>260116050</v>
      </c>
      <c r="T22" s="10">
        <f t="shared" si="4"/>
        <v>322543902</v>
      </c>
      <c r="U22" s="17">
        <f t="shared" si="5"/>
        <v>0</v>
      </c>
      <c r="V22" s="17">
        <f t="shared" si="6"/>
        <v>0.18013716413111358</v>
      </c>
      <c r="Y22" s="20">
        <v>46160</v>
      </c>
      <c r="Z22" s="10">
        <v>119044612</v>
      </c>
    </row>
    <row r="23" spans="1:26" x14ac:dyDescent="0.3">
      <c r="A23" s="8" t="s">
        <v>49</v>
      </c>
      <c r="B23" s="9" t="s">
        <v>353</v>
      </c>
      <c r="C23" s="9" t="s">
        <v>16</v>
      </c>
      <c r="D23" s="9" t="s">
        <v>44</v>
      </c>
      <c r="E23" s="9" t="s">
        <v>616</v>
      </c>
      <c r="F23" s="9" t="s">
        <v>617</v>
      </c>
      <c r="G23" s="9" t="s">
        <v>622</v>
      </c>
      <c r="H23" s="10">
        <v>5657000</v>
      </c>
      <c r="I23" s="10"/>
      <c r="J23" s="10">
        <v>1607000</v>
      </c>
      <c r="K23" s="10">
        <f t="shared" si="0"/>
        <v>1992680</v>
      </c>
      <c r="L23" s="17">
        <f t="shared" si="1"/>
        <v>0</v>
      </c>
      <c r="M23" s="17">
        <f t="shared" si="2"/>
        <v>-0.64774969064875376</v>
      </c>
      <c r="P23" s="9" t="s">
        <v>38</v>
      </c>
      <c r="Q23" s="10">
        <f t="shared" si="4"/>
        <v>246858070</v>
      </c>
      <c r="R23" s="10">
        <f t="shared" si="4"/>
        <v>0</v>
      </c>
      <c r="S23" s="10">
        <f t="shared" si="4"/>
        <v>222554020</v>
      </c>
      <c r="T23" s="10">
        <f t="shared" si="4"/>
        <v>275966984.80000001</v>
      </c>
      <c r="U23" s="17">
        <f t="shared" si="5"/>
        <v>0</v>
      </c>
      <c r="V23" s="17">
        <f t="shared" si="6"/>
        <v>0.11791761476543997</v>
      </c>
      <c r="Y23" s="20">
        <v>46161</v>
      </c>
      <c r="Z23" s="10">
        <v>84162196</v>
      </c>
    </row>
    <row r="24" spans="1:26" x14ac:dyDescent="0.3">
      <c r="A24" s="8" t="s">
        <v>15</v>
      </c>
      <c r="B24" s="9" t="s">
        <v>333</v>
      </c>
      <c r="C24" s="9" t="s">
        <v>14</v>
      </c>
      <c r="D24" s="9" t="s">
        <v>24</v>
      </c>
      <c r="E24" s="9" t="s">
        <v>616</v>
      </c>
      <c r="F24" s="9" t="s">
        <v>617</v>
      </c>
      <c r="G24" s="9" t="s">
        <v>619</v>
      </c>
      <c r="H24" s="10">
        <v>51036000</v>
      </c>
      <c r="I24" s="10"/>
      <c r="J24" s="10">
        <v>45241010</v>
      </c>
      <c r="K24" s="10">
        <f t="shared" si="0"/>
        <v>56098852.399999999</v>
      </c>
      <c r="L24" s="17">
        <f t="shared" si="1"/>
        <v>0</v>
      </c>
      <c r="M24" s="17">
        <f t="shared" si="2"/>
        <v>9.9201591033780054E-2</v>
      </c>
      <c r="P24" s="9" t="s">
        <v>129</v>
      </c>
      <c r="Q24" s="10">
        <f t="shared" si="4"/>
        <v>13711480</v>
      </c>
      <c r="R24" s="10">
        <f t="shared" si="4"/>
        <v>0</v>
      </c>
      <c r="S24" s="10">
        <f t="shared" si="4"/>
        <v>14697870</v>
      </c>
      <c r="T24" s="10">
        <f t="shared" si="4"/>
        <v>18225358.799999997</v>
      </c>
      <c r="U24" s="17">
        <f t="shared" si="5"/>
        <v>0</v>
      </c>
      <c r="V24" s="17">
        <f t="shared" si="6"/>
        <v>0.32920434555569472</v>
      </c>
      <c r="Y24" s="20">
        <v>46162</v>
      </c>
      <c r="Z24" s="10">
        <v>120091908</v>
      </c>
    </row>
    <row r="25" spans="1:26" x14ac:dyDescent="0.3">
      <c r="A25" s="8" t="s">
        <v>17</v>
      </c>
      <c r="B25" s="9" t="s">
        <v>334</v>
      </c>
      <c r="C25" s="9" t="s">
        <v>14</v>
      </c>
      <c r="D25" s="9" t="s">
        <v>24</v>
      </c>
      <c r="E25" s="9" t="s">
        <v>616</v>
      </c>
      <c r="F25" s="9" t="s">
        <v>617</v>
      </c>
      <c r="G25" s="9" t="s">
        <v>619</v>
      </c>
      <c r="H25" s="10">
        <v>14076000</v>
      </c>
      <c r="I25" s="10"/>
      <c r="J25" s="10">
        <v>9926010</v>
      </c>
      <c r="K25" s="10">
        <f t="shared" si="0"/>
        <v>12308252.4</v>
      </c>
      <c r="L25" s="17">
        <f t="shared" si="1"/>
        <v>0</v>
      </c>
      <c r="M25" s="17">
        <f t="shared" si="2"/>
        <v>-0.12558593350383629</v>
      </c>
      <c r="P25" s="9" t="s">
        <v>130</v>
      </c>
      <c r="Q25" s="10">
        <f t="shared" si="4"/>
        <v>302100000</v>
      </c>
      <c r="R25" s="10">
        <f t="shared" si="4"/>
        <v>0</v>
      </c>
      <c r="S25" s="10">
        <f t="shared" si="4"/>
        <v>299534000</v>
      </c>
      <c r="T25" s="10">
        <f t="shared" si="4"/>
        <v>371422160</v>
      </c>
      <c r="U25" s="17">
        <f t="shared" si="5"/>
        <v>0</v>
      </c>
      <c r="V25" s="17">
        <f t="shared" si="6"/>
        <v>0.2294675935120821</v>
      </c>
      <c r="Y25" s="20">
        <v>46163</v>
      </c>
      <c r="Z25" s="10">
        <v>134041007</v>
      </c>
    </row>
    <row r="26" spans="1:26" x14ac:dyDescent="0.3">
      <c r="A26" s="8" t="s">
        <v>131</v>
      </c>
      <c r="B26" s="9" t="s">
        <v>427</v>
      </c>
      <c r="C26" s="9" t="s">
        <v>16</v>
      </c>
      <c r="D26" s="9" t="s">
        <v>36</v>
      </c>
      <c r="E26" s="9" t="s">
        <v>616</v>
      </c>
      <c r="F26" s="9" t="s">
        <v>617</v>
      </c>
      <c r="G26" s="9" t="s">
        <v>622</v>
      </c>
      <c r="H26" s="10">
        <v>11807000</v>
      </c>
      <c r="I26" s="10"/>
      <c r="J26" s="10">
        <v>6358000</v>
      </c>
      <c r="K26" s="10">
        <f t="shared" si="0"/>
        <v>7883920</v>
      </c>
      <c r="L26" s="17">
        <f t="shared" si="1"/>
        <v>0</v>
      </c>
      <c r="M26" s="17">
        <f t="shared" si="2"/>
        <v>-0.33226729905987973</v>
      </c>
      <c r="P26" s="9" t="s">
        <v>132</v>
      </c>
      <c r="Q26" s="10">
        <f t="shared" si="4"/>
        <v>277999000</v>
      </c>
      <c r="R26" s="10">
        <f t="shared" si="4"/>
        <v>0</v>
      </c>
      <c r="S26" s="10">
        <f t="shared" si="4"/>
        <v>293128000</v>
      </c>
      <c r="T26" s="10">
        <f t="shared" si="4"/>
        <v>363478720</v>
      </c>
      <c r="U26" s="17">
        <f t="shared" si="5"/>
        <v>0</v>
      </c>
      <c r="V26" s="17">
        <f t="shared" si="6"/>
        <v>0.30748211324501168</v>
      </c>
      <c r="Y26" s="20">
        <v>46164</v>
      </c>
      <c r="Z26" s="10">
        <v>172211157</v>
      </c>
    </row>
    <row r="27" spans="1:26" x14ac:dyDescent="0.3">
      <c r="A27" s="8" t="s">
        <v>47</v>
      </c>
      <c r="B27" s="9" t="s">
        <v>351</v>
      </c>
      <c r="C27" s="9" t="s">
        <v>16</v>
      </c>
      <c r="D27" s="9" t="s">
        <v>40</v>
      </c>
      <c r="E27" s="9" t="s">
        <v>616</v>
      </c>
      <c r="F27" s="9" t="s">
        <v>617</v>
      </c>
      <c r="G27" s="9" t="s">
        <v>623</v>
      </c>
      <c r="H27" s="10">
        <v>7480000</v>
      </c>
      <c r="I27" s="10"/>
      <c r="J27" s="10">
        <v>8374000</v>
      </c>
      <c r="K27" s="10">
        <f t="shared" si="0"/>
        <v>10383760</v>
      </c>
      <c r="L27" s="17">
        <f t="shared" si="1"/>
        <v>0</v>
      </c>
      <c r="M27" s="17">
        <f t="shared" si="2"/>
        <v>0.38820320855614976</v>
      </c>
      <c r="P27" s="9" t="s">
        <v>133</v>
      </c>
      <c r="Q27" s="10">
        <f t="shared" si="4"/>
        <v>279228000</v>
      </c>
      <c r="R27" s="10">
        <f t="shared" si="4"/>
        <v>0</v>
      </c>
      <c r="S27" s="10">
        <f t="shared" si="4"/>
        <v>228644000</v>
      </c>
      <c r="T27" s="10">
        <f t="shared" si="4"/>
        <v>283518560</v>
      </c>
      <c r="U27" s="17">
        <f t="shared" si="5"/>
        <v>0</v>
      </c>
      <c r="V27" s="17">
        <f t="shared" si="6"/>
        <v>1.5365794261320499E-2</v>
      </c>
      <c r="Y27" s="20">
        <v>46165</v>
      </c>
      <c r="Z27" s="10">
        <v>253309910</v>
      </c>
    </row>
    <row r="28" spans="1:26" x14ac:dyDescent="0.3">
      <c r="A28" s="8" t="s">
        <v>35</v>
      </c>
      <c r="B28" s="9" t="s">
        <v>344</v>
      </c>
      <c r="C28" s="9" t="s">
        <v>16</v>
      </c>
      <c r="D28" s="9" t="s">
        <v>34</v>
      </c>
      <c r="E28" s="9" t="s">
        <v>616</v>
      </c>
      <c r="F28" s="9" t="s">
        <v>617</v>
      </c>
      <c r="G28" s="9" t="s">
        <v>621</v>
      </c>
      <c r="H28" s="10">
        <v>1557000</v>
      </c>
      <c r="I28" s="10"/>
      <c r="J28" s="10">
        <v>6532000</v>
      </c>
      <c r="K28" s="10">
        <f t="shared" si="0"/>
        <v>8099680</v>
      </c>
      <c r="L28" s="17">
        <f t="shared" si="1"/>
        <v>0</v>
      </c>
      <c r="M28" s="17">
        <f t="shared" si="2"/>
        <v>4.202106615285806</v>
      </c>
      <c r="P28" s="9" t="s">
        <v>134</v>
      </c>
      <c r="Q28" s="10">
        <f t="shared" si="4"/>
        <v>228234060</v>
      </c>
      <c r="R28" s="10">
        <f t="shared" si="4"/>
        <v>0</v>
      </c>
      <c r="S28" s="10">
        <f t="shared" si="4"/>
        <v>245949000</v>
      </c>
      <c r="T28" s="10">
        <f t="shared" si="4"/>
        <v>304976760</v>
      </c>
      <c r="U28" s="17">
        <f t="shared" si="5"/>
        <v>0</v>
      </c>
      <c r="V28" s="17">
        <f t="shared" si="6"/>
        <v>0.33624560681258531</v>
      </c>
      <c r="Y28" s="20">
        <v>46166</v>
      </c>
      <c r="Z28" s="10">
        <v>243319826</v>
      </c>
    </row>
    <row r="29" spans="1:26" x14ac:dyDescent="0.3">
      <c r="A29" s="8" t="s">
        <v>43</v>
      </c>
      <c r="B29" s="9" t="s">
        <v>348</v>
      </c>
      <c r="C29" s="9" t="s">
        <v>16</v>
      </c>
      <c r="D29" s="9" t="s">
        <v>40</v>
      </c>
      <c r="E29" s="9" t="s">
        <v>616</v>
      </c>
      <c r="F29" s="9" t="s">
        <v>617</v>
      </c>
      <c r="G29" s="9" t="s">
        <v>623</v>
      </c>
      <c r="H29" s="10">
        <v>19054000</v>
      </c>
      <c r="I29" s="10"/>
      <c r="J29" s="10">
        <v>22921000</v>
      </c>
      <c r="K29" s="10">
        <f t="shared" si="0"/>
        <v>28422040</v>
      </c>
      <c r="L29" s="17">
        <f t="shared" si="1"/>
        <v>0</v>
      </c>
      <c r="M29" s="17">
        <f t="shared" si="2"/>
        <v>0.49165739477275111</v>
      </c>
      <c r="P29" s="9" t="s">
        <v>135</v>
      </c>
      <c r="Q29" s="10">
        <f t="shared" si="4"/>
        <v>217376000</v>
      </c>
      <c r="R29" s="10">
        <f t="shared" si="4"/>
        <v>0</v>
      </c>
      <c r="S29" s="10">
        <f t="shared" si="4"/>
        <v>198970000</v>
      </c>
      <c r="T29" s="10">
        <f t="shared" si="4"/>
        <v>246722800</v>
      </c>
      <c r="U29" s="17">
        <f t="shared" si="5"/>
        <v>0</v>
      </c>
      <c r="V29" s="17">
        <f t="shared" si="6"/>
        <v>0.13500478433681731</v>
      </c>
      <c r="Y29" s="20">
        <v>46167</v>
      </c>
      <c r="Z29" s="10">
        <v>113351362</v>
      </c>
    </row>
    <row r="30" spans="1:26" x14ac:dyDescent="0.3">
      <c r="A30" s="8" t="s">
        <v>136</v>
      </c>
      <c r="B30" s="9" t="s">
        <v>428</v>
      </c>
      <c r="C30" s="9" t="s">
        <v>14</v>
      </c>
      <c r="D30" s="9" t="s">
        <v>26</v>
      </c>
      <c r="E30" s="9" t="s">
        <v>616</v>
      </c>
      <c r="F30" s="9" t="s">
        <v>617</v>
      </c>
      <c r="G30" s="9" t="s">
        <v>619</v>
      </c>
      <c r="H30" s="10">
        <v>32233000</v>
      </c>
      <c r="I30" s="10"/>
      <c r="J30" s="10">
        <v>23495000</v>
      </c>
      <c r="K30" s="10">
        <f t="shared" si="0"/>
        <v>29133800</v>
      </c>
      <c r="L30" s="17">
        <f t="shared" si="1"/>
        <v>0</v>
      </c>
      <c r="M30" s="17">
        <f t="shared" si="2"/>
        <v>-9.6149908478888102E-2</v>
      </c>
      <c r="P30" s="9" t="s">
        <v>137</v>
      </c>
      <c r="Q30" s="10">
        <f t="shared" si="4"/>
        <v>153737000</v>
      </c>
      <c r="R30" s="10">
        <f t="shared" si="4"/>
        <v>0</v>
      </c>
      <c r="S30" s="10">
        <f t="shared" si="4"/>
        <v>155591000</v>
      </c>
      <c r="T30" s="10">
        <f t="shared" si="4"/>
        <v>192932840</v>
      </c>
      <c r="U30" s="17">
        <f t="shared" si="5"/>
        <v>0</v>
      </c>
      <c r="V30" s="17">
        <f t="shared" si="6"/>
        <v>0.25495384975640217</v>
      </c>
      <c r="Y30" s="20">
        <v>46168</v>
      </c>
      <c r="Z30" s="10" t="s">
        <v>331</v>
      </c>
    </row>
    <row r="31" spans="1:26" x14ac:dyDescent="0.3">
      <c r="A31" s="8" t="s">
        <v>138</v>
      </c>
      <c r="B31" s="9" t="s">
        <v>429</v>
      </c>
      <c r="C31" s="9" t="s">
        <v>14</v>
      </c>
      <c r="D31" s="9" t="s">
        <v>28</v>
      </c>
      <c r="E31" s="9" t="s">
        <v>616</v>
      </c>
      <c r="F31" s="9" t="s">
        <v>617</v>
      </c>
      <c r="G31" s="9" t="s">
        <v>620</v>
      </c>
      <c r="H31" s="10">
        <v>6957000</v>
      </c>
      <c r="I31" s="10"/>
      <c r="J31" s="10">
        <v>1800000</v>
      </c>
      <c r="K31" s="10">
        <f t="shared" si="0"/>
        <v>2232000</v>
      </c>
      <c r="L31" s="17">
        <f t="shared" si="1"/>
        <v>0</v>
      </c>
      <c r="M31" s="17">
        <f t="shared" si="2"/>
        <v>-0.67917205692108662</v>
      </c>
      <c r="P31" s="9" t="s">
        <v>139</v>
      </c>
      <c r="Q31" s="10">
        <f t="shared" si="4"/>
        <v>507034020</v>
      </c>
      <c r="R31" s="10">
        <f t="shared" si="4"/>
        <v>0</v>
      </c>
      <c r="S31" s="10">
        <f t="shared" si="4"/>
        <v>409350480</v>
      </c>
      <c r="T31" s="10">
        <f t="shared" si="4"/>
        <v>507594595.19999999</v>
      </c>
      <c r="U31" s="17">
        <f t="shared" si="5"/>
        <v>0</v>
      </c>
      <c r="V31" s="17">
        <f t="shared" si="6"/>
        <v>1.105596819716334E-3</v>
      </c>
      <c r="Y31" s="20">
        <v>46169</v>
      </c>
      <c r="Z31" s="10" t="s">
        <v>331</v>
      </c>
    </row>
    <row r="32" spans="1:26" x14ac:dyDescent="0.3">
      <c r="A32" s="8" t="s">
        <v>45</v>
      </c>
      <c r="B32" s="9" t="s">
        <v>349</v>
      </c>
      <c r="C32" s="9" t="s">
        <v>16</v>
      </c>
      <c r="D32" s="9" t="s">
        <v>34</v>
      </c>
      <c r="E32" s="9" t="s">
        <v>616</v>
      </c>
      <c r="F32" s="9" t="s">
        <v>617</v>
      </c>
      <c r="G32" s="9" t="s">
        <v>621</v>
      </c>
      <c r="H32" s="10">
        <v>10841010</v>
      </c>
      <c r="I32" s="10"/>
      <c r="J32" s="10">
        <v>24207000</v>
      </c>
      <c r="K32" s="10">
        <f t="shared" si="0"/>
        <v>30016680</v>
      </c>
      <c r="L32" s="17">
        <f t="shared" si="1"/>
        <v>0</v>
      </c>
      <c r="M32" s="17">
        <f t="shared" si="2"/>
        <v>1.7688084412799177</v>
      </c>
      <c r="P32" s="4" t="s">
        <v>62</v>
      </c>
      <c r="Q32" s="12">
        <f>SUM(Q12:Q31)</f>
        <v>3887883800</v>
      </c>
      <c r="R32" s="12">
        <f>SUM(R12:R31)</f>
        <v>0</v>
      </c>
      <c r="S32" s="12">
        <f>SUM(S12:S31)</f>
        <v>3699929090</v>
      </c>
      <c r="T32" s="12">
        <f>SUM(T12:T31)</f>
        <v>4587912071.6000004</v>
      </c>
      <c r="U32" s="13">
        <f t="shared" si="5"/>
        <v>0</v>
      </c>
      <c r="V32" s="18">
        <f t="shared" si="6"/>
        <v>0.18005380500312287</v>
      </c>
      <c r="Y32" s="20">
        <v>46170</v>
      </c>
      <c r="Z32" s="10" t="s">
        <v>331</v>
      </c>
    </row>
    <row r="33" spans="1:26" x14ac:dyDescent="0.3">
      <c r="A33" s="8" t="s">
        <v>46</v>
      </c>
      <c r="B33" s="9" t="s">
        <v>350</v>
      </c>
      <c r="C33" s="9" t="s">
        <v>16</v>
      </c>
      <c r="D33" s="9" t="s">
        <v>22</v>
      </c>
      <c r="E33" s="9" t="s">
        <v>616</v>
      </c>
      <c r="F33" s="9" t="s">
        <v>617</v>
      </c>
      <c r="G33" s="9" t="s">
        <v>618</v>
      </c>
      <c r="H33" s="10">
        <v>8007020</v>
      </c>
      <c r="I33" s="10"/>
      <c r="J33" s="10">
        <v>11512010</v>
      </c>
      <c r="K33" s="10">
        <f t="shared" si="0"/>
        <v>14274892.4</v>
      </c>
      <c r="L33" s="17">
        <f t="shared" si="1"/>
        <v>0</v>
      </c>
      <c r="M33" s="17">
        <f t="shared" si="2"/>
        <v>0.7827971455048196</v>
      </c>
      <c r="Y33" s="20">
        <v>46171</v>
      </c>
      <c r="Z33" s="10" t="s">
        <v>331</v>
      </c>
    </row>
    <row r="34" spans="1:26" x14ac:dyDescent="0.3">
      <c r="A34" s="8" t="s">
        <v>140</v>
      </c>
      <c r="B34" s="9" t="s">
        <v>430</v>
      </c>
      <c r="C34" s="9" t="s">
        <v>14</v>
      </c>
      <c r="D34" s="9" t="s">
        <v>26</v>
      </c>
      <c r="E34" s="9" t="s">
        <v>616</v>
      </c>
      <c r="F34" s="9" t="s">
        <v>617</v>
      </c>
      <c r="G34" s="9" t="s">
        <v>619</v>
      </c>
      <c r="H34" s="10">
        <v>20878000</v>
      </c>
      <c r="I34" s="10"/>
      <c r="J34" s="10">
        <v>26508000</v>
      </c>
      <c r="K34" s="10">
        <f t="shared" si="0"/>
        <v>32869920</v>
      </c>
      <c r="L34" s="17">
        <f t="shared" si="1"/>
        <v>0</v>
      </c>
      <c r="M34" s="17">
        <f t="shared" si="2"/>
        <v>0.57438068780534535</v>
      </c>
      <c r="Y34" s="20">
        <v>46172</v>
      </c>
      <c r="Z34" s="10" t="s">
        <v>331</v>
      </c>
    </row>
    <row r="35" spans="1:26" x14ac:dyDescent="0.3">
      <c r="A35" s="8" t="s">
        <v>141</v>
      </c>
      <c r="B35" s="9" t="s">
        <v>431</v>
      </c>
      <c r="C35" s="9" t="s">
        <v>16</v>
      </c>
      <c r="D35" s="9" t="s">
        <v>36</v>
      </c>
      <c r="E35" s="9" t="s">
        <v>616</v>
      </c>
      <c r="F35" s="9" t="s">
        <v>624</v>
      </c>
      <c r="G35" s="9" t="s">
        <v>622</v>
      </c>
      <c r="H35" s="10">
        <v>3807240</v>
      </c>
      <c r="I35" s="10"/>
      <c r="J35" s="10">
        <v>0</v>
      </c>
      <c r="K35" s="10">
        <f t="shared" si="0"/>
        <v>0</v>
      </c>
      <c r="L35" s="17">
        <f t="shared" si="1"/>
        <v>0</v>
      </c>
      <c r="M35" s="17">
        <f t="shared" si="2"/>
        <v>-1</v>
      </c>
      <c r="Y35" s="20">
        <v>46173</v>
      </c>
      <c r="Z35" s="10" t="s">
        <v>331</v>
      </c>
    </row>
    <row r="36" spans="1:26" x14ac:dyDescent="0.3">
      <c r="A36" s="8" t="s">
        <v>102</v>
      </c>
      <c r="B36" s="9" t="s">
        <v>404</v>
      </c>
      <c r="C36" s="9" t="s">
        <v>16</v>
      </c>
      <c r="D36" s="9" t="s">
        <v>42</v>
      </c>
      <c r="E36" s="9" t="s">
        <v>616</v>
      </c>
      <c r="F36" s="9" t="s">
        <v>617</v>
      </c>
      <c r="G36" s="9" t="s">
        <v>618</v>
      </c>
      <c r="H36" s="10">
        <v>0</v>
      </c>
      <c r="I36" s="10"/>
      <c r="J36" s="10">
        <v>920</v>
      </c>
      <c r="K36" s="10">
        <f t="shared" si="0"/>
        <v>1140.8</v>
      </c>
      <c r="L36" s="17">
        <f t="shared" si="1"/>
        <v>0</v>
      </c>
      <c r="M36" s="17">
        <f t="shared" si="2"/>
        <v>0</v>
      </c>
      <c r="Y36" s="7" t="s">
        <v>62</v>
      </c>
      <c r="Z36" s="12">
        <f>SUM(Z5:Z35)</f>
        <v>5012859789</v>
      </c>
    </row>
    <row r="37" spans="1:26" x14ac:dyDescent="0.3">
      <c r="A37" s="8" t="s">
        <v>88</v>
      </c>
      <c r="B37" s="9" t="s">
        <v>390</v>
      </c>
      <c r="C37" s="9" t="s">
        <v>16</v>
      </c>
      <c r="D37" s="9" t="s">
        <v>34</v>
      </c>
      <c r="E37" s="9" t="s">
        <v>616</v>
      </c>
      <c r="F37" s="9" t="s">
        <v>617</v>
      </c>
      <c r="G37" s="9" t="s">
        <v>621</v>
      </c>
      <c r="H37" s="10">
        <v>550000</v>
      </c>
      <c r="I37" s="10"/>
      <c r="J37" s="10">
        <v>4357010</v>
      </c>
      <c r="K37" s="10">
        <f t="shared" si="0"/>
        <v>5402692.3999999994</v>
      </c>
      <c r="L37" s="17">
        <f t="shared" si="1"/>
        <v>0</v>
      </c>
      <c r="M37" s="17">
        <f t="shared" si="2"/>
        <v>8.8230770909090896</v>
      </c>
    </row>
    <row r="38" spans="1:26" x14ac:dyDescent="0.3">
      <c r="A38" s="8" t="s">
        <v>142</v>
      </c>
      <c r="B38" s="9" t="s">
        <v>432</v>
      </c>
      <c r="C38" s="9" t="s">
        <v>16</v>
      </c>
      <c r="D38" s="9" t="s">
        <v>38</v>
      </c>
      <c r="E38" s="9" t="s">
        <v>616</v>
      </c>
      <c r="F38" s="9" t="s">
        <v>624</v>
      </c>
      <c r="G38" s="9" t="s">
        <v>621</v>
      </c>
      <c r="H38" s="10">
        <v>600000</v>
      </c>
      <c r="I38" s="10"/>
      <c r="J38" s="10">
        <v>0</v>
      </c>
      <c r="K38" s="10">
        <f t="shared" si="0"/>
        <v>0</v>
      </c>
      <c r="L38" s="17">
        <f t="shared" si="1"/>
        <v>0</v>
      </c>
      <c r="M38" s="17">
        <f t="shared" si="2"/>
        <v>-1</v>
      </c>
    </row>
    <row r="39" spans="1:26" x14ac:dyDescent="0.3">
      <c r="A39" s="8" t="s">
        <v>57</v>
      </c>
      <c r="B39" s="9" t="s">
        <v>361</v>
      </c>
      <c r="C39" s="9" t="s">
        <v>14</v>
      </c>
      <c r="D39" s="9" t="s">
        <v>28</v>
      </c>
      <c r="E39" s="9" t="s">
        <v>616</v>
      </c>
      <c r="F39" s="9" t="s">
        <v>617</v>
      </c>
      <c r="G39" s="9" t="s">
        <v>620</v>
      </c>
      <c r="H39" s="10">
        <v>17660000</v>
      </c>
      <c r="I39" s="10"/>
      <c r="J39" s="10">
        <v>22508020</v>
      </c>
      <c r="K39" s="10">
        <f t="shared" si="0"/>
        <v>27909944.800000001</v>
      </c>
      <c r="L39" s="17">
        <f t="shared" si="1"/>
        <v>0</v>
      </c>
      <c r="M39" s="17">
        <f t="shared" si="2"/>
        <v>0.5804045753114383</v>
      </c>
    </row>
    <row r="40" spans="1:26" x14ac:dyDescent="0.3">
      <c r="A40" s="8" t="s">
        <v>143</v>
      </c>
      <c r="B40" s="9" t="s">
        <v>433</v>
      </c>
      <c r="C40" s="9" t="s">
        <v>16</v>
      </c>
      <c r="D40" s="9" t="s">
        <v>22</v>
      </c>
      <c r="E40" s="9" t="s">
        <v>616</v>
      </c>
      <c r="F40" s="9" t="s">
        <v>617</v>
      </c>
      <c r="G40" s="9" t="s">
        <v>618</v>
      </c>
      <c r="H40" s="10">
        <v>1700000</v>
      </c>
      <c r="I40" s="10"/>
      <c r="J40" s="10">
        <v>5450030</v>
      </c>
      <c r="K40" s="10">
        <f t="shared" si="0"/>
        <v>6758037.2000000002</v>
      </c>
      <c r="L40" s="17">
        <f t="shared" si="1"/>
        <v>0</v>
      </c>
      <c r="M40" s="17">
        <f t="shared" si="2"/>
        <v>2.9753160000000003</v>
      </c>
    </row>
    <row r="41" spans="1:26" x14ac:dyDescent="0.3">
      <c r="A41" s="8" t="s">
        <v>248</v>
      </c>
      <c r="B41" s="9" t="s">
        <v>537</v>
      </c>
      <c r="C41" s="9" t="s">
        <v>16</v>
      </c>
      <c r="D41" s="9" t="s">
        <v>42</v>
      </c>
      <c r="E41" s="9" t="s">
        <v>616</v>
      </c>
      <c r="F41" s="9" t="s">
        <v>624</v>
      </c>
      <c r="G41" s="9" t="s">
        <v>618</v>
      </c>
      <c r="H41" s="10">
        <v>0</v>
      </c>
      <c r="I41" s="10"/>
      <c r="J41" s="10">
        <v>0</v>
      </c>
      <c r="K41" s="10">
        <f t="shared" si="0"/>
        <v>0</v>
      </c>
      <c r="L41" s="17">
        <f t="shared" si="1"/>
        <v>0</v>
      </c>
      <c r="M41" s="17">
        <f t="shared" si="2"/>
        <v>0</v>
      </c>
    </row>
    <row r="42" spans="1:26" x14ac:dyDescent="0.3">
      <c r="A42" s="8" t="s">
        <v>77</v>
      </c>
      <c r="B42" s="9" t="s">
        <v>379</v>
      </c>
      <c r="C42" s="9" t="s">
        <v>16</v>
      </c>
      <c r="D42" s="9" t="s">
        <v>44</v>
      </c>
      <c r="E42" s="9" t="s">
        <v>616</v>
      </c>
      <c r="F42" s="9" t="s">
        <v>617</v>
      </c>
      <c r="G42" s="9" t="s">
        <v>622</v>
      </c>
      <c r="H42" s="10">
        <v>2598290</v>
      </c>
      <c r="I42" s="10"/>
      <c r="J42" s="10">
        <v>0</v>
      </c>
      <c r="K42" s="10">
        <f t="shared" si="0"/>
        <v>0</v>
      </c>
      <c r="L42" s="17">
        <f t="shared" si="1"/>
        <v>0</v>
      </c>
      <c r="M42" s="17">
        <f t="shared" si="2"/>
        <v>-1</v>
      </c>
    </row>
    <row r="43" spans="1:26" x14ac:dyDescent="0.3">
      <c r="A43" s="8" t="s">
        <v>144</v>
      </c>
      <c r="B43" s="9" t="s">
        <v>434</v>
      </c>
      <c r="C43" s="9" t="s">
        <v>16</v>
      </c>
      <c r="D43" s="9" t="s">
        <v>40</v>
      </c>
      <c r="E43" s="9" t="s">
        <v>616</v>
      </c>
      <c r="F43" s="9" t="s">
        <v>617</v>
      </c>
      <c r="G43" s="9" t="s">
        <v>623</v>
      </c>
      <c r="H43" s="10">
        <v>8286000</v>
      </c>
      <c r="I43" s="10"/>
      <c r="J43" s="10">
        <v>9990000</v>
      </c>
      <c r="K43" s="10">
        <f t="shared" si="0"/>
        <v>12387600</v>
      </c>
      <c r="L43" s="17">
        <f t="shared" si="1"/>
        <v>0</v>
      </c>
      <c r="M43" s="17">
        <f t="shared" si="2"/>
        <v>0.49500362056480812</v>
      </c>
    </row>
    <row r="44" spans="1:26" x14ac:dyDescent="0.3">
      <c r="A44" s="8" t="s">
        <v>145</v>
      </c>
      <c r="B44" s="9" t="s">
        <v>435</v>
      </c>
      <c r="C44" s="9" t="s">
        <v>14</v>
      </c>
      <c r="D44" s="9" t="s">
        <v>26</v>
      </c>
      <c r="E44" s="9" t="s">
        <v>616</v>
      </c>
      <c r="F44" s="9" t="s">
        <v>617</v>
      </c>
      <c r="G44" s="9" t="s">
        <v>619</v>
      </c>
      <c r="H44" s="10">
        <v>6119000</v>
      </c>
      <c r="I44" s="10"/>
      <c r="J44" s="10">
        <v>4912000</v>
      </c>
      <c r="K44" s="10">
        <f t="shared" si="0"/>
        <v>6090880</v>
      </c>
      <c r="L44" s="17">
        <f t="shared" si="1"/>
        <v>0</v>
      </c>
      <c r="M44" s="17">
        <f t="shared" si="2"/>
        <v>-4.5955221441411993E-3</v>
      </c>
    </row>
    <row r="45" spans="1:26" x14ac:dyDescent="0.3">
      <c r="A45" s="8" t="s">
        <v>146</v>
      </c>
      <c r="B45" s="9" t="s">
        <v>436</v>
      </c>
      <c r="C45" s="9" t="s">
        <v>16</v>
      </c>
      <c r="D45" s="9" t="s">
        <v>40</v>
      </c>
      <c r="E45" s="9" t="s">
        <v>616</v>
      </c>
      <c r="F45" s="9" t="s">
        <v>617</v>
      </c>
      <c r="G45" s="9" t="s">
        <v>623</v>
      </c>
      <c r="H45" s="10">
        <v>2946000</v>
      </c>
      <c r="I45" s="10"/>
      <c r="J45" s="10">
        <v>13991000</v>
      </c>
      <c r="K45" s="10">
        <f t="shared" si="0"/>
        <v>17348840</v>
      </c>
      <c r="L45" s="17">
        <f t="shared" si="1"/>
        <v>0</v>
      </c>
      <c r="M45" s="17">
        <f t="shared" si="2"/>
        <v>4.8889477257298033</v>
      </c>
    </row>
    <row r="46" spans="1:26" x14ac:dyDescent="0.3">
      <c r="A46" s="8" t="s">
        <v>53</v>
      </c>
      <c r="B46" s="9" t="s">
        <v>357</v>
      </c>
      <c r="C46" s="9" t="s">
        <v>16</v>
      </c>
      <c r="D46" s="9" t="s">
        <v>44</v>
      </c>
      <c r="E46" s="9" t="s">
        <v>616</v>
      </c>
      <c r="F46" s="9" t="s">
        <v>617</v>
      </c>
      <c r="G46" s="9" t="s">
        <v>622</v>
      </c>
      <c r="H46" s="10">
        <v>12960010</v>
      </c>
      <c r="I46" s="10"/>
      <c r="J46" s="10">
        <v>3566000</v>
      </c>
      <c r="K46" s="10">
        <f t="shared" si="0"/>
        <v>4421840</v>
      </c>
      <c r="L46" s="17">
        <f t="shared" si="1"/>
        <v>0</v>
      </c>
      <c r="M46" s="17">
        <f t="shared" si="2"/>
        <v>-0.65880890524004221</v>
      </c>
    </row>
    <row r="47" spans="1:26" x14ac:dyDescent="0.3">
      <c r="A47" s="8" t="s">
        <v>69</v>
      </c>
      <c r="B47" s="9" t="s">
        <v>371</v>
      </c>
      <c r="C47" s="9" t="s">
        <v>14</v>
      </c>
      <c r="D47" s="9" t="s">
        <v>32</v>
      </c>
      <c r="E47" s="9" t="s">
        <v>616</v>
      </c>
      <c r="F47" s="9" t="s">
        <v>617</v>
      </c>
      <c r="G47" s="9" t="s">
        <v>619</v>
      </c>
      <c r="H47" s="10">
        <v>456000</v>
      </c>
      <c r="I47" s="10"/>
      <c r="J47" s="10">
        <v>3477000</v>
      </c>
      <c r="K47" s="10">
        <f t="shared" si="0"/>
        <v>4311480</v>
      </c>
      <c r="L47" s="17">
        <f t="shared" si="1"/>
        <v>0</v>
      </c>
      <c r="M47" s="17">
        <f t="shared" si="2"/>
        <v>8.4550000000000001</v>
      </c>
    </row>
    <row r="48" spans="1:26" x14ac:dyDescent="0.3">
      <c r="A48" s="8" t="s">
        <v>99</v>
      </c>
      <c r="B48" s="9" t="s">
        <v>401</v>
      </c>
      <c r="C48" s="9" t="s">
        <v>16</v>
      </c>
      <c r="D48" s="9" t="s">
        <v>42</v>
      </c>
      <c r="E48" s="9" t="s">
        <v>616</v>
      </c>
      <c r="F48" s="9" t="s">
        <v>617</v>
      </c>
      <c r="G48" s="9" t="s">
        <v>618</v>
      </c>
      <c r="H48" s="10">
        <v>200010</v>
      </c>
      <c r="I48" s="10"/>
      <c r="J48" s="10">
        <v>200000</v>
      </c>
      <c r="K48" s="10">
        <f t="shared" si="0"/>
        <v>248000</v>
      </c>
      <c r="L48" s="17">
        <f t="shared" si="1"/>
        <v>0</v>
      </c>
      <c r="M48" s="17">
        <f t="shared" si="2"/>
        <v>0.239938003099845</v>
      </c>
    </row>
    <row r="49" spans="1:13" x14ac:dyDescent="0.3">
      <c r="A49" s="8" t="s">
        <v>147</v>
      </c>
      <c r="B49" s="9" t="s">
        <v>437</v>
      </c>
      <c r="C49" s="9" t="s">
        <v>16</v>
      </c>
      <c r="D49" s="9" t="s">
        <v>42</v>
      </c>
      <c r="E49" s="9" t="s">
        <v>616</v>
      </c>
      <c r="F49" s="9" t="s">
        <v>617</v>
      </c>
      <c r="G49" s="9" t="s">
        <v>618</v>
      </c>
      <c r="H49" s="10">
        <v>0</v>
      </c>
      <c r="I49" s="10"/>
      <c r="J49" s="10">
        <v>0</v>
      </c>
      <c r="K49" s="10">
        <f t="shared" si="0"/>
        <v>0</v>
      </c>
      <c r="L49" s="17">
        <f t="shared" si="1"/>
        <v>0</v>
      </c>
      <c r="M49" s="17">
        <f t="shared" si="2"/>
        <v>0</v>
      </c>
    </row>
    <row r="50" spans="1:13" x14ac:dyDescent="0.3">
      <c r="A50" s="8" t="s">
        <v>73</v>
      </c>
      <c r="B50" s="9" t="s">
        <v>375</v>
      </c>
      <c r="C50" s="9" t="s">
        <v>14</v>
      </c>
      <c r="D50" s="9" t="s">
        <v>26</v>
      </c>
      <c r="E50" s="9" t="s">
        <v>616</v>
      </c>
      <c r="F50" s="9" t="s">
        <v>617</v>
      </c>
      <c r="G50" s="9" t="s">
        <v>619</v>
      </c>
      <c r="H50" s="10">
        <v>5150000</v>
      </c>
      <c r="I50" s="10"/>
      <c r="J50" s="10">
        <v>2718000</v>
      </c>
      <c r="K50" s="10">
        <f t="shared" si="0"/>
        <v>3370320</v>
      </c>
      <c r="L50" s="17">
        <f t="shared" si="1"/>
        <v>0</v>
      </c>
      <c r="M50" s="17">
        <f t="shared" si="2"/>
        <v>-0.34556893203883493</v>
      </c>
    </row>
    <row r="51" spans="1:13" x14ac:dyDescent="0.3">
      <c r="A51" s="8" t="s">
        <v>80</v>
      </c>
      <c r="B51" s="9" t="s">
        <v>382</v>
      </c>
      <c r="C51" s="9" t="s">
        <v>16</v>
      </c>
      <c r="D51" s="9" t="s">
        <v>44</v>
      </c>
      <c r="E51" s="9" t="s">
        <v>616</v>
      </c>
      <c r="F51" s="9" t="s">
        <v>617</v>
      </c>
      <c r="G51" s="9" t="s">
        <v>622</v>
      </c>
      <c r="H51" s="10">
        <v>3457000</v>
      </c>
      <c r="I51" s="10"/>
      <c r="J51" s="10">
        <v>4298000</v>
      </c>
      <c r="K51" s="10">
        <f t="shared" si="0"/>
        <v>5329520</v>
      </c>
      <c r="L51" s="17">
        <f t="shared" si="1"/>
        <v>0</v>
      </c>
      <c r="M51" s="17">
        <f t="shared" si="2"/>
        <v>0.54166039919004916</v>
      </c>
    </row>
    <row r="52" spans="1:13" x14ac:dyDescent="0.3">
      <c r="A52" s="8" t="s">
        <v>20</v>
      </c>
      <c r="B52" s="9" t="s">
        <v>336</v>
      </c>
      <c r="C52" s="9" t="s">
        <v>14</v>
      </c>
      <c r="D52" s="9" t="s">
        <v>28</v>
      </c>
      <c r="E52" s="9" t="s">
        <v>616</v>
      </c>
      <c r="F52" s="9" t="s">
        <v>617</v>
      </c>
      <c r="G52" s="9" t="s">
        <v>620</v>
      </c>
      <c r="H52" s="10">
        <v>34214000</v>
      </c>
      <c r="I52" s="10"/>
      <c r="J52" s="10">
        <v>27580000</v>
      </c>
      <c r="K52" s="10">
        <f t="shared" si="0"/>
        <v>34199200</v>
      </c>
      <c r="L52" s="17">
        <f t="shared" si="1"/>
        <v>0</v>
      </c>
      <c r="M52" s="17">
        <f t="shared" si="2"/>
        <v>-4.3257146197463029E-4</v>
      </c>
    </row>
    <row r="53" spans="1:13" x14ac:dyDescent="0.3">
      <c r="A53" s="8" t="s">
        <v>148</v>
      </c>
      <c r="B53" s="9" t="s">
        <v>438</v>
      </c>
      <c r="C53" s="9" t="s">
        <v>14</v>
      </c>
      <c r="D53" s="9" t="s">
        <v>30</v>
      </c>
      <c r="E53" s="9" t="s">
        <v>616</v>
      </c>
      <c r="F53" s="9" t="s">
        <v>617</v>
      </c>
      <c r="G53" s="9" t="s">
        <v>620</v>
      </c>
      <c r="H53" s="10">
        <v>3155000</v>
      </c>
      <c r="I53" s="10"/>
      <c r="J53" s="10">
        <v>1163000</v>
      </c>
      <c r="K53" s="10">
        <f t="shared" si="0"/>
        <v>1442120</v>
      </c>
      <c r="L53" s="17">
        <f t="shared" si="1"/>
        <v>0</v>
      </c>
      <c r="M53" s="17">
        <f t="shared" si="2"/>
        <v>-0.54290966719492872</v>
      </c>
    </row>
    <row r="54" spans="1:13" x14ac:dyDescent="0.3">
      <c r="A54" s="8" t="s">
        <v>149</v>
      </c>
      <c r="B54" s="9" t="s">
        <v>439</v>
      </c>
      <c r="C54" s="9" t="s">
        <v>14</v>
      </c>
      <c r="D54" s="9" t="s">
        <v>32</v>
      </c>
      <c r="E54" s="9" t="s">
        <v>616</v>
      </c>
      <c r="F54" s="9" t="s">
        <v>617</v>
      </c>
      <c r="G54" s="9" t="s">
        <v>619</v>
      </c>
      <c r="H54" s="10">
        <v>6549000</v>
      </c>
      <c r="I54" s="10"/>
      <c r="J54" s="10">
        <v>2681000</v>
      </c>
      <c r="K54" s="10">
        <f t="shared" si="0"/>
        <v>3324440</v>
      </c>
      <c r="L54" s="17">
        <f t="shared" si="1"/>
        <v>0</v>
      </c>
      <c r="M54" s="17">
        <f t="shared" si="2"/>
        <v>-0.49237440830661172</v>
      </c>
    </row>
    <row r="55" spans="1:13" x14ac:dyDescent="0.3">
      <c r="A55" s="8" t="s">
        <v>21</v>
      </c>
      <c r="B55" s="9" t="s">
        <v>337</v>
      </c>
      <c r="C55" s="9" t="s">
        <v>14</v>
      </c>
      <c r="D55" s="9" t="s">
        <v>30</v>
      </c>
      <c r="E55" s="9" t="s">
        <v>616</v>
      </c>
      <c r="F55" s="9" t="s">
        <v>617</v>
      </c>
      <c r="G55" s="9" t="s">
        <v>620</v>
      </c>
      <c r="H55" s="10">
        <v>8404000</v>
      </c>
      <c r="I55" s="10"/>
      <c r="J55" s="10">
        <v>24524000</v>
      </c>
      <c r="K55" s="10">
        <f t="shared" si="0"/>
        <v>30409760</v>
      </c>
      <c r="L55" s="17">
        <f t="shared" si="1"/>
        <v>0</v>
      </c>
      <c r="M55" s="17">
        <f t="shared" si="2"/>
        <v>2.6184864350309378</v>
      </c>
    </row>
    <row r="56" spans="1:13" x14ac:dyDescent="0.3">
      <c r="A56" s="8" t="s">
        <v>150</v>
      </c>
      <c r="B56" s="9" t="s">
        <v>440</v>
      </c>
      <c r="C56" s="9" t="s">
        <v>16</v>
      </c>
      <c r="D56" s="9" t="s">
        <v>42</v>
      </c>
      <c r="E56" s="9" t="s">
        <v>616</v>
      </c>
      <c r="F56" s="9" t="s">
        <v>624</v>
      </c>
      <c r="G56" s="9" t="s">
        <v>618</v>
      </c>
      <c r="H56" s="10">
        <v>0</v>
      </c>
      <c r="I56" s="10"/>
      <c r="J56" s="10">
        <v>0</v>
      </c>
      <c r="K56" s="10">
        <f t="shared" si="0"/>
        <v>0</v>
      </c>
      <c r="L56" s="17">
        <f t="shared" si="1"/>
        <v>0</v>
      </c>
      <c r="M56" s="17">
        <f t="shared" si="2"/>
        <v>0</v>
      </c>
    </row>
    <row r="57" spans="1:13" x14ac:dyDescent="0.3">
      <c r="A57" s="8" t="s">
        <v>249</v>
      </c>
      <c r="B57" s="9" t="s">
        <v>538</v>
      </c>
      <c r="C57" s="9" t="s">
        <v>14</v>
      </c>
      <c r="D57" s="9" t="s">
        <v>30</v>
      </c>
      <c r="E57" s="9" t="s">
        <v>616</v>
      </c>
      <c r="F57" s="9" t="s">
        <v>624</v>
      </c>
      <c r="G57" s="9" t="s">
        <v>620</v>
      </c>
      <c r="H57" s="10">
        <v>0</v>
      </c>
      <c r="I57" s="10"/>
      <c r="J57" s="10">
        <v>0</v>
      </c>
      <c r="K57" s="10">
        <f t="shared" si="0"/>
        <v>0</v>
      </c>
      <c r="L57" s="17">
        <f t="shared" si="1"/>
        <v>0</v>
      </c>
      <c r="M57" s="17">
        <f t="shared" si="2"/>
        <v>0</v>
      </c>
    </row>
    <row r="58" spans="1:13" x14ac:dyDescent="0.3">
      <c r="A58" s="8" t="s">
        <v>79</v>
      </c>
      <c r="B58" s="9" t="s">
        <v>381</v>
      </c>
      <c r="C58" s="9" t="s">
        <v>16</v>
      </c>
      <c r="D58" s="9" t="s">
        <v>42</v>
      </c>
      <c r="E58" s="9" t="s">
        <v>616</v>
      </c>
      <c r="F58" s="9" t="s">
        <v>617</v>
      </c>
      <c r="G58" s="9" t="s">
        <v>618</v>
      </c>
      <c r="H58" s="10">
        <v>0</v>
      </c>
      <c r="I58" s="10"/>
      <c r="J58" s="10">
        <v>0</v>
      </c>
      <c r="K58" s="10">
        <f t="shared" si="0"/>
        <v>0</v>
      </c>
      <c r="L58" s="17">
        <f t="shared" si="1"/>
        <v>0</v>
      </c>
      <c r="M58" s="17">
        <f t="shared" si="2"/>
        <v>0</v>
      </c>
    </row>
    <row r="59" spans="1:13" x14ac:dyDescent="0.3">
      <c r="A59" s="8" t="s">
        <v>65</v>
      </c>
      <c r="B59" s="9" t="s">
        <v>367</v>
      </c>
      <c r="C59" s="9" t="s">
        <v>14</v>
      </c>
      <c r="D59" s="9" t="s">
        <v>26</v>
      </c>
      <c r="E59" s="9" t="s">
        <v>616</v>
      </c>
      <c r="F59" s="9" t="s">
        <v>617</v>
      </c>
      <c r="G59" s="9" t="s">
        <v>619</v>
      </c>
      <c r="H59" s="10">
        <v>1900000</v>
      </c>
      <c r="I59" s="10"/>
      <c r="J59" s="10">
        <v>900000</v>
      </c>
      <c r="K59" s="10">
        <f t="shared" si="0"/>
        <v>1116000</v>
      </c>
      <c r="L59" s="17">
        <f t="shared" si="1"/>
        <v>0</v>
      </c>
      <c r="M59" s="17">
        <f t="shared" si="2"/>
        <v>-0.4126315789473684</v>
      </c>
    </row>
    <row r="60" spans="1:13" x14ac:dyDescent="0.3">
      <c r="A60" s="8" t="s">
        <v>96</v>
      </c>
      <c r="B60" s="9" t="s">
        <v>398</v>
      </c>
      <c r="C60" s="9" t="s">
        <v>14</v>
      </c>
      <c r="D60" s="9" t="s">
        <v>32</v>
      </c>
      <c r="E60" s="9" t="s">
        <v>616</v>
      </c>
      <c r="F60" s="9" t="s">
        <v>617</v>
      </c>
      <c r="G60" s="9" t="s">
        <v>619</v>
      </c>
      <c r="H60" s="10">
        <v>707000</v>
      </c>
      <c r="I60" s="10"/>
      <c r="J60" s="10">
        <v>2403000</v>
      </c>
      <c r="K60" s="10">
        <f t="shared" si="0"/>
        <v>2979720</v>
      </c>
      <c r="L60" s="17">
        <f t="shared" si="1"/>
        <v>0</v>
      </c>
      <c r="M60" s="17">
        <f t="shared" si="2"/>
        <v>3.2145968882602545</v>
      </c>
    </row>
    <row r="61" spans="1:13" x14ac:dyDescent="0.3">
      <c r="A61" s="8" t="s">
        <v>151</v>
      </c>
      <c r="B61" s="9" t="s">
        <v>441</v>
      </c>
      <c r="C61" s="9" t="s">
        <v>16</v>
      </c>
      <c r="D61" s="9" t="s">
        <v>36</v>
      </c>
      <c r="E61" s="9" t="s">
        <v>616</v>
      </c>
      <c r="F61" s="9" t="s">
        <v>617</v>
      </c>
      <c r="G61" s="9" t="s">
        <v>622</v>
      </c>
      <c r="H61" s="10">
        <v>5114000</v>
      </c>
      <c r="I61" s="10"/>
      <c r="J61" s="10">
        <v>3021000</v>
      </c>
      <c r="K61" s="10">
        <f t="shared" si="0"/>
        <v>3746040</v>
      </c>
      <c r="L61" s="17">
        <f t="shared" si="1"/>
        <v>0</v>
      </c>
      <c r="M61" s="17">
        <f t="shared" si="2"/>
        <v>-0.267493156042237</v>
      </c>
    </row>
    <row r="62" spans="1:13" x14ac:dyDescent="0.3">
      <c r="A62" s="8" t="s">
        <v>152</v>
      </c>
      <c r="B62" s="9" t="s">
        <v>442</v>
      </c>
      <c r="C62" s="9" t="s">
        <v>16</v>
      </c>
      <c r="D62" s="9" t="s">
        <v>40</v>
      </c>
      <c r="E62" s="9" t="s">
        <v>616</v>
      </c>
      <c r="F62" s="9" t="s">
        <v>617</v>
      </c>
      <c r="G62" s="9" t="s">
        <v>623</v>
      </c>
      <c r="H62" s="10">
        <v>1824710</v>
      </c>
      <c r="I62" s="10"/>
      <c r="J62" s="10">
        <v>10142000</v>
      </c>
      <c r="K62" s="10">
        <f t="shared" si="0"/>
        <v>12576080</v>
      </c>
      <c r="L62" s="17">
        <f t="shared" si="1"/>
        <v>0</v>
      </c>
      <c r="M62" s="17">
        <f t="shared" si="2"/>
        <v>5.8920979224095884</v>
      </c>
    </row>
    <row r="63" spans="1:13" x14ac:dyDescent="0.3">
      <c r="A63" s="8" t="s">
        <v>67</v>
      </c>
      <c r="B63" s="9" t="s">
        <v>369</v>
      </c>
      <c r="C63" s="9" t="s">
        <v>14</v>
      </c>
      <c r="D63" s="9" t="s">
        <v>24</v>
      </c>
      <c r="E63" s="9" t="s">
        <v>616</v>
      </c>
      <c r="F63" s="9" t="s">
        <v>617</v>
      </c>
      <c r="G63" s="9" t="s">
        <v>619</v>
      </c>
      <c r="H63" s="10">
        <v>5000010</v>
      </c>
      <c r="I63" s="10"/>
      <c r="J63" s="10">
        <v>3217000</v>
      </c>
      <c r="K63" s="10">
        <f t="shared" si="0"/>
        <v>3989080</v>
      </c>
      <c r="L63" s="17">
        <f t="shared" si="1"/>
        <v>0</v>
      </c>
      <c r="M63" s="17">
        <f t="shared" si="2"/>
        <v>-0.20218559562880875</v>
      </c>
    </row>
    <row r="64" spans="1:13" x14ac:dyDescent="0.3">
      <c r="A64" s="8" t="s">
        <v>83</v>
      </c>
      <c r="B64" s="9" t="s">
        <v>385</v>
      </c>
      <c r="C64" s="9" t="s">
        <v>14</v>
      </c>
      <c r="D64" s="9" t="s">
        <v>32</v>
      </c>
      <c r="E64" s="9" t="s">
        <v>616</v>
      </c>
      <c r="F64" s="9" t="s">
        <v>617</v>
      </c>
      <c r="G64" s="9" t="s">
        <v>619</v>
      </c>
      <c r="H64" s="10">
        <v>3849000</v>
      </c>
      <c r="I64" s="10"/>
      <c r="J64" s="10">
        <v>1798000</v>
      </c>
      <c r="K64" s="10">
        <f t="shared" si="0"/>
        <v>2229520</v>
      </c>
      <c r="L64" s="17">
        <f t="shared" si="1"/>
        <v>0</v>
      </c>
      <c r="M64" s="17">
        <f t="shared" si="2"/>
        <v>-0.42075344245258511</v>
      </c>
    </row>
    <row r="65" spans="1:13" x14ac:dyDescent="0.3">
      <c r="A65" s="8" t="s">
        <v>81</v>
      </c>
      <c r="B65" s="9" t="s">
        <v>383</v>
      </c>
      <c r="C65" s="9" t="s">
        <v>16</v>
      </c>
      <c r="D65" s="9" t="s">
        <v>40</v>
      </c>
      <c r="E65" s="9" t="s">
        <v>616</v>
      </c>
      <c r="F65" s="9" t="s">
        <v>617</v>
      </c>
      <c r="G65" s="9" t="s">
        <v>623</v>
      </c>
      <c r="H65" s="10">
        <v>5618000</v>
      </c>
      <c r="I65" s="10"/>
      <c r="J65" s="10">
        <v>14416000</v>
      </c>
      <c r="K65" s="10">
        <f t="shared" si="0"/>
        <v>17875840</v>
      </c>
      <c r="L65" s="17">
        <f t="shared" si="1"/>
        <v>0</v>
      </c>
      <c r="M65" s="17">
        <f t="shared" si="2"/>
        <v>2.18188679245283</v>
      </c>
    </row>
    <row r="66" spans="1:13" x14ac:dyDescent="0.3">
      <c r="A66" s="8" t="s">
        <v>31</v>
      </c>
      <c r="B66" s="9" t="s">
        <v>342</v>
      </c>
      <c r="C66" s="9" t="s">
        <v>14</v>
      </c>
      <c r="D66" s="9" t="s">
        <v>32</v>
      </c>
      <c r="E66" s="9" t="s">
        <v>616</v>
      </c>
      <c r="F66" s="9" t="s">
        <v>617</v>
      </c>
      <c r="G66" s="9" t="s">
        <v>619</v>
      </c>
      <c r="H66" s="10">
        <v>1700000</v>
      </c>
      <c r="I66" s="10"/>
      <c r="J66" s="10">
        <v>6810000</v>
      </c>
      <c r="K66" s="10">
        <f t="shared" si="0"/>
        <v>8444400</v>
      </c>
      <c r="L66" s="17">
        <f t="shared" si="1"/>
        <v>0</v>
      </c>
      <c r="M66" s="17">
        <f t="shared" si="2"/>
        <v>3.9672941176470586</v>
      </c>
    </row>
    <row r="67" spans="1:13" x14ac:dyDescent="0.3">
      <c r="A67" s="8" t="s">
        <v>89</v>
      </c>
      <c r="B67" s="9" t="s">
        <v>391</v>
      </c>
      <c r="C67" s="9" t="s">
        <v>16</v>
      </c>
      <c r="D67" s="9" t="s">
        <v>36</v>
      </c>
      <c r="E67" s="9" t="s">
        <v>616</v>
      </c>
      <c r="F67" s="9" t="s">
        <v>617</v>
      </c>
      <c r="G67" s="9" t="s">
        <v>622</v>
      </c>
      <c r="H67" s="10">
        <v>9600000</v>
      </c>
      <c r="I67" s="10"/>
      <c r="J67" s="10">
        <v>4350000</v>
      </c>
      <c r="K67" s="10">
        <f t="shared" si="0"/>
        <v>5394000</v>
      </c>
      <c r="L67" s="17">
        <f t="shared" si="1"/>
        <v>0</v>
      </c>
      <c r="M67" s="17">
        <f t="shared" si="2"/>
        <v>-0.43812499999999999</v>
      </c>
    </row>
    <row r="68" spans="1:13" x14ac:dyDescent="0.3">
      <c r="A68" s="8" t="s">
        <v>153</v>
      </c>
      <c r="B68" s="9" t="s">
        <v>443</v>
      </c>
      <c r="C68" s="9" t="s">
        <v>16</v>
      </c>
      <c r="D68" s="9" t="s">
        <v>40</v>
      </c>
      <c r="E68" s="9" t="s">
        <v>616</v>
      </c>
      <c r="F68" s="9" t="s">
        <v>617</v>
      </c>
      <c r="G68" s="9" t="s">
        <v>623</v>
      </c>
      <c r="H68" s="10">
        <v>1824000</v>
      </c>
      <c r="I68" s="10"/>
      <c r="J68" s="10">
        <v>4956000</v>
      </c>
      <c r="K68" s="10">
        <f t="shared" si="0"/>
        <v>6145440</v>
      </c>
      <c r="L68" s="17">
        <f t="shared" si="1"/>
        <v>0</v>
      </c>
      <c r="M68" s="17">
        <f t="shared" si="2"/>
        <v>2.3692105263157894</v>
      </c>
    </row>
    <row r="69" spans="1:13" x14ac:dyDescent="0.3">
      <c r="A69" s="8" t="s">
        <v>154</v>
      </c>
      <c r="B69" s="9" t="s">
        <v>444</v>
      </c>
      <c r="C69" s="9" t="s">
        <v>14</v>
      </c>
      <c r="D69" s="9" t="s">
        <v>24</v>
      </c>
      <c r="E69" s="9" t="s">
        <v>616</v>
      </c>
      <c r="F69" s="9" t="s">
        <v>617</v>
      </c>
      <c r="G69" s="9" t="s">
        <v>619</v>
      </c>
      <c r="H69" s="10">
        <v>19851000</v>
      </c>
      <c r="I69" s="10"/>
      <c r="J69" s="10">
        <v>19024000</v>
      </c>
      <c r="K69" s="10">
        <f t="shared" ref="K69:K213" si="7">IFERROR(J69/$A$1*$B$1,0)</f>
        <v>23589760</v>
      </c>
      <c r="L69" s="17">
        <f t="shared" ref="L69:L213" si="8">IFERROR(K69/I69,0)</f>
        <v>0</v>
      </c>
      <c r="M69" s="17">
        <f t="shared" ref="M69:M213" si="9">IFERROR((K69-H69)/H69,0)</f>
        <v>0.18834114150420633</v>
      </c>
    </row>
    <row r="70" spans="1:13" x14ac:dyDescent="0.3">
      <c r="A70" s="8" t="s">
        <v>82</v>
      </c>
      <c r="B70" s="9" t="s">
        <v>384</v>
      </c>
      <c r="C70" s="9" t="s">
        <v>16</v>
      </c>
      <c r="D70" s="9" t="s">
        <v>44</v>
      </c>
      <c r="E70" s="9" t="s">
        <v>616</v>
      </c>
      <c r="F70" s="9" t="s">
        <v>617</v>
      </c>
      <c r="G70" s="9" t="s">
        <v>622</v>
      </c>
      <c r="H70" s="10">
        <v>11693000</v>
      </c>
      <c r="I70" s="10"/>
      <c r="J70" s="10">
        <v>907000</v>
      </c>
      <c r="K70" s="10">
        <f t="shared" si="7"/>
        <v>1124680</v>
      </c>
      <c r="L70" s="17">
        <f t="shared" si="8"/>
        <v>0</v>
      </c>
      <c r="M70" s="17">
        <f t="shared" si="9"/>
        <v>-0.90381595826562899</v>
      </c>
    </row>
    <row r="71" spans="1:13" x14ac:dyDescent="0.3">
      <c r="A71" s="8" t="s">
        <v>110</v>
      </c>
      <c r="B71" s="9" t="s">
        <v>412</v>
      </c>
      <c r="C71" s="9" t="s">
        <v>14</v>
      </c>
      <c r="D71" s="9" t="s">
        <v>32</v>
      </c>
      <c r="E71" s="9" t="s">
        <v>616</v>
      </c>
      <c r="F71" s="9" t="s">
        <v>617</v>
      </c>
      <c r="G71" s="9" t="s">
        <v>619</v>
      </c>
      <c r="H71" s="10">
        <v>2407000</v>
      </c>
      <c r="I71" s="10"/>
      <c r="J71" s="10">
        <v>2917000</v>
      </c>
      <c r="K71" s="10">
        <f t="shared" si="7"/>
        <v>3617080</v>
      </c>
      <c r="L71" s="17">
        <f t="shared" si="8"/>
        <v>0</v>
      </c>
      <c r="M71" s="17">
        <f t="shared" si="9"/>
        <v>0.50273369339426677</v>
      </c>
    </row>
    <row r="72" spans="1:13" x14ac:dyDescent="0.3">
      <c r="A72" s="8" t="s">
        <v>100</v>
      </c>
      <c r="B72" s="9" t="s">
        <v>402</v>
      </c>
      <c r="C72" s="9" t="s">
        <v>16</v>
      </c>
      <c r="D72" s="9" t="s">
        <v>44</v>
      </c>
      <c r="E72" s="9" t="s">
        <v>616</v>
      </c>
      <c r="F72" s="9" t="s">
        <v>617</v>
      </c>
      <c r="G72" s="9" t="s">
        <v>622</v>
      </c>
      <c r="H72" s="10">
        <v>850000</v>
      </c>
      <c r="I72" s="10"/>
      <c r="J72" s="10">
        <v>10607000</v>
      </c>
      <c r="K72" s="10">
        <f t="shared" si="7"/>
        <v>13152680</v>
      </c>
      <c r="L72" s="17">
        <f t="shared" si="8"/>
        <v>0</v>
      </c>
      <c r="M72" s="17">
        <f t="shared" si="9"/>
        <v>14.473741176470588</v>
      </c>
    </row>
    <row r="73" spans="1:13" x14ac:dyDescent="0.3">
      <c r="A73" s="8" t="s">
        <v>92</v>
      </c>
      <c r="B73" s="9" t="s">
        <v>394</v>
      </c>
      <c r="C73" s="9" t="s">
        <v>16</v>
      </c>
      <c r="D73" s="9" t="s">
        <v>34</v>
      </c>
      <c r="E73" s="9" t="s">
        <v>616</v>
      </c>
      <c r="F73" s="9" t="s">
        <v>617</v>
      </c>
      <c r="G73" s="9" t="s">
        <v>621</v>
      </c>
      <c r="H73" s="10">
        <v>606000</v>
      </c>
      <c r="I73" s="10"/>
      <c r="J73" s="10">
        <v>5650000</v>
      </c>
      <c r="K73" s="10">
        <f t="shared" si="7"/>
        <v>7006000</v>
      </c>
      <c r="L73" s="17">
        <f t="shared" si="8"/>
        <v>0</v>
      </c>
      <c r="M73" s="17">
        <f t="shared" si="9"/>
        <v>10.561056105610561</v>
      </c>
    </row>
    <row r="74" spans="1:13" x14ac:dyDescent="0.3">
      <c r="A74" s="8" t="s">
        <v>76</v>
      </c>
      <c r="B74" s="9" t="s">
        <v>378</v>
      </c>
      <c r="C74" s="9" t="s">
        <v>16</v>
      </c>
      <c r="D74" s="9" t="s">
        <v>22</v>
      </c>
      <c r="E74" s="9" t="s">
        <v>616</v>
      </c>
      <c r="F74" s="9" t="s">
        <v>617</v>
      </c>
      <c r="G74" s="9" t="s">
        <v>618</v>
      </c>
      <c r="H74" s="10">
        <v>1700000</v>
      </c>
      <c r="I74" s="10"/>
      <c r="J74" s="10">
        <v>1899000</v>
      </c>
      <c r="K74" s="10">
        <f t="shared" si="7"/>
        <v>2354760</v>
      </c>
      <c r="L74" s="17">
        <f t="shared" si="8"/>
        <v>0</v>
      </c>
      <c r="M74" s="17">
        <f t="shared" si="9"/>
        <v>0.38515294117647059</v>
      </c>
    </row>
    <row r="75" spans="1:13" x14ac:dyDescent="0.3">
      <c r="A75" s="8" t="s">
        <v>250</v>
      </c>
      <c r="B75" s="9" t="s">
        <v>539</v>
      </c>
      <c r="C75" s="9" t="s">
        <v>16</v>
      </c>
      <c r="D75" s="9" t="s">
        <v>22</v>
      </c>
      <c r="E75" s="9" t="s">
        <v>616</v>
      </c>
      <c r="F75" s="9" t="s">
        <v>624</v>
      </c>
      <c r="G75" s="9" t="s">
        <v>618</v>
      </c>
      <c r="H75" s="10">
        <v>0</v>
      </c>
      <c r="I75" s="10"/>
      <c r="J75" s="10">
        <v>0</v>
      </c>
      <c r="K75" s="10">
        <f t="shared" si="7"/>
        <v>0</v>
      </c>
      <c r="L75" s="17">
        <f t="shared" si="8"/>
        <v>0</v>
      </c>
      <c r="M75" s="17">
        <f t="shared" si="9"/>
        <v>0</v>
      </c>
    </row>
    <row r="76" spans="1:13" x14ac:dyDescent="0.3">
      <c r="A76" s="8" t="s">
        <v>93</v>
      </c>
      <c r="B76" s="9" t="s">
        <v>395</v>
      </c>
      <c r="C76" s="9" t="s">
        <v>14</v>
      </c>
      <c r="D76" s="9" t="s">
        <v>30</v>
      </c>
      <c r="E76" s="9" t="s">
        <v>616</v>
      </c>
      <c r="F76" s="9" t="s">
        <v>617</v>
      </c>
      <c r="G76" s="9" t="s">
        <v>620</v>
      </c>
      <c r="H76" s="10">
        <v>3019000</v>
      </c>
      <c r="I76" s="10"/>
      <c r="J76" s="10">
        <v>1605000</v>
      </c>
      <c r="K76" s="10">
        <f t="shared" si="7"/>
        <v>1990200</v>
      </c>
      <c r="L76" s="17">
        <f t="shared" si="8"/>
        <v>0</v>
      </c>
      <c r="M76" s="17">
        <f t="shared" si="9"/>
        <v>-0.34077509108976484</v>
      </c>
    </row>
    <row r="77" spans="1:13" x14ac:dyDescent="0.3">
      <c r="A77" s="8" t="s">
        <v>155</v>
      </c>
      <c r="B77" s="9" t="s">
        <v>445</v>
      </c>
      <c r="C77" s="9" t="s">
        <v>14</v>
      </c>
      <c r="D77" s="9" t="s">
        <v>24</v>
      </c>
      <c r="E77" s="9" t="s">
        <v>616</v>
      </c>
      <c r="F77" s="9" t="s">
        <v>624</v>
      </c>
      <c r="G77" s="9" t="s">
        <v>619</v>
      </c>
      <c r="H77" s="10">
        <v>1905000</v>
      </c>
      <c r="I77" s="10"/>
      <c r="J77" s="10">
        <v>0</v>
      </c>
      <c r="K77" s="10">
        <f t="shared" si="7"/>
        <v>0</v>
      </c>
      <c r="L77" s="17">
        <f t="shared" si="8"/>
        <v>0</v>
      </c>
      <c r="M77" s="17">
        <f t="shared" si="9"/>
        <v>-1</v>
      </c>
    </row>
    <row r="78" spans="1:13" x14ac:dyDescent="0.3">
      <c r="A78" s="8" t="s">
        <v>91</v>
      </c>
      <c r="B78" s="9" t="s">
        <v>393</v>
      </c>
      <c r="C78" s="9" t="s">
        <v>14</v>
      </c>
      <c r="D78" s="9" t="s">
        <v>28</v>
      </c>
      <c r="E78" s="9" t="s">
        <v>616</v>
      </c>
      <c r="F78" s="9" t="s">
        <v>617</v>
      </c>
      <c r="G78" s="9" t="s">
        <v>620</v>
      </c>
      <c r="H78" s="10">
        <v>850720</v>
      </c>
      <c r="I78" s="10"/>
      <c r="J78" s="10">
        <v>610000</v>
      </c>
      <c r="K78" s="10">
        <f t="shared" si="7"/>
        <v>756400</v>
      </c>
      <c r="L78" s="17">
        <f t="shared" si="8"/>
        <v>0</v>
      </c>
      <c r="M78" s="17">
        <f t="shared" si="9"/>
        <v>-0.11087079179988715</v>
      </c>
    </row>
    <row r="79" spans="1:13" x14ac:dyDescent="0.3">
      <c r="A79" s="8" t="s">
        <v>64</v>
      </c>
      <c r="B79" s="9" t="s">
        <v>366</v>
      </c>
      <c r="C79" s="9" t="s">
        <v>14</v>
      </c>
      <c r="D79" s="9" t="s">
        <v>32</v>
      </c>
      <c r="E79" s="9" t="s">
        <v>616</v>
      </c>
      <c r="F79" s="9" t="s">
        <v>617</v>
      </c>
      <c r="G79" s="9" t="s">
        <v>619</v>
      </c>
      <c r="H79" s="10">
        <v>1000000</v>
      </c>
      <c r="I79" s="10"/>
      <c r="J79" s="10">
        <v>6002000</v>
      </c>
      <c r="K79" s="10">
        <f t="shared" si="7"/>
        <v>7442480</v>
      </c>
      <c r="L79" s="17">
        <f t="shared" si="8"/>
        <v>0</v>
      </c>
      <c r="M79" s="17">
        <f t="shared" si="9"/>
        <v>6.4424799999999998</v>
      </c>
    </row>
    <row r="80" spans="1:13" x14ac:dyDescent="0.3">
      <c r="A80" s="8" t="s">
        <v>156</v>
      </c>
      <c r="B80" s="9" t="s">
        <v>446</v>
      </c>
      <c r="C80" s="9" t="s">
        <v>14</v>
      </c>
      <c r="D80" s="9" t="s">
        <v>28</v>
      </c>
      <c r="E80" s="9" t="s">
        <v>616</v>
      </c>
      <c r="F80" s="9" t="s">
        <v>624</v>
      </c>
      <c r="G80" s="9" t="s">
        <v>620</v>
      </c>
      <c r="H80" s="10">
        <v>1550000</v>
      </c>
      <c r="I80" s="10"/>
      <c r="J80" s="10">
        <v>0</v>
      </c>
      <c r="K80" s="10">
        <f t="shared" si="7"/>
        <v>0</v>
      </c>
      <c r="L80" s="17">
        <f t="shared" si="8"/>
        <v>0</v>
      </c>
      <c r="M80" s="17">
        <f t="shared" si="9"/>
        <v>-1</v>
      </c>
    </row>
    <row r="81" spans="1:13" x14ac:dyDescent="0.3">
      <c r="A81" s="8" t="s">
        <v>75</v>
      </c>
      <c r="B81" s="9" t="s">
        <v>377</v>
      </c>
      <c r="C81" s="9" t="s">
        <v>16</v>
      </c>
      <c r="D81" s="9" t="s">
        <v>42</v>
      </c>
      <c r="E81" s="9" t="s">
        <v>616</v>
      </c>
      <c r="F81" s="9" t="s">
        <v>617</v>
      </c>
      <c r="G81" s="9" t="s">
        <v>618</v>
      </c>
      <c r="H81" s="10">
        <v>0</v>
      </c>
      <c r="I81" s="10"/>
      <c r="J81" s="10">
        <v>899140</v>
      </c>
      <c r="K81" s="10">
        <f t="shared" si="7"/>
        <v>1114933.5999999999</v>
      </c>
      <c r="L81" s="17">
        <f t="shared" si="8"/>
        <v>0</v>
      </c>
      <c r="M81" s="17">
        <f t="shared" si="9"/>
        <v>0</v>
      </c>
    </row>
    <row r="82" spans="1:13" x14ac:dyDescent="0.3">
      <c r="A82" s="8" t="s">
        <v>97</v>
      </c>
      <c r="B82" s="9" t="s">
        <v>399</v>
      </c>
      <c r="C82" s="9" t="s">
        <v>16</v>
      </c>
      <c r="D82" s="9" t="s">
        <v>44</v>
      </c>
      <c r="E82" s="9" t="s">
        <v>616</v>
      </c>
      <c r="F82" s="9" t="s">
        <v>617</v>
      </c>
      <c r="G82" s="9" t="s">
        <v>622</v>
      </c>
      <c r="H82" s="10">
        <v>850000</v>
      </c>
      <c r="I82" s="10"/>
      <c r="J82" s="10">
        <v>3535000</v>
      </c>
      <c r="K82" s="10">
        <f t="shared" si="7"/>
        <v>4383400</v>
      </c>
      <c r="L82" s="17">
        <f t="shared" si="8"/>
        <v>0</v>
      </c>
      <c r="M82" s="17">
        <f t="shared" si="9"/>
        <v>4.1569411764705881</v>
      </c>
    </row>
    <row r="83" spans="1:13" x14ac:dyDescent="0.3">
      <c r="A83" s="8" t="s">
        <v>111</v>
      </c>
      <c r="B83" s="9" t="s">
        <v>413</v>
      </c>
      <c r="C83" s="9" t="s">
        <v>16</v>
      </c>
      <c r="D83" s="9" t="s">
        <v>34</v>
      </c>
      <c r="E83" s="9" t="s">
        <v>616</v>
      </c>
      <c r="F83" s="9" t="s">
        <v>617</v>
      </c>
      <c r="G83" s="9" t="s">
        <v>621</v>
      </c>
      <c r="H83" s="10">
        <v>898000</v>
      </c>
      <c r="I83" s="10"/>
      <c r="J83" s="10">
        <v>0</v>
      </c>
      <c r="K83" s="10">
        <f t="shared" si="7"/>
        <v>0</v>
      </c>
      <c r="L83" s="17">
        <f t="shared" si="8"/>
        <v>0</v>
      </c>
      <c r="M83" s="17">
        <f t="shared" si="9"/>
        <v>-1</v>
      </c>
    </row>
    <row r="84" spans="1:13" x14ac:dyDescent="0.3">
      <c r="A84" s="8" t="s">
        <v>101</v>
      </c>
      <c r="B84" s="9" t="s">
        <v>403</v>
      </c>
      <c r="C84" s="9" t="s">
        <v>16</v>
      </c>
      <c r="D84" s="9" t="s">
        <v>42</v>
      </c>
      <c r="E84" s="9" t="s">
        <v>616</v>
      </c>
      <c r="F84" s="9" t="s">
        <v>617</v>
      </c>
      <c r="G84" s="9" t="s">
        <v>618</v>
      </c>
      <c r="H84" s="10">
        <v>400000</v>
      </c>
      <c r="I84" s="10"/>
      <c r="J84" s="10">
        <v>0</v>
      </c>
      <c r="K84" s="10">
        <f t="shared" si="7"/>
        <v>0</v>
      </c>
      <c r="L84" s="17">
        <f t="shared" si="8"/>
        <v>0</v>
      </c>
      <c r="M84" s="17">
        <f t="shared" si="9"/>
        <v>-1</v>
      </c>
    </row>
    <row r="85" spans="1:13" x14ac:dyDescent="0.3">
      <c r="A85" s="8" t="s">
        <v>251</v>
      </c>
      <c r="B85" s="9" t="s">
        <v>540</v>
      </c>
      <c r="C85" s="9" t="s">
        <v>14</v>
      </c>
      <c r="D85" s="9" t="s">
        <v>24</v>
      </c>
      <c r="E85" s="9" t="s">
        <v>616</v>
      </c>
      <c r="F85" s="9" t="s">
        <v>624</v>
      </c>
      <c r="G85" s="9" t="s">
        <v>619</v>
      </c>
      <c r="H85" s="10">
        <v>0</v>
      </c>
      <c r="I85" s="10"/>
      <c r="J85" s="10">
        <v>0</v>
      </c>
      <c r="K85" s="10">
        <f t="shared" si="7"/>
        <v>0</v>
      </c>
      <c r="L85" s="17">
        <f t="shared" si="8"/>
        <v>0</v>
      </c>
      <c r="M85" s="17">
        <f t="shared" si="9"/>
        <v>0</v>
      </c>
    </row>
    <row r="86" spans="1:13" x14ac:dyDescent="0.3">
      <c r="A86" s="8" t="s">
        <v>84</v>
      </c>
      <c r="B86" s="9" t="s">
        <v>386</v>
      </c>
      <c r="C86" s="9" t="s">
        <v>16</v>
      </c>
      <c r="D86" s="9" t="s">
        <v>44</v>
      </c>
      <c r="E86" s="9" t="s">
        <v>616</v>
      </c>
      <c r="F86" s="9" t="s">
        <v>617</v>
      </c>
      <c r="G86" s="9" t="s">
        <v>622</v>
      </c>
      <c r="H86" s="10">
        <v>1557000</v>
      </c>
      <c r="I86" s="10"/>
      <c r="J86" s="10">
        <v>4805000</v>
      </c>
      <c r="K86" s="10">
        <f t="shared" si="7"/>
        <v>5958200</v>
      </c>
      <c r="L86" s="17">
        <f t="shared" si="8"/>
        <v>0</v>
      </c>
      <c r="M86" s="17">
        <f t="shared" si="9"/>
        <v>2.8267180475272959</v>
      </c>
    </row>
    <row r="87" spans="1:13" x14ac:dyDescent="0.3">
      <c r="A87" s="8" t="s">
        <v>104</v>
      </c>
      <c r="B87" s="9" t="s">
        <v>406</v>
      </c>
      <c r="C87" s="9" t="s">
        <v>16</v>
      </c>
      <c r="D87" s="9" t="s">
        <v>36</v>
      </c>
      <c r="E87" s="9" t="s">
        <v>616</v>
      </c>
      <c r="F87" s="9" t="s">
        <v>617</v>
      </c>
      <c r="G87" s="9" t="s">
        <v>622</v>
      </c>
      <c r="H87" s="10">
        <v>707000</v>
      </c>
      <c r="I87" s="10"/>
      <c r="J87" s="10">
        <v>0</v>
      </c>
      <c r="K87" s="10">
        <f t="shared" si="7"/>
        <v>0</v>
      </c>
      <c r="L87" s="17">
        <f t="shared" si="8"/>
        <v>0</v>
      </c>
      <c r="M87" s="17">
        <f t="shared" si="9"/>
        <v>-1</v>
      </c>
    </row>
    <row r="88" spans="1:13" x14ac:dyDescent="0.3">
      <c r="A88" s="8" t="s">
        <v>157</v>
      </c>
      <c r="B88" s="9" t="s">
        <v>447</v>
      </c>
      <c r="C88" s="9" t="s">
        <v>16</v>
      </c>
      <c r="D88" s="9" t="s">
        <v>42</v>
      </c>
      <c r="E88" s="9" t="s">
        <v>616</v>
      </c>
      <c r="F88" s="9" t="s">
        <v>624</v>
      </c>
      <c r="G88" s="9" t="s">
        <v>618</v>
      </c>
      <c r="H88" s="10">
        <v>20</v>
      </c>
      <c r="I88" s="10"/>
      <c r="J88" s="10">
        <v>0</v>
      </c>
      <c r="K88" s="10">
        <f t="shared" si="7"/>
        <v>0</v>
      </c>
      <c r="L88" s="17">
        <f t="shared" si="8"/>
        <v>0</v>
      </c>
      <c r="M88" s="17">
        <f t="shared" si="9"/>
        <v>-1</v>
      </c>
    </row>
    <row r="89" spans="1:13" x14ac:dyDescent="0.3">
      <c r="A89" s="8" t="s">
        <v>72</v>
      </c>
      <c r="B89" s="9" t="s">
        <v>374</v>
      </c>
      <c r="C89" s="9" t="s">
        <v>14</v>
      </c>
      <c r="D89" s="9" t="s">
        <v>30</v>
      </c>
      <c r="E89" s="9" t="s">
        <v>616</v>
      </c>
      <c r="F89" s="9" t="s">
        <v>617</v>
      </c>
      <c r="G89" s="9" t="s">
        <v>620</v>
      </c>
      <c r="H89" s="10">
        <v>18293000</v>
      </c>
      <c r="I89" s="10"/>
      <c r="J89" s="10">
        <v>9852000</v>
      </c>
      <c r="K89" s="10">
        <f t="shared" si="7"/>
        <v>12216480</v>
      </c>
      <c r="L89" s="17">
        <f t="shared" si="8"/>
        <v>0</v>
      </c>
      <c r="M89" s="17">
        <f t="shared" si="9"/>
        <v>-0.33217733559284973</v>
      </c>
    </row>
    <row r="90" spans="1:13" x14ac:dyDescent="0.3">
      <c r="A90" s="8" t="s">
        <v>106</v>
      </c>
      <c r="B90" s="9" t="s">
        <v>408</v>
      </c>
      <c r="C90" s="9" t="s">
        <v>16</v>
      </c>
      <c r="D90" s="9" t="s">
        <v>34</v>
      </c>
      <c r="E90" s="9" t="s">
        <v>616</v>
      </c>
      <c r="F90" s="9" t="s">
        <v>617</v>
      </c>
      <c r="G90" s="9" t="s">
        <v>621</v>
      </c>
      <c r="H90" s="10">
        <v>999000</v>
      </c>
      <c r="I90" s="10"/>
      <c r="J90" s="10">
        <v>1756000</v>
      </c>
      <c r="K90" s="10">
        <f t="shared" si="7"/>
        <v>2177440</v>
      </c>
      <c r="L90" s="17">
        <f t="shared" si="8"/>
        <v>0</v>
      </c>
      <c r="M90" s="17">
        <f t="shared" si="9"/>
        <v>1.1796196196196196</v>
      </c>
    </row>
    <row r="91" spans="1:13" x14ac:dyDescent="0.3">
      <c r="A91" s="8" t="s">
        <v>78</v>
      </c>
      <c r="B91" s="9" t="s">
        <v>380</v>
      </c>
      <c r="C91" s="9" t="s">
        <v>16</v>
      </c>
      <c r="D91" s="9" t="s">
        <v>38</v>
      </c>
      <c r="E91" s="9" t="s">
        <v>616</v>
      </c>
      <c r="F91" s="9" t="s">
        <v>617</v>
      </c>
      <c r="G91" s="9" t="s">
        <v>621</v>
      </c>
      <c r="H91" s="10">
        <v>6410000</v>
      </c>
      <c r="I91" s="10"/>
      <c r="J91" s="10">
        <v>10511000</v>
      </c>
      <c r="K91" s="10">
        <f t="shared" si="7"/>
        <v>13033640</v>
      </c>
      <c r="L91" s="17">
        <f t="shared" si="8"/>
        <v>0</v>
      </c>
      <c r="M91" s="17">
        <f t="shared" si="9"/>
        <v>1.0333291731669267</v>
      </c>
    </row>
    <row r="92" spans="1:13" x14ac:dyDescent="0.3">
      <c r="A92" s="8" t="s">
        <v>85</v>
      </c>
      <c r="B92" s="9" t="s">
        <v>387</v>
      </c>
      <c r="C92" s="9" t="s">
        <v>16</v>
      </c>
      <c r="D92" s="9" t="s">
        <v>34</v>
      </c>
      <c r="E92" s="9" t="s">
        <v>616</v>
      </c>
      <c r="F92" s="9" t="s">
        <v>617</v>
      </c>
      <c r="G92" s="9" t="s">
        <v>621</v>
      </c>
      <c r="H92" s="10">
        <v>4012000</v>
      </c>
      <c r="I92" s="10"/>
      <c r="J92" s="10">
        <v>5100000</v>
      </c>
      <c r="K92" s="10">
        <f t="shared" si="7"/>
        <v>6324000</v>
      </c>
      <c r="L92" s="17">
        <f t="shared" si="8"/>
        <v>0</v>
      </c>
      <c r="M92" s="17">
        <f t="shared" si="9"/>
        <v>0.57627118644067798</v>
      </c>
    </row>
    <row r="93" spans="1:13" x14ac:dyDescent="0.3">
      <c r="A93" s="8" t="s">
        <v>90</v>
      </c>
      <c r="B93" s="9" t="s">
        <v>392</v>
      </c>
      <c r="C93" s="9" t="s">
        <v>16</v>
      </c>
      <c r="D93" s="9" t="s">
        <v>34</v>
      </c>
      <c r="E93" s="9" t="s">
        <v>616</v>
      </c>
      <c r="F93" s="9" t="s">
        <v>617</v>
      </c>
      <c r="G93" s="9" t="s">
        <v>621</v>
      </c>
      <c r="H93" s="10">
        <v>5800010</v>
      </c>
      <c r="I93" s="10"/>
      <c r="J93" s="10">
        <v>4550000</v>
      </c>
      <c r="K93" s="10">
        <f t="shared" si="7"/>
        <v>5642000</v>
      </c>
      <c r="L93" s="17">
        <f t="shared" si="8"/>
        <v>0</v>
      </c>
      <c r="M93" s="17">
        <f t="shared" si="9"/>
        <v>-2.7243056477488831E-2</v>
      </c>
    </row>
    <row r="94" spans="1:13" x14ac:dyDescent="0.3">
      <c r="A94" s="8" t="s">
        <v>95</v>
      </c>
      <c r="B94" s="9" t="s">
        <v>397</v>
      </c>
      <c r="C94" s="9" t="s">
        <v>16</v>
      </c>
      <c r="D94" s="9" t="s">
        <v>38</v>
      </c>
      <c r="E94" s="9" t="s">
        <v>616</v>
      </c>
      <c r="F94" s="9" t="s">
        <v>617</v>
      </c>
      <c r="G94" s="9" t="s">
        <v>621</v>
      </c>
      <c r="H94" s="10">
        <v>3300000</v>
      </c>
      <c r="I94" s="10"/>
      <c r="J94" s="10">
        <v>0</v>
      </c>
      <c r="K94" s="10">
        <f t="shared" si="7"/>
        <v>0</v>
      </c>
      <c r="L94" s="17">
        <f t="shared" si="8"/>
        <v>0</v>
      </c>
      <c r="M94" s="17">
        <f t="shared" si="9"/>
        <v>-1</v>
      </c>
    </row>
    <row r="95" spans="1:13" x14ac:dyDescent="0.3">
      <c r="A95" s="8" t="s">
        <v>158</v>
      </c>
      <c r="B95" s="9" t="s">
        <v>448</v>
      </c>
      <c r="C95" s="9" t="s">
        <v>16</v>
      </c>
      <c r="D95" s="9" t="s">
        <v>40</v>
      </c>
      <c r="E95" s="9" t="s">
        <v>616</v>
      </c>
      <c r="F95" s="9" t="s">
        <v>617</v>
      </c>
      <c r="G95" s="9" t="s">
        <v>623</v>
      </c>
      <c r="H95" s="10">
        <v>5300030</v>
      </c>
      <c r="I95" s="10"/>
      <c r="J95" s="10">
        <v>8550000</v>
      </c>
      <c r="K95" s="10">
        <f t="shared" si="7"/>
        <v>10602000</v>
      </c>
      <c r="L95" s="17">
        <f t="shared" si="8"/>
        <v>0</v>
      </c>
      <c r="M95" s="17">
        <f t="shared" si="9"/>
        <v>1.000366035663949</v>
      </c>
    </row>
    <row r="96" spans="1:13" x14ac:dyDescent="0.3">
      <c r="A96" s="8" t="s">
        <v>159</v>
      </c>
      <c r="B96" s="9" t="s">
        <v>449</v>
      </c>
      <c r="C96" s="9" t="s">
        <v>16</v>
      </c>
      <c r="D96" s="9" t="s">
        <v>40</v>
      </c>
      <c r="E96" s="9" t="s">
        <v>616</v>
      </c>
      <c r="F96" s="9" t="s">
        <v>617</v>
      </c>
      <c r="G96" s="9" t="s">
        <v>623</v>
      </c>
      <c r="H96" s="10">
        <v>7544000</v>
      </c>
      <c r="I96" s="10"/>
      <c r="J96" s="10">
        <v>26866000</v>
      </c>
      <c r="K96" s="10">
        <f t="shared" si="7"/>
        <v>33313840</v>
      </c>
      <c r="L96" s="17">
        <f t="shared" si="8"/>
        <v>0</v>
      </c>
      <c r="M96" s="17">
        <f t="shared" si="9"/>
        <v>3.4159384941675506</v>
      </c>
    </row>
    <row r="97" spans="1:13" x14ac:dyDescent="0.3">
      <c r="A97" s="8" t="s">
        <v>160</v>
      </c>
      <c r="B97" s="9" t="s">
        <v>450</v>
      </c>
      <c r="C97" s="9" t="s">
        <v>16</v>
      </c>
      <c r="D97" s="9" t="s">
        <v>40</v>
      </c>
      <c r="E97" s="9" t="s">
        <v>616</v>
      </c>
      <c r="F97" s="9" t="s">
        <v>617</v>
      </c>
      <c r="G97" s="9" t="s">
        <v>623</v>
      </c>
      <c r="H97" s="10">
        <v>7004000</v>
      </c>
      <c r="I97" s="10"/>
      <c r="J97" s="10">
        <v>11460000</v>
      </c>
      <c r="K97" s="10">
        <f t="shared" si="7"/>
        <v>14210400</v>
      </c>
      <c r="L97" s="17">
        <f t="shared" si="8"/>
        <v>0</v>
      </c>
      <c r="M97" s="17">
        <f t="shared" si="9"/>
        <v>1.0288977727013136</v>
      </c>
    </row>
    <row r="98" spans="1:13" x14ac:dyDescent="0.3">
      <c r="A98" s="8" t="s">
        <v>161</v>
      </c>
      <c r="B98" s="9" t="s">
        <v>451</v>
      </c>
      <c r="C98" s="9" t="s">
        <v>16</v>
      </c>
      <c r="D98" s="9" t="s">
        <v>36</v>
      </c>
      <c r="E98" s="9" t="s">
        <v>616</v>
      </c>
      <c r="F98" s="9" t="s">
        <v>617</v>
      </c>
      <c r="G98" s="9" t="s">
        <v>622</v>
      </c>
      <c r="H98" s="10">
        <v>850020</v>
      </c>
      <c r="I98" s="10"/>
      <c r="J98" s="10">
        <v>0</v>
      </c>
      <c r="K98" s="10">
        <f t="shared" si="7"/>
        <v>0</v>
      </c>
      <c r="L98" s="17">
        <f t="shared" si="8"/>
        <v>0</v>
      </c>
      <c r="M98" s="17">
        <f t="shared" si="9"/>
        <v>-1</v>
      </c>
    </row>
    <row r="99" spans="1:13" x14ac:dyDescent="0.3">
      <c r="A99" s="8" t="s">
        <v>107</v>
      </c>
      <c r="B99" s="9" t="s">
        <v>409</v>
      </c>
      <c r="C99" s="9" t="s">
        <v>16</v>
      </c>
      <c r="D99" s="9" t="s">
        <v>34</v>
      </c>
      <c r="E99" s="9" t="s">
        <v>616</v>
      </c>
      <c r="F99" s="9" t="s">
        <v>617</v>
      </c>
      <c r="G99" s="9" t="s">
        <v>621</v>
      </c>
      <c r="H99" s="10">
        <v>5461000</v>
      </c>
      <c r="I99" s="10"/>
      <c r="J99" s="10">
        <v>2110080</v>
      </c>
      <c r="K99" s="10">
        <f t="shared" si="7"/>
        <v>2616499.1999999997</v>
      </c>
      <c r="L99" s="17">
        <f t="shared" si="8"/>
        <v>0</v>
      </c>
      <c r="M99" s="17">
        <f t="shared" si="9"/>
        <v>-0.5208754440578649</v>
      </c>
    </row>
    <row r="100" spans="1:13" x14ac:dyDescent="0.3">
      <c r="A100" s="8" t="s">
        <v>114</v>
      </c>
      <c r="B100" s="9" t="s">
        <v>416</v>
      </c>
      <c r="C100" s="9" t="s">
        <v>16</v>
      </c>
      <c r="D100" s="9" t="s">
        <v>38</v>
      </c>
      <c r="E100" s="9" t="s">
        <v>616</v>
      </c>
      <c r="F100" s="9" t="s">
        <v>617</v>
      </c>
      <c r="G100" s="9" t="s">
        <v>621</v>
      </c>
      <c r="H100" s="10">
        <v>600000</v>
      </c>
      <c r="I100" s="10"/>
      <c r="J100" s="10">
        <v>200020</v>
      </c>
      <c r="K100" s="10">
        <f t="shared" si="7"/>
        <v>248024.80000000002</v>
      </c>
      <c r="L100" s="17">
        <f t="shared" si="8"/>
        <v>0</v>
      </c>
      <c r="M100" s="17">
        <f t="shared" si="9"/>
        <v>-0.58662533333333322</v>
      </c>
    </row>
    <row r="101" spans="1:13" x14ac:dyDescent="0.3">
      <c r="A101" s="8" t="s">
        <v>109</v>
      </c>
      <c r="B101" s="9" t="s">
        <v>411</v>
      </c>
      <c r="C101" s="9" t="s">
        <v>16</v>
      </c>
      <c r="D101" s="9" t="s">
        <v>38</v>
      </c>
      <c r="E101" s="9" t="s">
        <v>616</v>
      </c>
      <c r="F101" s="9" t="s">
        <v>617</v>
      </c>
      <c r="G101" s="9" t="s">
        <v>621</v>
      </c>
      <c r="H101" s="10">
        <v>600070</v>
      </c>
      <c r="I101" s="10"/>
      <c r="J101" s="10">
        <v>1800000</v>
      </c>
      <c r="K101" s="10">
        <f t="shared" si="7"/>
        <v>2232000</v>
      </c>
      <c r="L101" s="17">
        <f t="shared" si="8"/>
        <v>0</v>
      </c>
      <c r="M101" s="17">
        <f t="shared" si="9"/>
        <v>2.7195660506274266</v>
      </c>
    </row>
    <row r="102" spans="1:13" x14ac:dyDescent="0.3">
      <c r="A102" s="8" t="s">
        <v>87</v>
      </c>
      <c r="B102" s="9" t="s">
        <v>389</v>
      </c>
      <c r="C102" s="9" t="s">
        <v>14</v>
      </c>
      <c r="D102" s="9" t="s">
        <v>32</v>
      </c>
      <c r="E102" s="9" t="s">
        <v>616</v>
      </c>
      <c r="F102" s="9" t="s">
        <v>617</v>
      </c>
      <c r="G102" s="9" t="s">
        <v>619</v>
      </c>
      <c r="H102" s="10">
        <v>4204000</v>
      </c>
      <c r="I102" s="10"/>
      <c r="J102" s="10">
        <v>1450000</v>
      </c>
      <c r="K102" s="10">
        <f t="shared" si="7"/>
        <v>1798000</v>
      </c>
      <c r="L102" s="17">
        <f t="shared" si="8"/>
        <v>0</v>
      </c>
      <c r="M102" s="17">
        <f t="shared" si="9"/>
        <v>-0.57231208372978115</v>
      </c>
    </row>
    <row r="103" spans="1:13" x14ac:dyDescent="0.3">
      <c r="A103" s="8" t="s">
        <v>162</v>
      </c>
      <c r="B103" s="9" t="s">
        <v>452</v>
      </c>
      <c r="C103" s="9" t="s">
        <v>16</v>
      </c>
      <c r="D103" s="9" t="s">
        <v>40</v>
      </c>
      <c r="E103" s="9" t="s">
        <v>616</v>
      </c>
      <c r="F103" s="9" t="s">
        <v>617</v>
      </c>
      <c r="G103" s="9" t="s">
        <v>623</v>
      </c>
      <c r="H103" s="10">
        <v>4406000</v>
      </c>
      <c r="I103" s="10"/>
      <c r="J103" s="10">
        <v>5626000</v>
      </c>
      <c r="K103" s="10">
        <f t="shared" si="7"/>
        <v>6976240</v>
      </c>
      <c r="L103" s="17">
        <f t="shared" si="8"/>
        <v>0</v>
      </c>
      <c r="M103" s="17">
        <f t="shared" si="9"/>
        <v>0.58334997730367677</v>
      </c>
    </row>
    <row r="104" spans="1:13" x14ac:dyDescent="0.3">
      <c r="A104" s="8" t="s">
        <v>66</v>
      </c>
      <c r="B104" s="9" t="s">
        <v>368</v>
      </c>
      <c r="C104" s="9" t="s">
        <v>14</v>
      </c>
      <c r="D104" s="9" t="s">
        <v>28</v>
      </c>
      <c r="E104" s="9" t="s">
        <v>616</v>
      </c>
      <c r="F104" s="9" t="s">
        <v>617</v>
      </c>
      <c r="G104" s="9" t="s">
        <v>620</v>
      </c>
      <c r="H104" s="10">
        <v>6410000</v>
      </c>
      <c r="I104" s="10"/>
      <c r="J104" s="10">
        <v>900000</v>
      </c>
      <c r="K104" s="10">
        <f t="shared" si="7"/>
        <v>1116000</v>
      </c>
      <c r="L104" s="17">
        <f t="shared" si="8"/>
        <v>0</v>
      </c>
      <c r="M104" s="17">
        <f t="shared" si="9"/>
        <v>-0.82589703588143526</v>
      </c>
    </row>
    <row r="105" spans="1:13" x14ac:dyDescent="0.3">
      <c r="A105" s="8" t="s">
        <v>112</v>
      </c>
      <c r="B105" s="9" t="s">
        <v>414</v>
      </c>
      <c r="C105" s="9" t="s">
        <v>14</v>
      </c>
      <c r="D105" s="9" t="s">
        <v>32</v>
      </c>
      <c r="E105" s="9" t="s">
        <v>616</v>
      </c>
      <c r="F105" s="9" t="s">
        <v>617</v>
      </c>
      <c r="G105" s="9" t="s">
        <v>619</v>
      </c>
      <c r="H105" s="10">
        <v>3392020</v>
      </c>
      <c r="I105" s="10"/>
      <c r="J105" s="10">
        <v>707000</v>
      </c>
      <c r="K105" s="10">
        <f t="shared" si="7"/>
        <v>876680</v>
      </c>
      <c r="L105" s="17">
        <f t="shared" si="8"/>
        <v>0</v>
      </c>
      <c r="M105" s="17">
        <f t="shared" si="9"/>
        <v>-0.74154633522208002</v>
      </c>
    </row>
    <row r="106" spans="1:13" x14ac:dyDescent="0.3">
      <c r="A106" s="8" t="s">
        <v>33</v>
      </c>
      <c r="B106" s="9" t="s">
        <v>343</v>
      </c>
      <c r="C106" s="9" t="s">
        <v>16</v>
      </c>
      <c r="D106" s="9" t="s">
        <v>36</v>
      </c>
      <c r="E106" s="9" t="s">
        <v>616</v>
      </c>
      <c r="F106" s="9" t="s">
        <v>617</v>
      </c>
      <c r="G106" s="9" t="s">
        <v>622</v>
      </c>
      <c r="H106" s="10">
        <v>3107000</v>
      </c>
      <c r="I106" s="10"/>
      <c r="J106" s="10">
        <v>900000</v>
      </c>
      <c r="K106" s="10">
        <f t="shared" si="7"/>
        <v>1116000</v>
      </c>
      <c r="L106" s="17">
        <f t="shared" si="8"/>
        <v>0</v>
      </c>
      <c r="M106" s="17">
        <f t="shared" si="9"/>
        <v>-0.6408110717734149</v>
      </c>
    </row>
    <row r="107" spans="1:13" x14ac:dyDescent="0.3">
      <c r="A107" s="8" t="s">
        <v>105</v>
      </c>
      <c r="B107" s="9" t="s">
        <v>407</v>
      </c>
      <c r="C107" s="9" t="s">
        <v>14</v>
      </c>
      <c r="D107" s="9" t="s">
        <v>32</v>
      </c>
      <c r="E107" s="9" t="s">
        <v>616</v>
      </c>
      <c r="F107" s="9" t="s">
        <v>617</v>
      </c>
      <c r="G107" s="9" t="s">
        <v>619</v>
      </c>
      <c r="H107" s="10">
        <v>4721440</v>
      </c>
      <c r="I107" s="10"/>
      <c r="J107" s="10">
        <v>2525400</v>
      </c>
      <c r="K107" s="10">
        <f t="shared" si="7"/>
        <v>3131496</v>
      </c>
      <c r="L107" s="17">
        <f t="shared" si="8"/>
        <v>0</v>
      </c>
      <c r="M107" s="17">
        <f t="shared" si="9"/>
        <v>-0.33674980514419328</v>
      </c>
    </row>
    <row r="108" spans="1:13" x14ac:dyDescent="0.3">
      <c r="A108" s="8" t="s">
        <v>94</v>
      </c>
      <c r="B108" s="9" t="s">
        <v>396</v>
      </c>
      <c r="C108" s="9" t="s">
        <v>14</v>
      </c>
      <c r="D108" s="9" t="s">
        <v>32</v>
      </c>
      <c r="E108" s="9" t="s">
        <v>616</v>
      </c>
      <c r="F108" s="9" t="s">
        <v>617</v>
      </c>
      <c r="G108" s="9" t="s">
        <v>619</v>
      </c>
      <c r="H108" s="10">
        <v>6140000</v>
      </c>
      <c r="I108" s="10"/>
      <c r="J108" s="10">
        <v>7454000</v>
      </c>
      <c r="K108" s="10">
        <f t="shared" si="7"/>
        <v>9242960</v>
      </c>
      <c r="L108" s="17">
        <f t="shared" si="8"/>
        <v>0</v>
      </c>
      <c r="M108" s="17">
        <f t="shared" si="9"/>
        <v>0.5053680781758958</v>
      </c>
    </row>
    <row r="109" spans="1:13" x14ac:dyDescent="0.3">
      <c r="A109" s="8" t="s">
        <v>103</v>
      </c>
      <c r="B109" s="9" t="s">
        <v>405</v>
      </c>
      <c r="C109" s="9" t="s">
        <v>14</v>
      </c>
      <c r="D109" s="9" t="s">
        <v>26</v>
      </c>
      <c r="E109" s="9" t="s">
        <v>616</v>
      </c>
      <c r="F109" s="9" t="s">
        <v>617</v>
      </c>
      <c r="G109" s="9" t="s">
        <v>619</v>
      </c>
      <c r="H109" s="10">
        <v>2850000</v>
      </c>
      <c r="I109" s="10"/>
      <c r="J109" s="10">
        <v>2600000</v>
      </c>
      <c r="K109" s="10">
        <f t="shared" si="7"/>
        <v>3224000</v>
      </c>
      <c r="L109" s="17">
        <f t="shared" si="8"/>
        <v>0</v>
      </c>
      <c r="M109" s="17">
        <f t="shared" si="9"/>
        <v>0.13122807017543861</v>
      </c>
    </row>
    <row r="110" spans="1:13" x14ac:dyDescent="0.3">
      <c r="A110" s="8" t="s">
        <v>108</v>
      </c>
      <c r="B110" s="9" t="s">
        <v>410</v>
      </c>
      <c r="C110" s="9" t="s">
        <v>14</v>
      </c>
      <c r="D110" s="9" t="s">
        <v>24</v>
      </c>
      <c r="E110" s="9" t="s">
        <v>616</v>
      </c>
      <c r="F110" s="9" t="s">
        <v>617</v>
      </c>
      <c r="G110" s="9" t="s">
        <v>619</v>
      </c>
      <c r="H110" s="10">
        <v>2748000</v>
      </c>
      <c r="I110" s="10"/>
      <c r="J110" s="10">
        <v>1607000</v>
      </c>
      <c r="K110" s="10">
        <f t="shared" si="7"/>
        <v>1992680</v>
      </c>
      <c r="L110" s="17">
        <f t="shared" si="8"/>
        <v>0</v>
      </c>
      <c r="M110" s="17">
        <f t="shared" si="9"/>
        <v>-0.27486171761280931</v>
      </c>
    </row>
    <row r="111" spans="1:13" x14ac:dyDescent="0.3">
      <c r="A111" s="8" t="s">
        <v>113</v>
      </c>
      <c r="B111" s="9" t="s">
        <v>415</v>
      </c>
      <c r="C111" s="9" t="s">
        <v>14</v>
      </c>
      <c r="D111" s="9" t="s">
        <v>24</v>
      </c>
      <c r="E111" s="9" t="s">
        <v>616</v>
      </c>
      <c r="F111" s="9" t="s">
        <v>617</v>
      </c>
      <c r="G111" s="9" t="s">
        <v>619</v>
      </c>
      <c r="H111" s="10">
        <v>2364000</v>
      </c>
      <c r="I111" s="10"/>
      <c r="J111" s="10">
        <v>1607000</v>
      </c>
      <c r="K111" s="10">
        <f t="shared" si="7"/>
        <v>1992680</v>
      </c>
      <c r="L111" s="17">
        <f t="shared" si="8"/>
        <v>0</v>
      </c>
      <c r="M111" s="17">
        <f t="shared" si="9"/>
        <v>-0.15707275803722504</v>
      </c>
    </row>
    <row r="112" spans="1:13" x14ac:dyDescent="0.3">
      <c r="A112" s="8" t="s">
        <v>163</v>
      </c>
      <c r="B112" s="9" t="s">
        <v>453</v>
      </c>
      <c r="C112" s="9" t="s">
        <v>14</v>
      </c>
      <c r="D112" s="9" t="s">
        <v>26</v>
      </c>
      <c r="E112" s="9" t="s">
        <v>616</v>
      </c>
      <c r="F112" s="9" t="s">
        <v>617</v>
      </c>
      <c r="G112" s="9" t="s">
        <v>619</v>
      </c>
      <c r="H112" s="10">
        <v>7012000</v>
      </c>
      <c r="I112" s="10"/>
      <c r="J112" s="10">
        <v>7007000</v>
      </c>
      <c r="K112" s="10">
        <f t="shared" si="7"/>
        <v>8688680</v>
      </c>
      <c r="L112" s="17">
        <f t="shared" si="8"/>
        <v>0</v>
      </c>
      <c r="M112" s="17">
        <f t="shared" si="9"/>
        <v>0.23911580148317171</v>
      </c>
    </row>
    <row r="113" spans="1:13" x14ac:dyDescent="0.3">
      <c r="A113" s="8" t="s">
        <v>98</v>
      </c>
      <c r="B113" s="9" t="s">
        <v>400</v>
      </c>
      <c r="C113" s="9" t="s">
        <v>16</v>
      </c>
      <c r="D113" s="9" t="s">
        <v>22</v>
      </c>
      <c r="E113" s="9" t="s">
        <v>616</v>
      </c>
      <c r="F113" s="9" t="s">
        <v>617</v>
      </c>
      <c r="G113" s="9" t="s">
        <v>618</v>
      </c>
      <c r="H113" s="10">
        <v>2943000</v>
      </c>
      <c r="I113" s="10"/>
      <c r="J113" s="10">
        <v>3070000</v>
      </c>
      <c r="K113" s="10">
        <f t="shared" si="7"/>
        <v>3806800</v>
      </c>
      <c r="L113" s="17">
        <f t="shared" si="8"/>
        <v>0</v>
      </c>
      <c r="M113" s="17">
        <f t="shared" si="9"/>
        <v>0.29351002378525315</v>
      </c>
    </row>
    <row r="114" spans="1:13" x14ac:dyDescent="0.3">
      <c r="A114" s="8" t="s">
        <v>86</v>
      </c>
      <c r="B114" s="9" t="s">
        <v>388</v>
      </c>
      <c r="C114" s="9" t="s">
        <v>16</v>
      </c>
      <c r="D114" s="9" t="s">
        <v>36</v>
      </c>
      <c r="E114" s="9" t="s">
        <v>616</v>
      </c>
      <c r="F114" s="9" t="s">
        <v>617</v>
      </c>
      <c r="G114" s="9" t="s">
        <v>622</v>
      </c>
      <c r="H114" s="10">
        <v>4650000</v>
      </c>
      <c r="I114" s="10"/>
      <c r="J114" s="10">
        <v>1060020</v>
      </c>
      <c r="K114" s="10">
        <f t="shared" si="7"/>
        <v>1314424.8</v>
      </c>
      <c r="L114" s="17">
        <f t="shared" si="8"/>
        <v>0</v>
      </c>
      <c r="M114" s="17">
        <f t="shared" si="9"/>
        <v>-0.71732800000000008</v>
      </c>
    </row>
    <row r="115" spans="1:13" x14ac:dyDescent="0.3">
      <c r="A115" s="8" t="s">
        <v>164</v>
      </c>
      <c r="B115" s="9" t="s">
        <v>454</v>
      </c>
      <c r="C115" s="9" t="s">
        <v>16</v>
      </c>
      <c r="D115" s="9" t="s">
        <v>34</v>
      </c>
      <c r="E115" s="9" t="s">
        <v>616</v>
      </c>
      <c r="F115" s="9" t="s">
        <v>617</v>
      </c>
      <c r="G115" s="9" t="s">
        <v>621</v>
      </c>
      <c r="H115" s="10">
        <v>856000</v>
      </c>
      <c r="I115" s="10"/>
      <c r="J115" s="10">
        <v>656000</v>
      </c>
      <c r="K115" s="10">
        <f t="shared" si="7"/>
        <v>813440</v>
      </c>
      <c r="L115" s="17">
        <f t="shared" si="8"/>
        <v>0</v>
      </c>
      <c r="M115" s="17">
        <f t="shared" si="9"/>
        <v>-4.9719626168224298E-2</v>
      </c>
    </row>
    <row r="116" spans="1:13" x14ac:dyDescent="0.3">
      <c r="A116" s="8" t="s">
        <v>115</v>
      </c>
      <c r="B116" s="9" t="s">
        <v>417</v>
      </c>
      <c r="C116" s="9" t="s">
        <v>16</v>
      </c>
      <c r="D116" s="9" t="s">
        <v>34</v>
      </c>
      <c r="E116" s="9" t="s">
        <v>616</v>
      </c>
      <c r="F116" s="9" t="s">
        <v>617</v>
      </c>
      <c r="G116" s="9" t="s">
        <v>621</v>
      </c>
      <c r="H116" s="10">
        <v>2349000</v>
      </c>
      <c r="I116" s="10"/>
      <c r="J116" s="10">
        <v>600010</v>
      </c>
      <c r="K116" s="10">
        <f t="shared" si="7"/>
        <v>744012.4</v>
      </c>
      <c r="L116" s="17">
        <f t="shared" si="8"/>
        <v>0</v>
      </c>
      <c r="M116" s="17">
        <f t="shared" si="9"/>
        <v>-0.6832641975308642</v>
      </c>
    </row>
    <row r="117" spans="1:13" x14ac:dyDescent="0.3">
      <c r="A117" s="8" t="s">
        <v>165</v>
      </c>
      <c r="B117" s="9" t="s">
        <v>455</v>
      </c>
      <c r="C117" s="9" t="s">
        <v>14</v>
      </c>
      <c r="D117" s="9" t="s">
        <v>28</v>
      </c>
      <c r="E117" s="9" t="s">
        <v>616</v>
      </c>
      <c r="F117" s="9" t="s">
        <v>617</v>
      </c>
      <c r="G117" s="9" t="s">
        <v>620</v>
      </c>
      <c r="H117" s="10">
        <v>4330000</v>
      </c>
      <c r="I117" s="10"/>
      <c r="J117" s="10">
        <v>1800000</v>
      </c>
      <c r="K117" s="10">
        <f t="shared" si="7"/>
        <v>2232000</v>
      </c>
      <c r="L117" s="17">
        <f t="shared" si="8"/>
        <v>0</v>
      </c>
      <c r="M117" s="17">
        <f t="shared" si="9"/>
        <v>-0.48452655889145496</v>
      </c>
    </row>
    <row r="118" spans="1:13" x14ac:dyDescent="0.3">
      <c r="A118" s="8" t="s">
        <v>56</v>
      </c>
      <c r="B118" s="9" t="s">
        <v>360</v>
      </c>
      <c r="C118" s="9" t="s">
        <v>16</v>
      </c>
      <c r="D118" s="9" t="s">
        <v>44</v>
      </c>
      <c r="E118" s="9" t="s">
        <v>616</v>
      </c>
      <c r="F118" s="9" t="s">
        <v>617</v>
      </c>
      <c r="G118" s="9" t="s">
        <v>622</v>
      </c>
      <c r="H118" s="10">
        <v>38512000</v>
      </c>
      <c r="I118" s="10"/>
      <c r="J118" s="10">
        <v>27995000</v>
      </c>
      <c r="K118" s="10">
        <f t="shared" si="7"/>
        <v>34713800</v>
      </c>
      <c r="L118" s="17">
        <f t="shared" si="8"/>
        <v>0</v>
      </c>
      <c r="M118" s="17">
        <f t="shared" si="9"/>
        <v>-9.8623805567095976E-2</v>
      </c>
    </row>
    <row r="119" spans="1:13" x14ac:dyDescent="0.3">
      <c r="A119" s="8" t="s">
        <v>166</v>
      </c>
      <c r="B119" s="9" t="s">
        <v>456</v>
      </c>
      <c r="C119" s="9" t="s">
        <v>16</v>
      </c>
      <c r="D119" s="9" t="s">
        <v>34</v>
      </c>
      <c r="E119" s="9" t="s">
        <v>616</v>
      </c>
      <c r="F119" s="9" t="s">
        <v>617</v>
      </c>
      <c r="G119" s="9" t="s">
        <v>621</v>
      </c>
      <c r="H119" s="10">
        <v>3350000</v>
      </c>
      <c r="I119" s="10"/>
      <c r="J119" s="10">
        <v>2200000</v>
      </c>
      <c r="K119" s="10">
        <f t="shared" si="7"/>
        <v>2728000</v>
      </c>
      <c r="L119" s="17">
        <f t="shared" si="8"/>
        <v>0</v>
      </c>
      <c r="M119" s="17">
        <f t="shared" si="9"/>
        <v>-0.18567164179104478</v>
      </c>
    </row>
    <row r="120" spans="1:13" x14ac:dyDescent="0.3">
      <c r="A120" s="8" t="s">
        <v>233</v>
      </c>
      <c r="B120" s="9" t="s">
        <v>523</v>
      </c>
      <c r="C120" s="9" t="s">
        <v>14</v>
      </c>
      <c r="D120" s="9" t="s">
        <v>30</v>
      </c>
      <c r="E120" s="9" t="s">
        <v>616</v>
      </c>
      <c r="F120" s="9" t="s">
        <v>617</v>
      </c>
      <c r="G120" s="9" t="s">
        <v>620</v>
      </c>
      <c r="H120" s="10">
        <v>7698000</v>
      </c>
      <c r="I120" s="10"/>
      <c r="J120" s="10">
        <v>12041000</v>
      </c>
      <c r="K120" s="10">
        <f t="shared" si="7"/>
        <v>14930840</v>
      </c>
      <c r="L120" s="17">
        <f t="shared" si="8"/>
        <v>0</v>
      </c>
      <c r="M120" s="17">
        <f t="shared" si="9"/>
        <v>0.93957391530267598</v>
      </c>
    </row>
    <row r="121" spans="1:13" x14ac:dyDescent="0.3">
      <c r="A121" s="8" t="s">
        <v>231</v>
      </c>
      <c r="B121" s="9" t="s">
        <v>521</v>
      </c>
      <c r="C121" s="9" t="s">
        <v>14</v>
      </c>
      <c r="D121" s="9" t="s">
        <v>24</v>
      </c>
      <c r="E121" s="9" t="s">
        <v>616</v>
      </c>
      <c r="F121" s="9" t="s">
        <v>617</v>
      </c>
      <c r="G121" s="9" t="s">
        <v>619</v>
      </c>
      <c r="H121" s="10">
        <v>10465510</v>
      </c>
      <c r="I121" s="10"/>
      <c r="J121" s="10">
        <v>16878020</v>
      </c>
      <c r="K121" s="10">
        <f t="shared" si="7"/>
        <v>20928744.800000001</v>
      </c>
      <c r="L121" s="17">
        <f t="shared" si="8"/>
        <v>0</v>
      </c>
      <c r="M121" s="17">
        <f t="shared" si="9"/>
        <v>0.9997826001790644</v>
      </c>
    </row>
    <row r="122" spans="1:13" x14ac:dyDescent="0.3">
      <c r="A122" s="8" t="s">
        <v>39</v>
      </c>
      <c r="B122" s="9" t="s">
        <v>346</v>
      </c>
      <c r="C122" s="9" t="s">
        <v>16</v>
      </c>
      <c r="D122" s="9" t="s">
        <v>38</v>
      </c>
      <c r="E122" s="9" t="s">
        <v>616</v>
      </c>
      <c r="F122" s="9" t="s">
        <v>617</v>
      </c>
      <c r="G122" s="9" t="s">
        <v>621</v>
      </c>
      <c r="H122" s="10">
        <v>61003000</v>
      </c>
      <c r="I122" s="10"/>
      <c r="J122" s="10">
        <v>58922000</v>
      </c>
      <c r="K122" s="10">
        <f t="shared" si="7"/>
        <v>73063280</v>
      </c>
      <c r="L122" s="17">
        <f t="shared" si="8"/>
        <v>0</v>
      </c>
      <c r="M122" s="17">
        <f t="shared" si="9"/>
        <v>0.19769978525646278</v>
      </c>
    </row>
    <row r="123" spans="1:13" x14ac:dyDescent="0.3">
      <c r="A123" s="8" t="s">
        <v>167</v>
      </c>
      <c r="B123" s="9" t="s">
        <v>457</v>
      </c>
      <c r="C123" s="9" t="s">
        <v>16</v>
      </c>
      <c r="D123" s="9" t="s">
        <v>44</v>
      </c>
      <c r="E123" s="9" t="s">
        <v>616</v>
      </c>
      <c r="F123" s="9" t="s">
        <v>617</v>
      </c>
      <c r="G123" s="9" t="s">
        <v>622</v>
      </c>
      <c r="H123" s="10">
        <v>97933000</v>
      </c>
      <c r="I123" s="10"/>
      <c r="J123" s="10">
        <v>99350000</v>
      </c>
      <c r="K123" s="10">
        <f t="shared" si="7"/>
        <v>123194000</v>
      </c>
      <c r="L123" s="17">
        <f t="shared" si="8"/>
        <v>0</v>
      </c>
      <c r="M123" s="17">
        <f t="shared" si="9"/>
        <v>0.25794165398793051</v>
      </c>
    </row>
    <row r="124" spans="1:13" x14ac:dyDescent="0.3">
      <c r="A124" s="8" t="s">
        <v>37</v>
      </c>
      <c r="B124" s="9" t="s">
        <v>345</v>
      </c>
      <c r="C124" s="9" t="s">
        <v>16</v>
      </c>
      <c r="D124" s="9" t="s">
        <v>38</v>
      </c>
      <c r="E124" s="9" t="s">
        <v>616</v>
      </c>
      <c r="F124" s="9" t="s">
        <v>617</v>
      </c>
      <c r="G124" s="9" t="s">
        <v>621</v>
      </c>
      <c r="H124" s="10">
        <v>118697000</v>
      </c>
      <c r="I124" s="10"/>
      <c r="J124" s="10">
        <v>92416000</v>
      </c>
      <c r="K124" s="10">
        <f t="shared" si="7"/>
        <v>114595840</v>
      </c>
      <c r="L124" s="17">
        <f t="shared" si="8"/>
        <v>0</v>
      </c>
      <c r="M124" s="17">
        <f t="shared" si="9"/>
        <v>-3.4551505092799313E-2</v>
      </c>
    </row>
    <row r="125" spans="1:13" x14ac:dyDescent="0.3">
      <c r="A125" s="8" t="s">
        <v>13</v>
      </c>
      <c r="B125" s="9" t="s">
        <v>332</v>
      </c>
      <c r="C125" s="9" t="s">
        <v>16</v>
      </c>
      <c r="D125" s="9" t="s">
        <v>22</v>
      </c>
      <c r="E125" s="9" t="s">
        <v>616</v>
      </c>
      <c r="F125" s="9" t="s">
        <v>617</v>
      </c>
      <c r="G125" s="9" t="s">
        <v>618</v>
      </c>
      <c r="H125" s="10">
        <v>38964000</v>
      </c>
      <c r="I125" s="10"/>
      <c r="J125" s="10">
        <v>45662000</v>
      </c>
      <c r="K125" s="10">
        <f t="shared" si="7"/>
        <v>56620880</v>
      </c>
      <c r="L125" s="17">
        <f t="shared" si="8"/>
        <v>0</v>
      </c>
      <c r="M125" s="17">
        <f t="shared" si="9"/>
        <v>0.45315881326352531</v>
      </c>
    </row>
    <row r="126" spans="1:13" x14ac:dyDescent="0.3">
      <c r="A126" s="8" t="s">
        <v>61</v>
      </c>
      <c r="B126" s="9" t="s">
        <v>364</v>
      </c>
      <c r="C126" s="9" t="s">
        <v>16</v>
      </c>
      <c r="D126" s="9" t="s">
        <v>44</v>
      </c>
      <c r="E126" s="9" t="s">
        <v>616</v>
      </c>
      <c r="F126" s="9" t="s">
        <v>617</v>
      </c>
      <c r="G126" s="9" t="s">
        <v>622</v>
      </c>
      <c r="H126" s="10">
        <v>5350000</v>
      </c>
      <c r="I126" s="10"/>
      <c r="J126" s="10">
        <v>4921000</v>
      </c>
      <c r="K126" s="10">
        <f t="shared" si="7"/>
        <v>6102040</v>
      </c>
      <c r="L126" s="17">
        <f t="shared" si="8"/>
        <v>0</v>
      </c>
      <c r="M126" s="17">
        <f t="shared" si="9"/>
        <v>0.14056822429906543</v>
      </c>
    </row>
    <row r="127" spans="1:13" x14ac:dyDescent="0.3">
      <c r="A127" s="8" t="s">
        <v>29</v>
      </c>
      <c r="B127" s="9" t="s">
        <v>341</v>
      </c>
      <c r="C127" s="9" t="s">
        <v>16</v>
      </c>
      <c r="D127" s="9" t="s">
        <v>34</v>
      </c>
      <c r="E127" s="9" t="s">
        <v>616</v>
      </c>
      <c r="F127" s="9" t="s">
        <v>617</v>
      </c>
      <c r="G127" s="9" t="s">
        <v>621</v>
      </c>
      <c r="H127" s="10">
        <v>1799000</v>
      </c>
      <c r="I127" s="10"/>
      <c r="J127" s="10">
        <v>2060000</v>
      </c>
      <c r="K127" s="10">
        <f t="shared" si="7"/>
        <v>2554400</v>
      </c>
      <c r="L127" s="17">
        <f t="shared" si="8"/>
        <v>0</v>
      </c>
      <c r="M127" s="17">
        <f t="shared" si="9"/>
        <v>0.4198999444135631</v>
      </c>
    </row>
    <row r="128" spans="1:13" x14ac:dyDescent="0.3">
      <c r="A128" s="8" t="s">
        <v>48</v>
      </c>
      <c r="B128" s="9" t="s">
        <v>352</v>
      </c>
      <c r="C128" s="9" t="s">
        <v>16</v>
      </c>
      <c r="D128" s="9" t="s">
        <v>42</v>
      </c>
      <c r="E128" s="9" t="s">
        <v>616</v>
      </c>
      <c r="F128" s="9" t="s">
        <v>617</v>
      </c>
      <c r="G128" s="9" t="s">
        <v>618</v>
      </c>
      <c r="H128" s="10">
        <v>1750000</v>
      </c>
      <c r="I128" s="10"/>
      <c r="J128" s="10">
        <v>6118000</v>
      </c>
      <c r="K128" s="10">
        <f t="shared" si="7"/>
        <v>7586320</v>
      </c>
      <c r="L128" s="17">
        <f t="shared" si="8"/>
        <v>0</v>
      </c>
      <c r="M128" s="17">
        <f t="shared" si="9"/>
        <v>3.3350399999999998</v>
      </c>
    </row>
    <row r="129" spans="1:13" x14ac:dyDescent="0.3">
      <c r="A129" s="8" t="s">
        <v>25</v>
      </c>
      <c r="B129" s="9" t="s">
        <v>339</v>
      </c>
      <c r="C129" s="9" t="s">
        <v>14</v>
      </c>
      <c r="D129" s="9" t="s">
        <v>26</v>
      </c>
      <c r="E129" s="9" t="s">
        <v>616</v>
      </c>
      <c r="F129" s="9" t="s">
        <v>617</v>
      </c>
      <c r="G129" s="9" t="s">
        <v>619</v>
      </c>
      <c r="H129" s="10">
        <v>2264000</v>
      </c>
      <c r="I129" s="10"/>
      <c r="J129" s="10">
        <v>2820000</v>
      </c>
      <c r="K129" s="10">
        <f t="shared" si="7"/>
        <v>3496800</v>
      </c>
      <c r="L129" s="17">
        <f t="shared" si="8"/>
        <v>0</v>
      </c>
      <c r="M129" s="17">
        <f t="shared" si="9"/>
        <v>0.54452296819787982</v>
      </c>
    </row>
    <row r="130" spans="1:13" x14ac:dyDescent="0.3">
      <c r="A130" s="8" t="s">
        <v>168</v>
      </c>
      <c r="B130" s="9" t="s">
        <v>458</v>
      </c>
      <c r="C130" s="9" t="s">
        <v>14</v>
      </c>
      <c r="D130" s="9" t="s">
        <v>24</v>
      </c>
      <c r="E130" s="9" t="s">
        <v>616</v>
      </c>
      <c r="F130" s="9" t="s">
        <v>617</v>
      </c>
      <c r="G130" s="9" t="s">
        <v>619</v>
      </c>
      <c r="H130" s="10">
        <v>153137000</v>
      </c>
      <c r="I130" s="10"/>
      <c r="J130" s="10">
        <v>149989010</v>
      </c>
      <c r="K130" s="10">
        <f t="shared" si="7"/>
        <v>185986372.40000001</v>
      </c>
      <c r="L130" s="17">
        <f t="shared" si="8"/>
        <v>0</v>
      </c>
      <c r="M130" s="17">
        <f t="shared" si="9"/>
        <v>0.21450970307633038</v>
      </c>
    </row>
    <row r="131" spans="1:13" x14ac:dyDescent="0.3">
      <c r="A131" s="8" t="s">
        <v>63</v>
      </c>
      <c r="B131" s="9" t="s">
        <v>365</v>
      </c>
      <c r="C131" s="9" t="s">
        <v>16</v>
      </c>
      <c r="D131" s="9" t="s">
        <v>22</v>
      </c>
      <c r="E131" s="9" t="s">
        <v>616</v>
      </c>
      <c r="F131" s="9" t="s">
        <v>617</v>
      </c>
      <c r="G131" s="9" t="s">
        <v>618</v>
      </c>
      <c r="H131" s="10">
        <v>850000</v>
      </c>
      <c r="I131" s="10"/>
      <c r="J131" s="10">
        <v>3860010</v>
      </c>
      <c r="K131" s="10">
        <f t="shared" si="7"/>
        <v>4786412.3999999994</v>
      </c>
      <c r="L131" s="17">
        <f t="shared" si="8"/>
        <v>0</v>
      </c>
      <c r="M131" s="17">
        <f t="shared" si="9"/>
        <v>4.6310734117647057</v>
      </c>
    </row>
    <row r="132" spans="1:13" x14ac:dyDescent="0.3">
      <c r="A132" s="8" t="s">
        <v>71</v>
      </c>
      <c r="B132" s="9" t="s">
        <v>373</v>
      </c>
      <c r="C132" s="9" t="s">
        <v>16</v>
      </c>
      <c r="D132" s="9" t="s">
        <v>44</v>
      </c>
      <c r="E132" s="9" t="s">
        <v>616</v>
      </c>
      <c r="F132" s="9" t="s">
        <v>617</v>
      </c>
      <c r="G132" s="9" t="s">
        <v>622</v>
      </c>
      <c r="H132" s="10">
        <v>707000</v>
      </c>
      <c r="I132" s="10"/>
      <c r="J132" s="10">
        <v>3535000</v>
      </c>
      <c r="K132" s="10">
        <f t="shared" si="7"/>
        <v>4383400</v>
      </c>
      <c r="L132" s="17">
        <f t="shared" si="8"/>
        <v>0</v>
      </c>
      <c r="M132" s="17">
        <f t="shared" si="9"/>
        <v>5.2</v>
      </c>
    </row>
    <row r="133" spans="1:13" x14ac:dyDescent="0.3">
      <c r="A133" s="8" t="s">
        <v>252</v>
      </c>
      <c r="B133" s="9" t="s">
        <v>541</v>
      </c>
      <c r="C133" s="9" t="s">
        <v>14</v>
      </c>
      <c r="D133" s="9" t="s">
        <v>24</v>
      </c>
      <c r="E133" s="9" t="s">
        <v>616</v>
      </c>
      <c r="F133" s="9" t="s">
        <v>624</v>
      </c>
      <c r="G133" s="9" t="s">
        <v>619</v>
      </c>
      <c r="H133" s="10">
        <v>0</v>
      </c>
      <c r="I133" s="10"/>
      <c r="J133" s="10">
        <v>0</v>
      </c>
      <c r="K133" s="10">
        <f t="shared" si="7"/>
        <v>0</v>
      </c>
      <c r="L133" s="17">
        <f t="shared" si="8"/>
        <v>0</v>
      </c>
      <c r="M133" s="17">
        <f t="shared" si="9"/>
        <v>0</v>
      </c>
    </row>
    <row r="134" spans="1:13" x14ac:dyDescent="0.3">
      <c r="A134" s="8" t="s">
        <v>68</v>
      </c>
      <c r="B134" s="9" t="s">
        <v>370</v>
      </c>
      <c r="C134" s="9" t="s">
        <v>16</v>
      </c>
      <c r="D134" s="9" t="s">
        <v>38</v>
      </c>
      <c r="E134" s="9" t="s">
        <v>616</v>
      </c>
      <c r="F134" s="9" t="s">
        <v>617</v>
      </c>
      <c r="G134" s="9" t="s">
        <v>622</v>
      </c>
      <c r="H134" s="10">
        <v>3664000</v>
      </c>
      <c r="I134" s="10"/>
      <c r="J134" s="10">
        <v>4828000</v>
      </c>
      <c r="K134" s="10">
        <f t="shared" si="7"/>
        <v>5986720</v>
      </c>
      <c r="L134" s="17">
        <f t="shared" si="8"/>
        <v>0</v>
      </c>
      <c r="M134" s="17">
        <f t="shared" si="9"/>
        <v>0.63393013100436679</v>
      </c>
    </row>
    <row r="135" spans="1:13" x14ac:dyDescent="0.3">
      <c r="A135" s="8" t="s">
        <v>74</v>
      </c>
      <c r="B135" s="9" t="s">
        <v>376</v>
      </c>
      <c r="C135" s="9" t="s">
        <v>16</v>
      </c>
      <c r="D135" s="9" t="s">
        <v>34</v>
      </c>
      <c r="E135" s="9" t="s">
        <v>616</v>
      </c>
      <c r="F135" s="9" t="s">
        <v>617</v>
      </c>
      <c r="G135" s="9" t="s">
        <v>621</v>
      </c>
      <c r="H135" s="10">
        <v>5971000</v>
      </c>
      <c r="I135" s="10"/>
      <c r="J135" s="10">
        <v>5417000</v>
      </c>
      <c r="K135" s="10">
        <f t="shared" si="7"/>
        <v>6717080</v>
      </c>
      <c r="L135" s="17">
        <f t="shared" si="8"/>
        <v>0</v>
      </c>
      <c r="M135" s="17">
        <f t="shared" si="9"/>
        <v>0.12495059454027801</v>
      </c>
    </row>
    <row r="136" spans="1:13" x14ac:dyDescent="0.3">
      <c r="A136" s="8" t="s">
        <v>70</v>
      </c>
      <c r="B136" s="9" t="s">
        <v>372</v>
      </c>
      <c r="C136" s="9" t="s">
        <v>16</v>
      </c>
      <c r="D136" s="9" t="s">
        <v>42</v>
      </c>
      <c r="E136" s="9" t="s">
        <v>616</v>
      </c>
      <c r="F136" s="9" t="s">
        <v>617</v>
      </c>
      <c r="G136" s="9" t="s">
        <v>618</v>
      </c>
      <c r="H136" s="10">
        <v>4325550</v>
      </c>
      <c r="I136" s="10"/>
      <c r="J136" s="10">
        <v>5097000</v>
      </c>
      <c r="K136" s="10">
        <f t="shared" si="7"/>
        <v>6320280</v>
      </c>
      <c r="L136" s="17">
        <f t="shared" si="8"/>
        <v>0</v>
      </c>
      <c r="M136" s="17">
        <f t="shared" si="9"/>
        <v>0.46115060512535977</v>
      </c>
    </row>
    <row r="137" spans="1:13" x14ac:dyDescent="0.3">
      <c r="A137" s="8" t="s">
        <v>169</v>
      </c>
      <c r="B137" s="9" t="s">
        <v>459</v>
      </c>
      <c r="C137" s="9" t="s">
        <v>120</v>
      </c>
      <c r="D137" s="9" t="s">
        <v>129</v>
      </c>
      <c r="E137" s="9" t="s">
        <v>616</v>
      </c>
      <c r="F137" s="9" t="s">
        <v>617</v>
      </c>
      <c r="G137" s="9" t="s">
        <v>621</v>
      </c>
      <c r="H137" s="10">
        <v>5597000</v>
      </c>
      <c r="I137" s="10"/>
      <c r="J137" s="10">
        <v>7497000</v>
      </c>
      <c r="K137" s="10">
        <f t="shared" si="7"/>
        <v>9296280</v>
      </c>
      <c r="L137" s="17">
        <f t="shared" si="8"/>
        <v>0</v>
      </c>
      <c r="M137" s="17">
        <f t="shared" si="9"/>
        <v>0.66093978917277107</v>
      </c>
    </row>
    <row r="138" spans="1:13" x14ac:dyDescent="0.3">
      <c r="A138" s="8" t="s">
        <v>50</v>
      </c>
      <c r="B138" s="9" t="s">
        <v>354</v>
      </c>
      <c r="C138" s="9" t="s">
        <v>14</v>
      </c>
      <c r="D138" s="9" t="s">
        <v>30</v>
      </c>
      <c r="E138" s="9" t="s">
        <v>616</v>
      </c>
      <c r="F138" s="9" t="s">
        <v>617</v>
      </c>
      <c r="G138" s="9" t="s">
        <v>620</v>
      </c>
      <c r="H138" s="10">
        <v>13871000</v>
      </c>
      <c r="I138" s="10"/>
      <c r="J138" s="10">
        <v>9020000</v>
      </c>
      <c r="K138" s="10">
        <f t="shared" si="7"/>
        <v>11184800</v>
      </c>
      <c r="L138" s="17">
        <f t="shared" si="8"/>
        <v>0</v>
      </c>
      <c r="M138" s="17">
        <f t="shared" si="9"/>
        <v>-0.19365582870737511</v>
      </c>
    </row>
    <row r="139" spans="1:13" x14ac:dyDescent="0.3">
      <c r="A139" s="8" t="s">
        <v>23</v>
      </c>
      <c r="B139" s="9" t="s">
        <v>338</v>
      </c>
      <c r="C139" s="9" t="s">
        <v>14</v>
      </c>
      <c r="D139" s="9" t="s">
        <v>32</v>
      </c>
      <c r="E139" s="9" t="s">
        <v>616</v>
      </c>
      <c r="F139" s="9" t="s">
        <v>617</v>
      </c>
      <c r="G139" s="9" t="s">
        <v>619</v>
      </c>
      <c r="H139" s="10">
        <v>61482000</v>
      </c>
      <c r="I139" s="10"/>
      <c r="J139" s="10">
        <v>47860000</v>
      </c>
      <c r="K139" s="10">
        <f t="shared" si="7"/>
        <v>59346400</v>
      </c>
      <c r="L139" s="17">
        <f t="shared" si="8"/>
        <v>0</v>
      </c>
      <c r="M139" s="17">
        <f t="shared" si="9"/>
        <v>-3.473536970170131E-2</v>
      </c>
    </row>
    <row r="140" spans="1:13" x14ac:dyDescent="0.3">
      <c r="A140" s="8" t="s">
        <v>204</v>
      </c>
      <c r="B140" s="9" t="s">
        <v>494</v>
      </c>
      <c r="C140" s="9" t="s">
        <v>16</v>
      </c>
      <c r="D140" s="9" t="s">
        <v>38</v>
      </c>
      <c r="E140" s="9" t="s">
        <v>616</v>
      </c>
      <c r="F140" s="9" t="s">
        <v>617</v>
      </c>
      <c r="G140" s="9" t="s">
        <v>621</v>
      </c>
      <c r="H140" s="10">
        <v>1700000</v>
      </c>
      <c r="I140" s="10"/>
      <c r="J140" s="10">
        <v>2690000</v>
      </c>
      <c r="K140" s="10">
        <f t="shared" si="7"/>
        <v>3335600</v>
      </c>
      <c r="L140" s="17">
        <f t="shared" si="8"/>
        <v>0</v>
      </c>
      <c r="M140" s="17">
        <f t="shared" si="9"/>
        <v>0.96211764705882352</v>
      </c>
    </row>
    <row r="141" spans="1:13" x14ac:dyDescent="0.3">
      <c r="A141" s="8" t="s">
        <v>170</v>
      </c>
      <c r="B141" s="9" t="s">
        <v>460</v>
      </c>
      <c r="C141" s="9" t="s">
        <v>120</v>
      </c>
      <c r="D141" s="9" t="s">
        <v>139</v>
      </c>
      <c r="E141" s="9" t="s">
        <v>625</v>
      </c>
      <c r="F141" s="9" t="s">
        <v>617</v>
      </c>
      <c r="G141" s="9" t="s">
        <v>619</v>
      </c>
      <c r="H141" s="10">
        <v>12930000</v>
      </c>
      <c r="I141" s="10"/>
      <c r="J141" s="10">
        <v>4950470</v>
      </c>
      <c r="K141" s="10">
        <f t="shared" si="7"/>
        <v>6138582.7999999998</v>
      </c>
      <c r="L141" s="17">
        <f t="shared" si="8"/>
        <v>0</v>
      </c>
      <c r="M141" s="17">
        <f t="shared" si="9"/>
        <v>-0.52524494972931168</v>
      </c>
    </row>
    <row r="142" spans="1:13" x14ac:dyDescent="0.3">
      <c r="A142" s="8" t="s">
        <v>171</v>
      </c>
      <c r="B142" s="9" t="s">
        <v>461</v>
      </c>
      <c r="C142" s="9" t="s">
        <v>120</v>
      </c>
      <c r="D142" s="9" t="s">
        <v>139</v>
      </c>
      <c r="E142" s="9" t="s">
        <v>625</v>
      </c>
      <c r="F142" s="9" t="s">
        <v>617</v>
      </c>
      <c r="G142" s="9" t="s">
        <v>621</v>
      </c>
      <c r="H142" s="10">
        <v>21301000</v>
      </c>
      <c r="I142" s="10"/>
      <c r="J142" s="10">
        <v>29311000</v>
      </c>
      <c r="K142" s="10">
        <f t="shared" si="7"/>
        <v>36345640</v>
      </c>
      <c r="L142" s="17">
        <f t="shared" si="8"/>
        <v>0</v>
      </c>
      <c r="M142" s="17">
        <f t="shared" si="9"/>
        <v>0.70628796770104685</v>
      </c>
    </row>
    <row r="143" spans="1:13" x14ac:dyDescent="0.3">
      <c r="A143" s="8" t="s">
        <v>172</v>
      </c>
      <c r="B143" s="9" t="s">
        <v>462</v>
      </c>
      <c r="C143" s="9" t="s">
        <v>120</v>
      </c>
      <c r="D143" s="9" t="s">
        <v>139</v>
      </c>
      <c r="E143" s="9" t="s">
        <v>626</v>
      </c>
      <c r="F143" s="9" t="s">
        <v>617</v>
      </c>
      <c r="G143" s="9" t="s">
        <v>621</v>
      </c>
      <c r="H143" s="10">
        <v>19783000</v>
      </c>
      <c r="I143" s="10"/>
      <c r="J143" s="10">
        <v>20150010</v>
      </c>
      <c r="K143" s="10">
        <f t="shared" si="7"/>
        <v>24986012.400000002</v>
      </c>
      <c r="L143" s="17">
        <f t="shared" si="8"/>
        <v>0</v>
      </c>
      <c r="M143" s="17">
        <f t="shared" si="9"/>
        <v>0.26300421574078764</v>
      </c>
    </row>
    <row r="144" spans="1:13" x14ac:dyDescent="0.3">
      <c r="A144" s="8" t="s">
        <v>173</v>
      </c>
      <c r="B144" s="9" t="s">
        <v>463</v>
      </c>
      <c r="C144" s="9" t="s">
        <v>120</v>
      </c>
      <c r="D144" s="9" t="s">
        <v>139</v>
      </c>
      <c r="E144" s="9" t="s">
        <v>626</v>
      </c>
      <c r="F144" s="9" t="s">
        <v>617</v>
      </c>
      <c r="G144" s="9" t="s">
        <v>621</v>
      </c>
      <c r="H144" s="10">
        <v>54915000</v>
      </c>
      <c r="I144" s="10"/>
      <c r="J144" s="10">
        <v>41775000</v>
      </c>
      <c r="K144" s="10">
        <f t="shared" si="7"/>
        <v>51801000</v>
      </c>
      <c r="L144" s="17">
        <f t="shared" si="8"/>
        <v>0</v>
      </c>
      <c r="M144" s="17">
        <f t="shared" si="9"/>
        <v>-5.6705818082491123E-2</v>
      </c>
    </row>
    <row r="145" spans="1:13" x14ac:dyDescent="0.3">
      <c r="A145" s="8" t="s">
        <v>174</v>
      </c>
      <c r="B145" s="9" t="s">
        <v>464</v>
      </c>
      <c r="C145" s="9" t="s">
        <v>120</v>
      </c>
      <c r="D145" s="9" t="s">
        <v>139</v>
      </c>
      <c r="E145" s="9" t="s">
        <v>626</v>
      </c>
      <c r="F145" s="9" t="s">
        <v>617</v>
      </c>
      <c r="G145" s="9" t="s">
        <v>623</v>
      </c>
      <c r="H145" s="10">
        <v>12100000</v>
      </c>
      <c r="I145" s="10"/>
      <c r="J145" s="10">
        <v>10007000</v>
      </c>
      <c r="K145" s="10">
        <f t="shared" si="7"/>
        <v>12408680</v>
      </c>
      <c r="L145" s="17">
        <f t="shared" si="8"/>
        <v>0</v>
      </c>
      <c r="M145" s="17">
        <f t="shared" si="9"/>
        <v>2.5510743801652892E-2</v>
      </c>
    </row>
    <row r="146" spans="1:13" x14ac:dyDescent="0.3">
      <c r="A146" s="8" t="s">
        <v>175</v>
      </c>
      <c r="B146" s="9" t="s">
        <v>465</v>
      </c>
      <c r="C146" s="9" t="s">
        <v>120</v>
      </c>
      <c r="D146" s="9" t="s">
        <v>139</v>
      </c>
      <c r="E146" s="9" t="s">
        <v>626</v>
      </c>
      <c r="F146" s="9" t="s">
        <v>617</v>
      </c>
      <c r="G146" s="9" t="s">
        <v>619</v>
      </c>
      <c r="H146" s="10">
        <v>34075000</v>
      </c>
      <c r="I146" s="10"/>
      <c r="J146" s="10">
        <v>25466000</v>
      </c>
      <c r="K146" s="10">
        <f t="shared" si="7"/>
        <v>31577840</v>
      </c>
      <c r="L146" s="17">
        <f t="shared" si="8"/>
        <v>0</v>
      </c>
      <c r="M146" s="17">
        <f t="shared" si="9"/>
        <v>-7.3284225972120323E-2</v>
      </c>
    </row>
    <row r="147" spans="1:13" x14ac:dyDescent="0.3">
      <c r="A147" s="8" t="s">
        <v>176</v>
      </c>
      <c r="B147" s="9" t="s">
        <v>466</v>
      </c>
      <c r="C147" s="9" t="s">
        <v>120</v>
      </c>
      <c r="D147" s="9" t="s">
        <v>139</v>
      </c>
      <c r="E147" s="9" t="s">
        <v>626</v>
      </c>
      <c r="F147" s="9" t="s">
        <v>617</v>
      </c>
      <c r="G147" s="9" t="s">
        <v>622</v>
      </c>
      <c r="H147" s="10">
        <v>81817000</v>
      </c>
      <c r="I147" s="10"/>
      <c r="J147" s="10">
        <v>43072000</v>
      </c>
      <c r="K147" s="10">
        <f t="shared" si="7"/>
        <v>53409280</v>
      </c>
      <c r="L147" s="17">
        <f t="shared" si="8"/>
        <v>0</v>
      </c>
      <c r="M147" s="17">
        <f t="shared" si="9"/>
        <v>-0.34721048192918341</v>
      </c>
    </row>
    <row r="148" spans="1:13" x14ac:dyDescent="0.3">
      <c r="A148" s="8" t="s">
        <v>177</v>
      </c>
      <c r="B148" s="9" t="s">
        <v>467</v>
      </c>
      <c r="C148" s="9" t="s">
        <v>120</v>
      </c>
      <c r="D148" s="9" t="s">
        <v>139</v>
      </c>
      <c r="E148" s="9" t="s">
        <v>626</v>
      </c>
      <c r="F148" s="9" t="s">
        <v>617</v>
      </c>
      <c r="G148" s="9" t="s">
        <v>619</v>
      </c>
      <c r="H148" s="10">
        <v>51886010</v>
      </c>
      <c r="I148" s="10"/>
      <c r="J148" s="10">
        <v>30172000</v>
      </c>
      <c r="K148" s="10">
        <f t="shared" si="7"/>
        <v>37413280</v>
      </c>
      <c r="L148" s="17">
        <f t="shared" si="8"/>
        <v>0</v>
      </c>
      <c r="M148" s="17">
        <f t="shared" si="9"/>
        <v>-0.27893318449424037</v>
      </c>
    </row>
    <row r="149" spans="1:13" x14ac:dyDescent="0.3">
      <c r="A149" s="8" t="s">
        <v>178</v>
      </c>
      <c r="B149" s="9" t="s">
        <v>468</v>
      </c>
      <c r="C149" s="9" t="s">
        <v>120</v>
      </c>
      <c r="D149" s="9" t="s">
        <v>139</v>
      </c>
      <c r="E149" s="9" t="s">
        <v>626</v>
      </c>
      <c r="F149" s="9" t="s">
        <v>617</v>
      </c>
      <c r="G149" s="9" t="s">
        <v>622</v>
      </c>
      <c r="H149" s="10">
        <v>44554000</v>
      </c>
      <c r="I149" s="10"/>
      <c r="J149" s="10">
        <v>37594000</v>
      </c>
      <c r="K149" s="10">
        <f t="shared" si="7"/>
        <v>46616560</v>
      </c>
      <c r="L149" s="17">
        <f t="shared" si="8"/>
        <v>0</v>
      </c>
      <c r="M149" s="17">
        <f t="shared" si="9"/>
        <v>4.6293486555640348E-2</v>
      </c>
    </row>
    <row r="150" spans="1:13" x14ac:dyDescent="0.3">
      <c r="A150" s="8" t="s">
        <v>179</v>
      </c>
      <c r="B150" s="9" t="s">
        <v>469</v>
      </c>
      <c r="C150" s="9" t="s">
        <v>120</v>
      </c>
      <c r="D150" s="9" t="s">
        <v>139</v>
      </c>
      <c r="E150" s="9" t="s">
        <v>626</v>
      </c>
      <c r="F150" s="9" t="s">
        <v>617</v>
      </c>
      <c r="G150" s="9" t="s">
        <v>618</v>
      </c>
      <c r="H150" s="10">
        <v>18417000</v>
      </c>
      <c r="I150" s="10"/>
      <c r="J150" s="10">
        <v>46056000</v>
      </c>
      <c r="K150" s="10">
        <f t="shared" si="7"/>
        <v>57109440</v>
      </c>
      <c r="L150" s="17">
        <f t="shared" si="8"/>
        <v>0</v>
      </c>
      <c r="M150" s="17">
        <f t="shared" si="9"/>
        <v>2.1009089428245642</v>
      </c>
    </row>
    <row r="151" spans="1:13" x14ac:dyDescent="0.3">
      <c r="A151" s="8" t="s">
        <v>180</v>
      </c>
      <c r="B151" s="9" t="s">
        <v>470</v>
      </c>
      <c r="C151" s="9" t="s">
        <v>120</v>
      </c>
      <c r="D151" s="9" t="s">
        <v>139</v>
      </c>
      <c r="E151" s="9" t="s">
        <v>626</v>
      </c>
      <c r="F151" s="9" t="s">
        <v>617</v>
      </c>
      <c r="G151" s="9" t="s">
        <v>621</v>
      </c>
      <c r="H151" s="10">
        <v>65212000</v>
      </c>
      <c r="I151" s="10"/>
      <c r="J151" s="10">
        <v>49553000</v>
      </c>
      <c r="K151" s="10">
        <f t="shared" si="7"/>
        <v>61445720</v>
      </c>
      <c r="L151" s="17">
        <f t="shared" si="8"/>
        <v>0</v>
      </c>
      <c r="M151" s="17">
        <f t="shared" si="9"/>
        <v>-5.7754401030485188E-2</v>
      </c>
    </row>
    <row r="152" spans="1:13" x14ac:dyDescent="0.3">
      <c r="A152" s="8" t="s">
        <v>181</v>
      </c>
      <c r="B152" s="9" t="s">
        <v>471</v>
      </c>
      <c r="C152" s="9" t="s">
        <v>120</v>
      </c>
      <c r="D152" s="9" t="s">
        <v>139</v>
      </c>
      <c r="E152" s="9" t="s">
        <v>626</v>
      </c>
      <c r="F152" s="9" t="s">
        <v>617</v>
      </c>
      <c r="G152" s="9" t="s">
        <v>621</v>
      </c>
      <c r="H152" s="10">
        <v>9394010</v>
      </c>
      <c r="I152" s="10"/>
      <c r="J152" s="10">
        <v>1000000</v>
      </c>
      <c r="K152" s="10">
        <f t="shared" si="7"/>
        <v>1240000</v>
      </c>
      <c r="L152" s="17">
        <f t="shared" si="8"/>
        <v>0</v>
      </c>
      <c r="M152" s="17">
        <f t="shared" si="9"/>
        <v>-0.86800099212157533</v>
      </c>
    </row>
    <row r="153" spans="1:13" x14ac:dyDescent="0.3">
      <c r="A153" s="8" t="s">
        <v>253</v>
      </c>
      <c r="B153" s="9" t="s">
        <v>542</v>
      </c>
      <c r="C153" s="9" t="s">
        <v>120</v>
      </c>
      <c r="D153" s="9" t="s">
        <v>129</v>
      </c>
      <c r="E153" s="9" t="s">
        <v>625</v>
      </c>
      <c r="F153" s="9" t="s">
        <v>624</v>
      </c>
      <c r="G153" s="9" t="s">
        <v>621</v>
      </c>
      <c r="H153" s="10">
        <v>0</v>
      </c>
      <c r="I153" s="10"/>
      <c r="J153" s="10">
        <v>0</v>
      </c>
      <c r="K153" s="10">
        <f t="shared" si="7"/>
        <v>0</v>
      </c>
      <c r="L153" s="17">
        <f t="shared" si="8"/>
        <v>0</v>
      </c>
      <c r="M153" s="17">
        <f t="shared" si="9"/>
        <v>0</v>
      </c>
    </row>
    <row r="154" spans="1:13" x14ac:dyDescent="0.3">
      <c r="A154" s="8" t="s">
        <v>182</v>
      </c>
      <c r="B154" s="9" t="s">
        <v>472</v>
      </c>
      <c r="C154" s="9" t="s">
        <v>120</v>
      </c>
      <c r="D154" s="9" t="s">
        <v>129</v>
      </c>
      <c r="E154" s="9" t="s">
        <v>616</v>
      </c>
      <c r="F154" s="9" t="s">
        <v>624</v>
      </c>
      <c r="G154" s="9" t="s">
        <v>621</v>
      </c>
      <c r="H154" s="10">
        <v>0</v>
      </c>
      <c r="I154" s="10"/>
      <c r="J154" s="10">
        <v>480</v>
      </c>
      <c r="K154" s="10">
        <f t="shared" si="7"/>
        <v>595.19999999999993</v>
      </c>
      <c r="L154" s="17">
        <f t="shared" si="8"/>
        <v>0</v>
      </c>
      <c r="M154" s="17">
        <f t="shared" si="9"/>
        <v>0</v>
      </c>
    </row>
    <row r="155" spans="1:13" x14ac:dyDescent="0.3">
      <c r="A155" s="8" t="s">
        <v>183</v>
      </c>
      <c r="B155" s="9" t="s">
        <v>473</v>
      </c>
      <c r="C155" s="9" t="s">
        <v>120</v>
      </c>
      <c r="D155" s="9" t="s">
        <v>129</v>
      </c>
      <c r="E155" s="9" t="s">
        <v>626</v>
      </c>
      <c r="F155" s="9" t="s">
        <v>617</v>
      </c>
      <c r="G155" s="9" t="s">
        <v>621</v>
      </c>
      <c r="H155" s="10">
        <v>4258000</v>
      </c>
      <c r="I155" s="10"/>
      <c r="J155" s="10">
        <v>390</v>
      </c>
      <c r="K155" s="10">
        <f t="shared" si="7"/>
        <v>483.59999999999997</v>
      </c>
      <c r="L155" s="17">
        <f t="shared" si="8"/>
        <v>0</v>
      </c>
      <c r="M155" s="17">
        <f t="shared" si="9"/>
        <v>-0.99988642555190244</v>
      </c>
    </row>
    <row r="156" spans="1:13" x14ac:dyDescent="0.3">
      <c r="A156" s="8" t="s">
        <v>254</v>
      </c>
      <c r="B156" s="9" t="s">
        <v>543</v>
      </c>
      <c r="C156" s="9" t="s">
        <v>120</v>
      </c>
      <c r="D156" s="9" t="s">
        <v>129</v>
      </c>
      <c r="E156" s="9" t="s">
        <v>616</v>
      </c>
      <c r="F156" s="9" t="s">
        <v>624</v>
      </c>
      <c r="G156" s="9" t="s">
        <v>621</v>
      </c>
      <c r="H156" s="10">
        <v>0</v>
      </c>
      <c r="I156" s="10"/>
      <c r="J156" s="10">
        <v>0</v>
      </c>
      <c r="K156" s="10">
        <f t="shared" si="7"/>
        <v>0</v>
      </c>
      <c r="L156" s="17">
        <f t="shared" si="8"/>
        <v>0</v>
      </c>
      <c r="M156" s="17">
        <f t="shared" si="9"/>
        <v>0</v>
      </c>
    </row>
    <row r="157" spans="1:13" x14ac:dyDescent="0.3">
      <c r="A157" s="8" t="s">
        <v>184</v>
      </c>
      <c r="B157" s="9" t="s">
        <v>474</v>
      </c>
      <c r="C157" s="9" t="s">
        <v>120</v>
      </c>
      <c r="D157" s="9" t="s">
        <v>129</v>
      </c>
      <c r="E157" s="9" t="s">
        <v>616</v>
      </c>
      <c r="F157" s="9" t="s">
        <v>624</v>
      </c>
      <c r="G157" s="9" t="s">
        <v>621</v>
      </c>
      <c r="H157" s="10">
        <v>10</v>
      </c>
      <c r="I157" s="10"/>
      <c r="J157" s="10">
        <v>0</v>
      </c>
      <c r="K157" s="10">
        <f t="shared" si="7"/>
        <v>0</v>
      </c>
      <c r="L157" s="17">
        <f t="shared" si="8"/>
        <v>0</v>
      </c>
      <c r="M157" s="17">
        <f t="shared" si="9"/>
        <v>-1</v>
      </c>
    </row>
    <row r="158" spans="1:13" x14ac:dyDescent="0.3">
      <c r="A158" s="8" t="s">
        <v>229</v>
      </c>
      <c r="B158" s="9" t="s">
        <v>519</v>
      </c>
      <c r="C158" s="9" t="s">
        <v>120</v>
      </c>
      <c r="D158" s="9" t="s">
        <v>139</v>
      </c>
      <c r="E158" s="9" t="s">
        <v>625</v>
      </c>
      <c r="F158" s="9" t="s">
        <v>617</v>
      </c>
      <c r="G158" s="9" t="s">
        <v>619</v>
      </c>
      <c r="H158" s="10">
        <v>18453000</v>
      </c>
      <c r="I158" s="10"/>
      <c r="J158" s="10">
        <v>14897000</v>
      </c>
      <c r="K158" s="10">
        <f t="shared" si="7"/>
        <v>18472280</v>
      </c>
      <c r="L158" s="17">
        <f t="shared" si="8"/>
        <v>0</v>
      </c>
      <c r="M158" s="17">
        <f t="shared" si="9"/>
        <v>1.0448165609927924E-3</v>
      </c>
    </row>
    <row r="159" spans="1:13" x14ac:dyDescent="0.3">
      <c r="A159" s="8" t="s">
        <v>230</v>
      </c>
      <c r="B159" s="9" t="s">
        <v>520</v>
      </c>
      <c r="C159" s="9" t="s">
        <v>120</v>
      </c>
      <c r="D159" s="9" t="s">
        <v>139</v>
      </c>
      <c r="E159" s="9" t="s">
        <v>629</v>
      </c>
      <c r="F159" s="9" t="s">
        <v>617</v>
      </c>
      <c r="G159" s="9" t="s">
        <v>622</v>
      </c>
      <c r="H159" s="10">
        <v>43675000</v>
      </c>
      <c r="I159" s="10"/>
      <c r="J159" s="10">
        <v>30993000</v>
      </c>
      <c r="K159" s="10">
        <f t="shared" si="7"/>
        <v>38431320</v>
      </c>
      <c r="L159" s="17">
        <f t="shared" si="8"/>
        <v>0</v>
      </c>
      <c r="M159" s="17">
        <f t="shared" si="9"/>
        <v>-0.12006136233543217</v>
      </c>
    </row>
    <row r="160" spans="1:13" x14ac:dyDescent="0.3">
      <c r="A160" s="8" t="s">
        <v>235</v>
      </c>
      <c r="B160" s="9" t="s">
        <v>525</v>
      </c>
      <c r="C160" s="9" t="s">
        <v>120</v>
      </c>
      <c r="D160" s="9" t="s">
        <v>139</v>
      </c>
      <c r="E160" s="9" t="s">
        <v>626</v>
      </c>
      <c r="F160" s="9" t="s">
        <v>617</v>
      </c>
      <c r="G160" s="9" t="s">
        <v>620</v>
      </c>
      <c r="H160" s="10">
        <v>4000000</v>
      </c>
      <c r="I160" s="10"/>
      <c r="J160" s="10">
        <v>6307000</v>
      </c>
      <c r="K160" s="10">
        <f t="shared" si="7"/>
        <v>7820680</v>
      </c>
      <c r="L160" s="17">
        <f t="shared" si="8"/>
        <v>0</v>
      </c>
      <c r="M160" s="17">
        <f t="shared" si="9"/>
        <v>0.95516999999999996</v>
      </c>
    </row>
    <row r="161" spans="1:13" x14ac:dyDescent="0.3">
      <c r="A161" s="8" t="s">
        <v>238</v>
      </c>
      <c r="B161" s="9" t="s">
        <v>528</v>
      </c>
      <c r="C161" s="9" t="s">
        <v>120</v>
      </c>
      <c r="D161" s="9" t="s">
        <v>139</v>
      </c>
      <c r="E161" s="9" t="s">
        <v>625</v>
      </c>
      <c r="F161" s="9" t="s">
        <v>617</v>
      </c>
      <c r="G161" s="9" t="s">
        <v>620</v>
      </c>
      <c r="H161" s="10">
        <v>6785000</v>
      </c>
      <c r="I161" s="10"/>
      <c r="J161" s="10">
        <v>6028000</v>
      </c>
      <c r="K161" s="10">
        <f t="shared" si="7"/>
        <v>7474720</v>
      </c>
      <c r="L161" s="17">
        <f t="shared" si="8"/>
        <v>0</v>
      </c>
      <c r="M161" s="17">
        <f t="shared" si="9"/>
        <v>0.10165364775239499</v>
      </c>
    </row>
    <row r="162" spans="1:13" x14ac:dyDescent="0.3">
      <c r="A162" s="8" t="s">
        <v>185</v>
      </c>
      <c r="B162" s="9" t="s">
        <v>475</v>
      </c>
      <c r="C162" s="9" t="s">
        <v>120</v>
      </c>
      <c r="D162" s="9" t="s">
        <v>137</v>
      </c>
      <c r="E162" s="9" t="s">
        <v>627</v>
      </c>
      <c r="F162" s="9" t="s">
        <v>617</v>
      </c>
      <c r="G162" s="9" t="s">
        <v>619</v>
      </c>
      <c r="H162" s="10">
        <v>55370000</v>
      </c>
      <c r="I162" s="10"/>
      <c r="J162" s="10">
        <v>49554000</v>
      </c>
      <c r="K162" s="10">
        <f t="shared" si="7"/>
        <v>61446960</v>
      </c>
      <c r="L162" s="17">
        <f t="shared" si="8"/>
        <v>0</v>
      </c>
      <c r="M162" s="17">
        <f t="shared" si="9"/>
        <v>0.10975185118295105</v>
      </c>
    </row>
    <row r="163" spans="1:13" x14ac:dyDescent="0.3">
      <c r="A163" s="8" t="s">
        <v>186</v>
      </c>
      <c r="B163" s="9" t="s">
        <v>476</v>
      </c>
      <c r="C163" s="9" t="s">
        <v>120</v>
      </c>
      <c r="D163" s="9" t="s">
        <v>137</v>
      </c>
      <c r="E163" s="9" t="s">
        <v>627</v>
      </c>
      <c r="F163" s="9" t="s">
        <v>617</v>
      </c>
      <c r="G163" s="9" t="s">
        <v>620</v>
      </c>
      <c r="H163" s="10">
        <v>21100000</v>
      </c>
      <c r="I163" s="10"/>
      <c r="J163" s="10">
        <v>27757000</v>
      </c>
      <c r="K163" s="10">
        <f t="shared" si="7"/>
        <v>34418680</v>
      </c>
      <c r="L163" s="17">
        <f t="shared" si="8"/>
        <v>0</v>
      </c>
      <c r="M163" s="17">
        <f t="shared" si="9"/>
        <v>0.63121706161137436</v>
      </c>
    </row>
    <row r="164" spans="1:13" x14ac:dyDescent="0.3">
      <c r="A164" s="8" t="s">
        <v>187</v>
      </c>
      <c r="B164" s="9" t="s">
        <v>477</v>
      </c>
      <c r="C164" s="9" t="s">
        <v>120</v>
      </c>
      <c r="D164" s="9" t="s">
        <v>135</v>
      </c>
      <c r="E164" s="9" t="s">
        <v>627</v>
      </c>
      <c r="F164" s="9" t="s">
        <v>617</v>
      </c>
      <c r="G164" s="9" t="s">
        <v>618</v>
      </c>
      <c r="H164" s="10">
        <v>12057000</v>
      </c>
      <c r="I164" s="10"/>
      <c r="J164" s="10">
        <v>10400000</v>
      </c>
      <c r="K164" s="10">
        <f t="shared" si="7"/>
        <v>12896000</v>
      </c>
      <c r="L164" s="17">
        <f t="shared" si="8"/>
        <v>0</v>
      </c>
      <c r="M164" s="17">
        <f t="shared" si="9"/>
        <v>6.9586132537115375E-2</v>
      </c>
    </row>
    <row r="165" spans="1:13" x14ac:dyDescent="0.3">
      <c r="A165" s="8" t="s">
        <v>188</v>
      </c>
      <c r="B165" s="9" t="s">
        <v>478</v>
      </c>
      <c r="C165" s="9" t="s">
        <v>120</v>
      </c>
      <c r="D165" s="9" t="s">
        <v>135</v>
      </c>
      <c r="E165" s="9" t="s">
        <v>627</v>
      </c>
      <c r="F165" s="9" t="s">
        <v>617</v>
      </c>
      <c r="G165" s="9" t="s">
        <v>622</v>
      </c>
      <c r="H165" s="10">
        <v>42100000</v>
      </c>
      <c r="I165" s="10"/>
      <c r="J165" s="10">
        <v>29514000</v>
      </c>
      <c r="K165" s="10">
        <f t="shared" si="7"/>
        <v>36597360</v>
      </c>
      <c r="L165" s="17">
        <f t="shared" si="8"/>
        <v>0</v>
      </c>
      <c r="M165" s="17">
        <f t="shared" si="9"/>
        <v>-0.13070403800475058</v>
      </c>
    </row>
    <row r="166" spans="1:13" x14ac:dyDescent="0.3">
      <c r="A166" s="8" t="s">
        <v>189</v>
      </c>
      <c r="B166" s="9" t="s">
        <v>479</v>
      </c>
      <c r="C166" s="9" t="s">
        <v>120</v>
      </c>
      <c r="D166" s="9" t="s">
        <v>135</v>
      </c>
      <c r="E166" s="9" t="s">
        <v>627</v>
      </c>
      <c r="F166" s="9" t="s">
        <v>617</v>
      </c>
      <c r="G166" s="9" t="s">
        <v>621</v>
      </c>
      <c r="H166" s="10">
        <v>30399000</v>
      </c>
      <c r="I166" s="10"/>
      <c r="J166" s="10">
        <v>32658000</v>
      </c>
      <c r="K166" s="10">
        <f t="shared" si="7"/>
        <v>40495920</v>
      </c>
      <c r="L166" s="17">
        <f t="shared" si="8"/>
        <v>0</v>
      </c>
      <c r="M166" s="17">
        <f t="shared" si="9"/>
        <v>0.33214645218592714</v>
      </c>
    </row>
    <row r="167" spans="1:13" x14ac:dyDescent="0.3">
      <c r="A167" s="8" t="s">
        <v>190</v>
      </c>
      <c r="B167" s="9" t="s">
        <v>480</v>
      </c>
      <c r="C167" s="9" t="s">
        <v>120</v>
      </c>
      <c r="D167" s="9" t="s">
        <v>137</v>
      </c>
      <c r="E167" s="9" t="s">
        <v>627</v>
      </c>
      <c r="F167" s="9" t="s">
        <v>617</v>
      </c>
      <c r="G167" s="9" t="s">
        <v>620</v>
      </c>
      <c r="H167" s="10">
        <v>10666000</v>
      </c>
      <c r="I167" s="10"/>
      <c r="J167" s="10">
        <v>2071000</v>
      </c>
      <c r="K167" s="10">
        <f t="shared" si="7"/>
        <v>2568040</v>
      </c>
      <c r="L167" s="17">
        <f t="shared" si="8"/>
        <v>0</v>
      </c>
      <c r="M167" s="17">
        <f t="shared" si="9"/>
        <v>-0.75923120195012184</v>
      </c>
    </row>
    <row r="168" spans="1:13" x14ac:dyDescent="0.3">
      <c r="A168" s="8" t="s">
        <v>191</v>
      </c>
      <c r="B168" s="9" t="s">
        <v>481</v>
      </c>
      <c r="C168" s="9" t="s">
        <v>120</v>
      </c>
      <c r="D168" s="9" t="s">
        <v>137</v>
      </c>
      <c r="E168" s="9" t="s">
        <v>627</v>
      </c>
      <c r="F168" s="9" t="s">
        <v>617</v>
      </c>
      <c r="G168" s="9" t="s">
        <v>620</v>
      </c>
      <c r="H168" s="10">
        <v>0</v>
      </c>
      <c r="I168" s="10"/>
      <c r="J168" s="10">
        <v>1867000</v>
      </c>
      <c r="K168" s="10">
        <f t="shared" si="7"/>
        <v>2315080</v>
      </c>
      <c r="L168" s="17">
        <f t="shared" si="8"/>
        <v>0</v>
      </c>
      <c r="M168" s="17">
        <f t="shared" si="9"/>
        <v>0</v>
      </c>
    </row>
    <row r="169" spans="1:13" x14ac:dyDescent="0.3">
      <c r="A169" s="8" t="s">
        <v>192</v>
      </c>
      <c r="B169" s="9" t="s">
        <v>482</v>
      </c>
      <c r="C169" s="9" t="s">
        <v>120</v>
      </c>
      <c r="D169" s="9" t="s">
        <v>137</v>
      </c>
      <c r="E169" s="9" t="s">
        <v>627</v>
      </c>
      <c r="F169" s="9" t="s">
        <v>617</v>
      </c>
      <c r="G169" s="9" t="s">
        <v>620</v>
      </c>
      <c r="H169" s="10">
        <v>4187000</v>
      </c>
      <c r="I169" s="10"/>
      <c r="J169" s="10">
        <v>18607000</v>
      </c>
      <c r="K169" s="10">
        <f t="shared" si="7"/>
        <v>23072680</v>
      </c>
      <c r="L169" s="17">
        <f t="shared" si="8"/>
        <v>0</v>
      </c>
      <c r="M169" s="17">
        <f t="shared" si="9"/>
        <v>4.5105517076665871</v>
      </c>
    </row>
    <row r="170" spans="1:13" x14ac:dyDescent="0.3">
      <c r="A170" s="8" t="s">
        <v>193</v>
      </c>
      <c r="B170" s="9" t="s">
        <v>483</v>
      </c>
      <c r="C170" s="9" t="s">
        <v>120</v>
      </c>
      <c r="D170" s="9" t="s">
        <v>135</v>
      </c>
      <c r="E170" s="9" t="s">
        <v>627</v>
      </c>
      <c r="F170" s="9" t="s">
        <v>617</v>
      </c>
      <c r="G170" s="9" t="s">
        <v>621</v>
      </c>
      <c r="H170" s="10">
        <v>80102000</v>
      </c>
      <c r="I170" s="10"/>
      <c r="J170" s="10">
        <v>77135000</v>
      </c>
      <c r="K170" s="10">
        <f t="shared" si="7"/>
        <v>95647400</v>
      </c>
      <c r="L170" s="17">
        <f t="shared" si="8"/>
        <v>0</v>
      </c>
      <c r="M170" s="17">
        <f t="shared" si="9"/>
        <v>0.19407006067264237</v>
      </c>
    </row>
    <row r="171" spans="1:13" x14ac:dyDescent="0.3">
      <c r="A171" s="8" t="s">
        <v>194</v>
      </c>
      <c r="B171" s="9" t="s">
        <v>484</v>
      </c>
      <c r="C171" s="9" t="s">
        <v>120</v>
      </c>
      <c r="D171" s="9" t="s">
        <v>137</v>
      </c>
      <c r="E171" s="9" t="s">
        <v>627</v>
      </c>
      <c r="F171" s="9" t="s">
        <v>617</v>
      </c>
      <c r="G171" s="9" t="s">
        <v>620</v>
      </c>
      <c r="H171" s="10">
        <v>2550000</v>
      </c>
      <c r="I171" s="10"/>
      <c r="J171" s="10">
        <v>3610000</v>
      </c>
      <c r="K171" s="10">
        <f t="shared" si="7"/>
        <v>4476400</v>
      </c>
      <c r="L171" s="17">
        <f t="shared" si="8"/>
        <v>0</v>
      </c>
      <c r="M171" s="17">
        <f t="shared" si="9"/>
        <v>0.75545098039215686</v>
      </c>
    </row>
    <row r="172" spans="1:13" x14ac:dyDescent="0.3">
      <c r="A172" s="8" t="s">
        <v>195</v>
      </c>
      <c r="B172" s="9" t="s">
        <v>485</v>
      </c>
      <c r="C172" s="9" t="s">
        <v>120</v>
      </c>
      <c r="D172" s="9" t="s">
        <v>135</v>
      </c>
      <c r="E172" s="9" t="s">
        <v>627</v>
      </c>
      <c r="F172" s="9" t="s">
        <v>617</v>
      </c>
      <c r="G172" s="9" t="s">
        <v>623</v>
      </c>
      <c r="H172" s="10">
        <v>16233000</v>
      </c>
      <c r="I172" s="10"/>
      <c r="J172" s="10">
        <v>16470000</v>
      </c>
      <c r="K172" s="10">
        <f t="shared" si="7"/>
        <v>20422800</v>
      </c>
      <c r="L172" s="17">
        <f t="shared" si="8"/>
        <v>0</v>
      </c>
      <c r="M172" s="17">
        <f t="shared" si="9"/>
        <v>0.2581038625023101</v>
      </c>
    </row>
    <row r="173" spans="1:13" x14ac:dyDescent="0.3">
      <c r="A173" s="8" t="s">
        <v>196</v>
      </c>
      <c r="B173" s="9" t="s">
        <v>486</v>
      </c>
      <c r="C173" s="9" t="s">
        <v>120</v>
      </c>
      <c r="D173" s="9" t="s">
        <v>135</v>
      </c>
      <c r="E173" s="9" t="s">
        <v>627</v>
      </c>
      <c r="F173" s="9" t="s">
        <v>617</v>
      </c>
      <c r="G173" s="9" t="s">
        <v>621</v>
      </c>
      <c r="H173" s="10">
        <v>8950000</v>
      </c>
      <c r="I173" s="10"/>
      <c r="J173" s="10">
        <v>11750000</v>
      </c>
      <c r="K173" s="10">
        <f t="shared" si="7"/>
        <v>14570000</v>
      </c>
      <c r="L173" s="17">
        <f t="shared" si="8"/>
        <v>0</v>
      </c>
      <c r="M173" s="17">
        <f t="shared" si="9"/>
        <v>0.62793296089385475</v>
      </c>
    </row>
    <row r="174" spans="1:13" x14ac:dyDescent="0.3">
      <c r="A174" s="8" t="s">
        <v>197</v>
      </c>
      <c r="B174" s="9" t="s">
        <v>487</v>
      </c>
      <c r="C174" s="9" t="s">
        <v>120</v>
      </c>
      <c r="D174" s="9" t="s">
        <v>137</v>
      </c>
      <c r="E174" s="9" t="s">
        <v>627</v>
      </c>
      <c r="F174" s="9" t="s">
        <v>617</v>
      </c>
      <c r="G174" s="9" t="s">
        <v>620</v>
      </c>
      <c r="H174" s="10">
        <v>1700000</v>
      </c>
      <c r="I174" s="10"/>
      <c r="J174" s="10">
        <v>1600000</v>
      </c>
      <c r="K174" s="10">
        <f t="shared" si="7"/>
        <v>1984000</v>
      </c>
      <c r="L174" s="17">
        <f t="shared" si="8"/>
        <v>0</v>
      </c>
      <c r="M174" s="17">
        <f t="shared" si="9"/>
        <v>0.16705882352941176</v>
      </c>
    </row>
    <row r="175" spans="1:13" x14ac:dyDescent="0.3">
      <c r="A175" s="8" t="s">
        <v>198</v>
      </c>
      <c r="B175" s="9" t="s">
        <v>488</v>
      </c>
      <c r="C175" s="9" t="s">
        <v>120</v>
      </c>
      <c r="D175" s="9" t="s">
        <v>135</v>
      </c>
      <c r="E175" s="9" t="s">
        <v>627</v>
      </c>
      <c r="F175" s="9" t="s">
        <v>617</v>
      </c>
      <c r="G175" s="9" t="s">
        <v>623</v>
      </c>
      <c r="H175" s="10">
        <v>0</v>
      </c>
      <c r="I175" s="10"/>
      <c r="J175" s="10">
        <v>456000</v>
      </c>
      <c r="K175" s="10">
        <f t="shared" si="7"/>
        <v>565440</v>
      </c>
      <c r="L175" s="17">
        <f t="shared" si="8"/>
        <v>0</v>
      </c>
      <c r="M175" s="17">
        <f t="shared" si="9"/>
        <v>0</v>
      </c>
    </row>
    <row r="176" spans="1:13" x14ac:dyDescent="0.3">
      <c r="A176" s="8" t="s">
        <v>199</v>
      </c>
      <c r="B176" s="9" t="s">
        <v>489</v>
      </c>
      <c r="C176" s="9" t="s">
        <v>120</v>
      </c>
      <c r="D176" s="9" t="s">
        <v>135</v>
      </c>
      <c r="E176" s="9" t="s">
        <v>627</v>
      </c>
      <c r="F176" s="9" t="s">
        <v>624</v>
      </c>
      <c r="G176" s="9" t="s">
        <v>623</v>
      </c>
      <c r="H176" s="10">
        <v>0</v>
      </c>
      <c r="I176" s="10"/>
      <c r="J176" s="10">
        <v>0</v>
      </c>
      <c r="K176" s="10">
        <f t="shared" si="7"/>
        <v>0</v>
      </c>
      <c r="L176" s="17">
        <f t="shared" si="8"/>
        <v>0</v>
      </c>
      <c r="M176" s="17">
        <f t="shared" si="9"/>
        <v>0</v>
      </c>
    </row>
    <row r="177" spans="1:13" x14ac:dyDescent="0.3">
      <c r="A177" s="8" t="s">
        <v>200</v>
      </c>
      <c r="B177" s="9" t="s">
        <v>490</v>
      </c>
      <c r="C177" s="9" t="s">
        <v>120</v>
      </c>
      <c r="D177" s="9" t="s">
        <v>137</v>
      </c>
      <c r="E177" s="9" t="s">
        <v>627</v>
      </c>
      <c r="F177" s="9" t="s">
        <v>617</v>
      </c>
      <c r="G177" s="9" t="s">
        <v>619</v>
      </c>
      <c r="H177" s="10">
        <v>51814000</v>
      </c>
      <c r="I177" s="10"/>
      <c r="J177" s="10">
        <v>43978000</v>
      </c>
      <c r="K177" s="10">
        <f t="shared" si="7"/>
        <v>54532720</v>
      </c>
      <c r="L177" s="17">
        <f t="shared" si="8"/>
        <v>0</v>
      </c>
      <c r="M177" s="17">
        <f t="shared" si="9"/>
        <v>5.2470760798239861E-2</v>
      </c>
    </row>
    <row r="178" spans="1:13" x14ac:dyDescent="0.3">
      <c r="A178" s="8" t="s">
        <v>201</v>
      </c>
      <c r="B178" s="9" t="s">
        <v>491</v>
      </c>
      <c r="C178" s="9" t="s">
        <v>120</v>
      </c>
      <c r="D178" s="9" t="s">
        <v>135</v>
      </c>
      <c r="E178" s="9" t="s">
        <v>627</v>
      </c>
      <c r="F178" s="9" t="s">
        <v>617</v>
      </c>
      <c r="G178" s="9" t="s">
        <v>622</v>
      </c>
      <c r="H178" s="10">
        <v>6350000</v>
      </c>
      <c r="I178" s="10"/>
      <c r="J178" s="10">
        <v>0</v>
      </c>
      <c r="K178" s="10">
        <f t="shared" si="7"/>
        <v>0</v>
      </c>
      <c r="L178" s="17">
        <f t="shared" si="8"/>
        <v>0</v>
      </c>
      <c r="M178" s="17">
        <f t="shared" si="9"/>
        <v>-1</v>
      </c>
    </row>
    <row r="179" spans="1:13" x14ac:dyDescent="0.3">
      <c r="A179" s="8" t="s">
        <v>202</v>
      </c>
      <c r="B179" s="9" t="s">
        <v>492</v>
      </c>
      <c r="C179" s="9" t="s">
        <v>120</v>
      </c>
      <c r="D179" s="9" t="s">
        <v>129</v>
      </c>
      <c r="E179" s="9" t="s">
        <v>627</v>
      </c>
      <c r="F179" s="9" t="s">
        <v>617</v>
      </c>
      <c r="G179" s="9" t="s">
        <v>621</v>
      </c>
      <c r="H179" s="10">
        <v>707470</v>
      </c>
      <c r="I179" s="10"/>
      <c r="J179" s="10">
        <v>900000</v>
      </c>
      <c r="K179" s="10">
        <f t="shared" si="7"/>
        <v>1116000</v>
      </c>
      <c r="L179" s="17">
        <f t="shared" si="8"/>
        <v>0</v>
      </c>
      <c r="M179" s="17">
        <f t="shared" si="9"/>
        <v>0.57745204743664047</v>
      </c>
    </row>
    <row r="180" spans="1:13" x14ac:dyDescent="0.3">
      <c r="A180" s="8" t="s">
        <v>203</v>
      </c>
      <c r="B180" s="9" t="s">
        <v>493</v>
      </c>
      <c r="C180" s="9" t="s">
        <v>120</v>
      </c>
      <c r="D180" s="9" t="s">
        <v>135</v>
      </c>
      <c r="E180" s="9" t="s">
        <v>627</v>
      </c>
      <c r="F180" s="9" t="s">
        <v>617</v>
      </c>
      <c r="G180" s="9" t="s">
        <v>622</v>
      </c>
      <c r="H180" s="10">
        <v>21185000</v>
      </c>
      <c r="I180" s="10"/>
      <c r="J180" s="10">
        <v>20587000</v>
      </c>
      <c r="K180" s="10">
        <f t="shared" si="7"/>
        <v>25527880</v>
      </c>
      <c r="L180" s="17">
        <f t="shared" si="8"/>
        <v>0</v>
      </c>
      <c r="M180" s="17">
        <f t="shared" si="9"/>
        <v>0.20499787585555818</v>
      </c>
    </row>
    <row r="181" spans="1:13" x14ac:dyDescent="0.3">
      <c r="A181" s="8" t="s">
        <v>237</v>
      </c>
      <c r="B181" s="9" t="s">
        <v>527</v>
      </c>
      <c r="C181" s="9" t="s">
        <v>120</v>
      </c>
      <c r="D181" s="9" t="s">
        <v>137</v>
      </c>
      <c r="E181" s="9" t="s">
        <v>627</v>
      </c>
      <c r="F181" s="9" t="s">
        <v>617</v>
      </c>
      <c r="G181" s="9" t="s">
        <v>620</v>
      </c>
      <c r="H181" s="10">
        <v>6350000</v>
      </c>
      <c r="I181" s="10"/>
      <c r="J181" s="10">
        <v>4940000</v>
      </c>
      <c r="K181" s="10">
        <f t="shared" si="7"/>
        <v>6125600</v>
      </c>
      <c r="L181" s="17">
        <f t="shared" si="8"/>
        <v>0</v>
      </c>
      <c r="M181" s="17">
        <f t="shared" si="9"/>
        <v>-3.5338582677165352E-2</v>
      </c>
    </row>
    <row r="182" spans="1:13" x14ac:dyDescent="0.3">
      <c r="A182" s="8" t="s">
        <v>239</v>
      </c>
      <c r="B182" s="9" t="s">
        <v>529</v>
      </c>
      <c r="C182" s="9" t="s">
        <v>120</v>
      </c>
      <c r="D182" s="9" t="s">
        <v>135</v>
      </c>
      <c r="E182" s="9" t="s">
        <v>627</v>
      </c>
      <c r="F182" s="9" t="s">
        <v>617</v>
      </c>
      <c r="G182" s="9" t="s">
        <v>621</v>
      </c>
      <c r="H182" s="10">
        <v>0</v>
      </c>
      <c r="I182" s="10"/>
      <c r="J182" s="10">
        <v>0</v>
      </c>
      <c r="K182" s="10">
        <f t="shared" si="7"/>
        <v>0</v>
      </c>
      <c r="L182" s="17">
        <f t="shared" si="8"/>
        <v>0</v>
      </c>
      <c r="M182" s="17">
        <f t="shared" si="9"/>
        <v>0</v>
      </c>
    </row>
    <row r="183" spans="1:13" x14ac:dyDescent="0.3">
      <c r="A183" s="8" t="s">
        <v>205</v>
      </c>
      <c r="B183" s="9" t="s">
        <v>495</v>
      </c>
      <c r="C183" s="9" t="s">
        <v>118</v>
      </c>
      <c r="D183" s="9" t="s">
        <v>132</v>
      </c>
      <c r="E183" s="9" t="s">
        <v>628</v>
      </c>
      <c r="F183" s="9" t="s">
        <v>617</v>
      </c>
      <c r="G183" s="9" t="s">
        <v>619</v>
      </c>
      <c r="H183" s="10">
        <v>92912000</v>
      </c>
      <c r="I183" s="10"/>
      <c r="J183" s="10">
        <v>118060000</v>
      </c>
      <c r="K183" s="10">
        <f t="shared" si="7"/>
        <v>146394400</v>
      </c>
      <c r="L183" s="17">
        <f t="shared" si="8"/>
        <v>0</v>
      </c>
      <c r="M183" s="17">
        <f t="shared" si="9"/>
        <v>0.5756242465989323</v>
      </c>
    </row>
    <row r="184" spans="1:13" x14ac:dyDescent="0.3">
      <c r="A184" s="8" t="s">
        <v>206</v>
      </c>
      <c r="B184" s="9" t="s">
        <v>496</v>
      </c>
      <c r="C184" s="9" t="s">
        <v>118</v>
      </c>
      <c r="D184" s="9" t="s">
        <v>132</v>
      </c>
      <c r="E184" s="9" t="s">
        <v>628</v>
      </c>
      <c r="F184" s="9" t="s">
        <v>617</v>
      </c>
      <c r="G184" s="9" t="s">
        <v>619</v>
      </c>
      <c r="H184" s="10">
        <v>147179000</v>
      </c>
      <c r="I184" s="10"/>
      <c r="J184" s="10">
        <v>130718000</v>
      </c>
      <c r="K184" s="10">
        <f t="shared" si="7"/>
        <v>162090320</v>
      </c>
      <c r="L184" s="17">
        <f t="shared" si="8"/>
        <v>0</v>
      </c>
      <c r="M184" s="17">
        <f t="shared" si="9"/>
        <v>0.10131418205042839</v>
      </c>
    </row>
    <row r="185" spans="1:13" x14ac:dyDescent="0.3">
      <c r="A185" s="8" t="s">
        <v>227</v>
      </c>
      <c r="B185" s="9" t="s">
        <v>517</v>
      </c>
      <c r="C185" s="9" t="s">
        <v>118</v>
      </c>
      <c r="D185" s="9" t="s">
        <v>130</v>
      </c>
      <c r="E185" s="9" t="s">
        <v>628</v>
      </c>
      <c r="F185" s="9" t="s">
        <v>617</v>
      </c>
      <c r="G185" s="9" t="s">
        <v>620</v>
      </c>
      <c r="H185" s="10">
        <v>9130000</v>
      </c>
      <c r="I185" s="10"/>
      <c r="J185" s="10">
        <v>5840000</v>
      </c>
      <c r="K185" s="10">
        <f t="shared" si="7"/>
        <v>7241600</v>
      </c>
      <c r="L185" s="17">
        <f t="shared" si="8"/>
        <v>0</v>
      </c>
      <c r="M185" s="17">
        <f t="shared" si="9"/>
        <v>-0.20683461117196056</v>
      </c>
    </row>
    <row r="186" spans="1:13" x14ac:dyDescent="0.3">
      <c r="A186" s="8" t="s">
        <v>207</v>
      </c>
      <c r="B186" s="9" t="s">
        <v>497</v>
      </c>
      <c r="C186" s="9" t="s">
        <v>118</v>
      </c>
      <c r="D186" s="9" t="s">
        <v>130</v>
      </c>
      <c r="E186" s="9" t="s">
        <v>628</v>
      </c>
      <c r="F186" s="9" t="s">
        <v>617</v>
      </c>
      <c r="G186" s="9" t="s">
        <v>620</v>
      </c>
      <c r="H186" s="10">
        <v>101950000</v>
      </c>
      <c r="I186" s="10"/>
      <c r="J186" s="10">
        <v>84304000</v>
      </c>
      <c r="K186" s="10">
        <f t="shared" si="7"/>
        <v>104536960</v>
      </c>
      <c r="L186" s="17">
        <f t="shared" si="8"/>
        <v>0</v>
      </c>
      <c r="M186" s="17">
        <f t="shared" si="9"/>
        <v>2.5374791564492398E-2</v>
      </c>
    </row>
    <row r="187" spans="1:13" x14ac:dyDescent="0.3">
      <c r="A187" s="8" t="s">
        <v>208</v>
      </c>
      <c r="B187" s="9" t="s">
        <v>498</v>
      </c>
      <c r="C187" s="9" t="s">
        <v>118</v>
      </c>
      <c r="D187" s="9" t="s">
        <v>130</v>
      </c>
      <c r="E187" s="9" t="s">
        <v>628</v>
      </c>
      <c r="F187" s="9" t="s">
        <v>617</v>
      </c>
      <c r="G187" s="9" t="s">
        <v>620</v>
      </c>
      <c r="H187" s="10">
        <v>27906000</v>
      </c>
      <c r="I187" s="10"/>
      <c r="J187" s="10">
        <v>21670000</v>
      </c>
      <c r="K187" s="10">
        <f t="shared" si="7"/>
        <v>26870800</v>
      </c>
      <c r="L187" s="17">
        <f t="shared" si="8"/>
        <v>0</v>
      </c>
      <c r="M187" s="17">
        <f t="shared" si="9"/>
        <v>-3.7095965025442559E-2</v>
      </c>
    </row>
    <row r="188" spans="1:13" x14ac:dyDescent="0.3">
      <c r="A188" s="8" t="s">
        <v>209</v>
      </c>
      <c r="B188" s="9" t="s">
        <v>499</v>
      </c>
      <c r="C188" s="9" t="s">
        <v>118</v>
      </c>
      <c r="D188" s="9" t="s">
        <v>130</v>
      </c>
      <c r="E188" s="9" t="s">
        <v>628</v>
      </c>
      <c r="F188" s="9" t="s">
        <v>617</v>
      </c>
      <c r="G188" s="9" t="s">
        <v>620</v>
      </c>
      <c r="H188" s="10">
        <v>129676000</v>
      </c>
      <c r="I188" s="10"/>
      <c r="J188" s="10">
        <v>147744000</v>
      </c>
      <c r="K188" s="10">
        <f t="shared" si="7"/>
        <v>183202560</v>
      </c>
      <c r="L188" s="17">
        <f t="shared" si="8"/>
        <v>0</v>
      </c>
      <c r="M188" s="17">
        <f t="shared" si="9"/>
        <v>0.41277152287238966</v>
      </c>
    </row>
    <row r="189" spans="1:13" x14ac:dyDescent="0.3">
      <c r="A189" s="8" t="s">
        <v>210</v>
      </c>
      <c r="B189" s="9" t="s">
        <v>500</v>
      </c>
      <c r="C189" s="9" t="s">
        <v>118</v>
      </c>
      <c r="D189" s="9" t="s">
        <v>133</v>
      </c>
      <c r="E189" s="9" t="s">
        <v>628</v>
      </c>
      <c r="F189" s="9" t="s">
        <v>617</v>
      </c>
      <c r="G189" s="9" t="s">
        <v>622</v>
      </c>
      <c r="H189" s="10">
        <v>16150000</v>
      </c>
      <c r="I189" s="10"/>
      <c r="J189" s="10">
        <v>19674000</v>
      </c>
      <c r="K189" s="10">
        <f t="shared" si="7"/>
        <v>24395760</v>
      </c>
      <c r="L189" s="17">
        <f t="shared" si="8"/>
        <v>0</v>
      </c>
      <c r="M189" s="17">
        <f t="shared" si="9"/>
        <v>0.51057337461300312</v>
      </c>
    </row>
    <row r="190" spans="1:13" x14ac:dyDescent="0.3">
      <c r="A190" s="8" t="s">
        <v>211</v>
      </c>
      <c r="B190" s="9" t="s">
        <v>501</v>
      </c>
      <c r="C190" s="9" t="s">
        <v>118</v>
      </c>
      <c r="D190" s="9" t="s">
        <v>133</v>
      </c>
      <c r="E190" s="9" t="s">
        <v>628</v>
      </c>
      <c r="F190" s="9" t="s">
        <v>617</v>
      </c>
      <c r="G190" s="9" t="s">
        <v>621</v>
      </c>
      <c r="H190" s="10">
        <v>850000</v>
      </c>
      <c r="I190" s="10"/>
      <c r="J190" s="10">
        <v>5414000</v>
      </c>
      <c r="K190" s="10">
        <f t="shared" si="7"/>
        <v>6713360</v>
      </c>
      <c r="L190" s="17">
        <f t="shared" si="8"/>
        <v>0</v>
      </c>
      <c r="M190" s="17">
        <f t="shared" si="9"/>
        <v>6.898070588235294</v>
      </c>
    </row>
    <row r="191" spans="1:13" x14ac:dyDescent="0.3">
      <c r="A191" s="8" t="s">
        <v>212</v>
      </c>
      <c r="B191" s="9" t="s">
        <v>502</v>
      </c>
      <c r="C191" s="9" t="s">
        <v>118</v>
      </c>
      <c r="D191" s="9" t="s">
        <v>133</v>
      </c>
      <c r="E191" s="9" t="s">
        <v>628</v>
      </c>
      <c r="F191" s="9" t="s">
        <v>617</v>
      </c>
      <c r="G191" s="9" t="s">
        <v>621</v>
      </c>
      <c r="H191" s="10">
        <v>141352000</v>
      </c>
      <c r="I191" s="10"/>
      <c r="J191" s="10">
        <v>104001000</v>
      </c>
      <c r="K191" s="10">
        <f t="shared" si="7"/>
        <v>128961240</v>
      </c>
      <c r="L191" s="17">
        <f t="shared" si="8"/>
        <v>0</v>
      </c>
      <c r="M191" s="17">
        <f t="shared" si="9"/>
        <v>-8.7658894108325322E-2</v>
      </c>
    </row>
    <row r="192" spans="1:13" x14ac:dyDescent="0.3">
      <c r="A192" s="8" t="s">
        <v>228</v>
      </c>
      <c r="B192" s="9" t="s">
        <v>518</v>
      </c>
      <c r="C192" s="9" t="s">
        <v>118</v>
      </c>
      <c r="D192" s="9" t="s">
        <v>130</v>
      </c>
      <c r="E192" s="9" t="s">
        <v>628</v>
      </c>
      <c r="F192" s="9" t="s">
        <v>617</v>
      </c>
      <c r="G192" s="9" t="s">
        <v>620</v>
      </c>
      <c r="H192" s="10">
        <v>600000</v>
      </c>
      <c r="I192" s="10"/>
      <c r="J192" s="10">
        <v>550000</v>
      </c>
      <c r="K192" s="10">
        <f t="shared" si="7"/>
        <v>682000</v>
      </c>
      <c r="L192" s="17">
        <f t="shared" si="8"/>
        <v>0</v>
      </c>
      <c r="M192" s="17">
        <f t="shared" si="9"/>
        <v>0.13666666666666666</v>
      </c>
    </row>
    <row r="193" spans="1:13" x14ac:dyDescent="0.3">
      <c r="A193" s="8" t="s">
        <v>213</v>
      </c>
      <c r="B193" s="9" t="s">
        <v>503</v>
      </c>
      <c r="C193" s="9" t="s">
        <v>118</v>
      </c>
      <c r="D193" s="9" t="s">
        <v>132</v>
      </c>
      <c r="E193" s="9" t="s">
        <v>628</v>
      </c>
      <c r="F193" s="9" t="s">
        <v>617</v>
      </c>
      <c r="G193" s="9" t="s">
        <v>620</v>
      </c>
      <c r="H193" s="10">
        <v>19950000</v>
      </c>
      <c r="I193" s="10"/>
      <c r="J193" s="10">
        <v>25870000</v>
      </c>
      <c r="K193" s="10">
        <f t="shared" si="7"/>
        <v>32078800</v>
      </c>
      <c r="L193" s="17">
        <f t="shared" si="8"/>
        <v>0</v>
      </c>
      <c r="M193" s="17">
        <f t="shared" si="9"/>
        <v>0.60795989974937348</v>
      </c>
    </row>
    <row r="194" spans="1:13" x14ac:dyDescent="0.3">
      <c r="A194" s="8" t="s">
        <v>214</v>
      </c>
      <c r="B194" s="9" t="s">
        <v>504</v>
      </c>
      <c r="C194" s="9" t="s">
        <v>118</v>
      </c>
      <c r="D194" s="9" t="s">
        <v>134</v>
      </c>
      <c r="E194" s="9" t="s">
        <v>628</v>
      </c>
      <c r="F194" s="9" t="s">
        <v>617</v>
      </c>
      <c r="G194" s="9" t="s">
        <v>623</v>
      </c>
      <c r="H194" s="10">
        <v>25507000</v>
      </c>
      <c r="I194" s="10"/>
      <c r="J194" s="10">
        <v>20407000</v>
      </c>
      <c r="K194" s="10">
        <f t="shared" si="7"/>
        <v>25304680</v>
      </c>
      <c r="L194" s="17">
        <f t="shared" si="8"/>
        <v>0</v>
      </c>
      <c r="M194" s="17">
        <f t="shared" si="9"/>
        <v>-7.9319402516956124E-3</v>
      </c>
    </row>
    <row r="195" spans="1:13" x14ac:dyDescent="0.3">
      <c r="A195" s="8" t="s">
        <v>215</v>
      </c>
      <c r="B195" s="9" t="s">
        <v>505</v>
      </c>
      <c r="C195" s="9" t="s">
        <v>118</v>
      </c>
      <c r="D195" s="9" t="s">
        <v>132</v>
      </c>
      <c r="E195" s="9" t="s">
        <v>628</v>
      </c>
      <c r="F195" s="9" t="s">
        <v>617</v>
      </c>
      <c r="G195" s="9" t="s">
        <v>619</v>
      </c>
      <c r="H195" s="10">
        <v>11628000</v>
      </c>
      <c r="I195" s="10"/>
      <c r="J195" s="10">
        <v>12880000</v>
      </c>
      <c r="K195" s="10">
        <f t="shared" si="7"/>
        <v>15971200</v>
      </c>
      <c r="L195" s="17">
        <f t="shared" si="8"/>
        <v>0</v>
      </c>
      <c r="M195" s="17">
        <f t="shared" si="9"/>
        <v>0.37351221190230477</v>
      </c>
    </row>
    <row r="196" spans="1:13" x14ac:dyDescent="0.3">
      <c r="A196" s="8" t="s">
        <v>216</v>
      </c>
      <c r="B196" s="9" t="s">
        <v>506</v>
      </c>
      <c r="C196" s="9" t="s">
        <v>118</v>
      </c>
      <c r="D196" s="9" t="s">
        <v>133</v>
      </c>
      <c r="E196" s="9" t="s">
        <v>628</v>
      </c>
      <c r="F196" s="9" t="s">
        <v>617</v>
      </c>
      <c r="G196" s="9" t="s">
        <v>618</v>
      </c>
      <c r="H196" s="10">
        <v>70774000</v>
      </c>
      <c r="I196" s="10"/>
      <c r="J196" s="10">
        <v>52537000</v>
      </c>
      <c r="K196" s="10">
        <f t="shared" si="7"/>
        <v>65145880</v>
      </c>
      <c r="L196" s="17">
        <f t="shared" si="8"/>
        <v>0</v>
      </c>
      <c r="M196" s="17">
        <f t="shared" si="9"/>
        <v>-7.9522423488851843E-2</v>
      </c>
    </row>
    <row r="197" spans="1:13" x14ac:dyDescent="0.3">
      <c r="A197" s="8" t="s">
        <v>217</v>
      </c>
      <c r="B197" s="9" t="s">
        <v>507</v>
      </c>
      <c r="C197" s="9" t="s">
        <v>118</v>
      </c>
      <c r="D197" s="9" t="s">
        <v>134</v>
      </c>
      <c r="E197" s="9" t="s">
        <v>628</v>
      </c>
      <c r="F197" s="9" t="s">
        <v>617</v>
      </c>
      <c r="G197" s="9" t="s">
        <v>621</v>
      </c>
      <c r="H197" s="10">
        <v>14600000</v>
      </c>
      <c r="I197" s="10"/>
      <c r="J197" s="10">
        <v>20894000</v>
      </c>
      <c r="K197" s="10">
        <f t="shared" si="7"/>
        <v>25908560</v>
      </c>
      <c r="L197" s="17">
        <f t="shared" si="8"/>
        <v>0</v>
      </c>
      <c r="M197" s="17">
        <f t="shared" si="9"/>
        <v>0.77455890410958905</v>
      </c>
    </row>
    <row r="198" spans="1:13" x14ac:dyDescent="0.3">
      <c r="A198" s="8" t="s">
        <v>218</v>
      </c>
      <c r="B198" s="9" t="s">
        <v>508</v>
      </c>
      <c r="C198" s="9" t="s">
        <v>118</v>
      </c>
      <c r="D198" s="9" t="s">
        <v>134</v>
      </c>
      <c r="E198" s="9" t="s">
        <v>628</v>
      </c>
      <c r="F198" s="9" t="s">
        <v>617</v>
      </c>
      <c r="G198" s="9" t="s">
        <v>622</v>
      </c>
      <c r="H198" s="10">
        <v>43460000</v>
      </c>
      <c r="I198" s="10"/>
      <c r="J198" s="10">
        <v>41158000</v>
      </c>
      <c r="K198" s="10">
        <f t="shared" si="7"/>
        <v>51035920</v>
      </c>
      <c r="L198" s="17">
        <f t="shared" si="8"/>
        <v>0</v>
      </c>
      <c r="M198" s="17">
        <f t="shared" si="9"/>
        <v>0.17431937413713761</v>
      </c>
    </row>
    <row r="199" spans="1:13" x14ac:dyDescent="0.3">
      <c r="A199" s="8" t="s">
        <v>219</v>
      </c>
      <c r="B199" s="9" t="s">
        <v>509</v>
      </c>
      <c r="C199" s="9" t="s">
        <v>118</v>
      </c>
      <c r="D199" s="9" t="s">
        <v>132</v>
      </c>
      <c r="E199" s="9" t="s">
        <v>628</v>
      </c>
      <c r="F199" s="9" t="s">
        <v>617</v>
      </c>
      <c r="G199" s="9" t="s">
        <v>620</v>
      </c>
      <c r="H199" s="10">
        <v>6330000</v>
      </c>
      <c r="I199" s="10"/>
      <c r="J199" s="10">
        <v>5600000</v>
      </c>
      <c r="K199" s="10">
        <f t="shared" si="7"/>
        <v>6944000</v>
      </c>
      <c r="L199" s="17">
        <f t="shared" si="8"/>
        <v>0</v>
      </c>
      <c r="M199" s="17">
        <f t="shared" si="9"/>
        <v>9.6998420221169029E-2</v>
      </c>
    </row>
    <row r="200" spans="1:13" x14ac:dyDescent="0.3">
      <c r="A200" s="8" t="s">
        <v>220</v>
      </c>
      <c r="B200" s="9" t="s">
        <v>510</v>
      </c>
      <c r="C200" s="9" t="s">
        <v>120</v>
      </c>
      <c r="D200" s="9" t="s">
        <v>129</v>
      </c>
      <c r="E200" s="9" t="s">
        <v>628</v>
      </c>
      <c r="F200" s="9" t="s">
        <v>617</v>
      </c>
      <c r="G200" s="9" t="s">
        <v>621</v>
      </c>
      <c r="H200" s="10">
        <v>3149000</v>
      </c>
      <c r="I200" s="10"/>
      <c r="J200" s="10">
        <v>6300000</v>
      </c>
      <c r="K200" s="10">
        <f t="shared" si="7"/>
        <v>7812000</v>
      </c>
      <c r="L200" s="17">
        <f t="shared" si="8"/>
        <v>0</v>
      </c>
      <c r="M200" s="17">
        <f t="shared" si="9"/>
        <v>1.4807875516036837</v>
      </c>
    </row>
    <row r="201" spans="1:13" x14ac:dyDescent="0.3">
      <c r="A201" s="8" t="s">
        <v>221</v>
      </c>
      <c r="B201" s="9" t="s">
        <v>511</v>
      </c>
      <c r="C201" s="9" t="s">
        <v>118</v>
      </c>
      <c r="D201" s="9" t="s">
        <v>134</v>
      </c>
      <c r="E201" s="9" t="s">
        <v>628</v>
      </c>
      <c r="F201" s="9" t="s">
        <v>617</v>
      </c>
      <c r="G201" s="9" t="s">
        <v>623</v>
      </c>
      <c r="H201" s="10">
        <v>51794000</v>
      </c>
      <c r="I201" s="10"/>
      <c r="J201" s="10">
        <v>37040000</v>
      </c>
      <c r="K201" s="10">
        <f t="shared" si="7"/>
        <v>45929600</v>
      </c>
      <c r="L201" s="17">
        <f t="shared" si="8"/>
        <v>0</v>
      </c>
      <c r="M201" s="17">
        <f t="shared" si="9"/>
        <v>-0.11322547013167548</v>
      </c>
    </row>
    <row r="202" spans="1:13" x14ac:dyDescent="0.3">
      <c r="A202" s="8" t="s">
        <v>222</v>
      </c>
      <c r="B202" s="9" t="s">
        <v>512</v>
      </c>
      <c r="C202" s="9" t="s">
        <v>118</v>
      </c>
      <c r="D202" s="9" t="s">
        <v>134</v>
      </c>
      <c r="E202" s="9" t="s">
        <v>628</v>
      </c>
      <c r="F202" s="9" t="s">
        <v>617</v>
      </c>
      <c r="G202" s="9" t="s">
        <v>622</v>
      </c>
      <c r="H202" s="10">
        <v>85725060</v>
      </c>
      <c r="I202" s="10"/>
      <c r="J202" s="10">
        <v>114350000</v>
      </c>
      <c r="K202" s="10">
        <f t="shared" si="7"/>
        <v>141794000</v>
      </c>
      <c r="L202" s="17">
        <f t="shared" si="8"/>
        <v>0</v>
      </c>
      <c r="M202" s="17">
        <f t="shared" si="9"/>
        <v>0.65405541856721938</v>
      </c>
    </row>
    <row r="203" spans="1:13" x14ac:dyDescent="0.3">
      <c r="A203" s="8" t="s">
        <v>223</v>
      </c>
      <c r="B203" s="9" t="s">
        <v>513</v>
      </c>
      <c r="C203" s="9" t="s">
        <v>118</v>
      </c>
      <c r="D203" s="9" t="s">
        <v>130</v>
      </c>
      <c r="E203" s="9" t="s">
        <v>628</v>
      </c>
      <c r="F203" s="9" t="s">
        <v>617</v>
      </c>
      <c r="G203" s="9" t="s">
        <v>620</v>
      </c>
      <c r="H203" s="10">
        <v>14038000</v>
      </c>
      <c r="I203" s="10"/>
      <c r="J203" s="10">
        <v>11396000</v>
      </c>
      <c r="K203" s="10">
        <f t="shared" si="7"/>
        <v>14131040</v>
      </c>
      <c r="L203" s="17">
        <f t="shared" si="8"/>
        <v>0</v>
      </c>
      <c r="M203" s="17">
        <f t="shared" si="9"/>
        <v>6.6277247471149738E-3</v>
      </c>
    </row>
    <row r="204" spans="1:13" x14ac:dyDescent="0.3">
      <c r="A204" s="8" t="s">
        <v>224</v>
      </c>
      <c r="B204" s="9" t="s">
        <v>514</v>
      </c>
      <c r="C204" s="9" t="s">
        <v>118</v>
      </c>
      <c r="D204" s="9" t="s">
        <v>134</v>
      </c>
      <c r="E204" s="9" t="s">
        <v>628</v>
      </c>
      <c r="F204" s="9" t="s">
        <v>617</v>
      </c>
      <c r="G204" s="9" t="s">
        <v>618</v>
      </c>
      <c r="H204" s="10">
        <v>1748000</v>
      </c>
      <c r="I204" s="10"/>
      <c r="J204" s="10">
        <v>8000000</v>
      </c>
      <c r="K204" s="10">
        <f t="shared" si="7"/>
        <v>9920000</v>
      </c>
      <c r="L204" s="17">
        <f t="shared" si="8"/>
        <v>0</v>
      </c>
      <c r="M204" s="17">
        <f t="shared" si="9"/>
        <v>4.6750572082379867</v>
      </c>
    </row>
    <row r="205" spans="1:13" x14ac:dyDescent="0.3">
      <c r="A205" s="8" t="s">
        <v>225</v>
      </c>
      <c r="B205" s="9" t="s">
        <v>515</v>
      </c>
      <c r="C205" s="9" t="s">
        <v>118</v>
      </c>
      <c r="D205" s="9" t="s">
        <v>134</v>
      </c>
      <c r="E205" s="9" t="s">
        <v>628</v>
      </c>
      <c r="F205" s="9" t="s">
        <v>617</v>
      </c>
      <c r="G205" s="9" t="s">
        <v>618</v>
      </c>
      <c r="H205" s="10">
        <v>5400000</v>
      </c>
      <c r="I205" s="10"/>
      <c r="J205" s="10">
        <v>4100000</v>
      </c>
      <c r="K205" s="10">
        <f t="shared" si="7"/>
        <v>5084000</v>
      </c>
      <c r="L205" s="17">
        <f t="shared" si="8"/>
        <v>0</v>
      </c>
      <c r="M205" s="17">
        <f t="shared" si="9"/>
        <v>-5.8518518518518518E-2</v>
      </c>
    </row>
    <row r="206" spans="1:13" x14ac:dyDescent="0.3">
      <c r="A206" s="8" t="s">
        <v>226</v>
      </c>
      <c r="B206" s="9" t="s">
        <v>516</v>
      </c>
      <c r="C206" s="9" t="s">
        <v>118</v>
      </c>
      <c r="D206" s="9" t="s">
        <v>133</v>
      </c>
      <c r="E206" s="9" t="s">
        <v>628</v>
      </c>
      <c r="F206" s="9" t="s">
        <v>617</v>
      </c>
      <c r="G206" s="9" t="s">
        <v>621</v>
      </c>
      <c r="H206" s="10">
        <v>23368000</v>
      </c>
      <c r="I206" s="10"/>
      <c r="J206" s="10">
        <v>24780000</v>
      </c>
      <c r="K206" s="10">
        <f t="shared" si="7"/>
        <v>30727200</v>
      </c>
      <c r="L206" s="17">
        <f t="shared" si="8"/>
        <v>0</v>
      </c>
      <c r="M206" s="17">
        <f t="shared" si="9"/>
        <v>0.31492639507018144</v>
      </c>
    </row>
    <row r="207" spans="1:13" x14ac:dyDescent="0.3">
      <c r="A207" s="8" t="s">
        <v>236</v>
      </c>
      <c r="B207" s="9" t="s">
        <v>526</v>
      </c>
      <c r="C207" s="9" t="s">
        <v>118</v>
      </c>
      <c r="D207" s="9" t="s">
        <v>130</v>
      </c>
      <c r="E207" s="9" t="s">
        <v>628</v>
      </c>
      <c r="F207" s="9" t="s">
        <v>617</v>
      </c>
      <c r="G207" s="9" t="s">
        <v>620</v>
      </c>
      <c r="H207" s="10">
        <v>18800000</v>
      </c>
      <c r="I207" s="10"/>
      <c r="J207" s="10">
        <v>28030000</v>
      </c>
      <c r="K207" s="10">
        <f>IFERROR(J207/$A$1*$B$1,0)</f>
        <v>34757200</v>
      </c>
      <c r="L207" s="17">
        <f>IFERROR(K207/I207,0)</f>
        <v>0</v>
      </c>
      <c r="M207" s="17">
        <f>IFERROR((K207-H207)/H207,0)</f>
        <v>0.84878723404255318</v>
      </c>
    </row>
    <row r="208" spans="1:13" x14ac:dyDescent="0.3">
      <c r="A208" s="8" t="s">
        <v>232</v>
      </c>
      <c r="B208" s="9" t="s">
        <v>522</v>
      </c>
      <c r="C208" s="9" t="s">
        <v>118</v>
      </c>
      <c r="D208" s="9" t="s">
        <v>133</v>
      </c>
      <c r="E208" s="9" t="s">
        <v>628</v>
      </c>
      <c r="F208" s="9" t="s">
        <v>617</v>
      </c>
      <c r="G208" s="9" t="s">
        <v>622</v>
      </c>
      <c r="H208" s="10">
        <v>26734000</v>
      </c>
      <c r="I208" s="10"/>
      <c r="J208" s="10">
        <v>22238000</v>
      </c>
      <c r="K208" s="10">
        <f>IFERROR(J208/$A$1*$B$1,0)</f>
        <v>27575120</v>
      </c>
      <c r="L208" s="17">
        <f>IFERROR(K208/I208,0)</f>
        <v>0</v>
      </c>
      <c r="M208" s="17">
        <f>IFERROR((K208-H208)/H208,0)</f>
        <v>3.1462557043465247E-2</v>
      </c>
    </row>
    <row r="209" spans="1:22" x14ac:dyDescent="0.3">
      <c r="A209" s="8" t="s">
        <v>234</v>
      </c>
      <c r="B209" s="9" t="s">
        <v>524</v>
      </c>
      <c r="C209" s="9" t="s">
        <v>120</v>
      </c>
      <c r="D209" s="9" t="s">
        <v>137</v>
      </c>
      <c r="E209" s="9" t="s">
        <v>627</v>
      </c>
      <c r="F209" s="9" t="s">
        <v>617</v>
      </c>
      <c r="G209" s="9" t="s">
        <v>620</v>
      </c>
      <c r="H209" s="10">
        <v>0</v>
      </c>
      <c r="I209" s="10"/>
      <c r="J209" s="10">
        <v>1607000</v>
      </c>
      <c r="K209" s="10">
        <f>IFERROR(J209/$A$1*$B$1,0)</f>
        <v>1992680</v>
      </c>
      <c r="L209" s="17">
        <f>IFERROR(K209/I209,0)</f>
        <v>0</v>
      </c>
      <c r="M209" s="17">
        <f>IFERROR((K209-H209)/H209,0)</f>
        <v>0</v>
      </c>
    </row>
    <row r="210" spans="1:22" x14ac:dyDescent="0.3">
      <c r="A210" s="8" t="s">
        <v>240</v>
      </c>
      <c r="B210" s="9" t="s">
        <v>530</v>
      </c>
      <c r="C210" s="9" t="s">
        <v>120</v>
      </c>
      <c r="D210" s="9" t="s">
        <v>139</v>
      </c>
      <c r="E210" s="9" t="s">
        <v>626</v>
      </c>
      <c r="F210" s="9" t="s">
        <v>617</v>
      </c>
      <c r="G210" s="9" t="s">
        <v>619</v>
      </c>
      <c r="H210" s="10">
        <v>2550000</v>
      </c>
      <c r="I210" s="10"/>
      <c r="J210" s="10">
        <v>3700000</v>
      </c>
      <c r="K210" s="10">
        <f t="shared" si="7"/>
        <v>4588000</v>
      </c>
      <c r="L210" s="17">
        <f t="shared" si="8"/>
        <v>0</v>
      </c>
      <c r="M210" s="17">
        <f t="shared" si="9"/>
        <v>0.79921568627450978</v>
      </c>
    </row>
    <row r="211" spans="1:22" x14ac:dyDescent="0.3">
      <c r="A211" s="8" t="s">
        <v>241</v>
      </c>
      <c r="B211" s="9" t="s">
        <v>531</v>
      </c>
      <c r="C211" s="9" t="s">
        <v>120</v>
      </c>
      <c r="D211" s="9" t="s">
        <v>139</v>
      </c>
      <c r="E211" s="9" t="s">
        <v>626</v>
      </c>
      <c r="F211" s="9" t="s">
        <v>617</v>
      </c>
      <c r="G211" s="9" t="s">
        <v>622</v>
      </c>
      <c r="H211" s="10">
        <v>5187000</v>
      </c>
      <c r="I211" s="10"/>
      <c r="J211" s="10">
        <v>8319000</v>
      </c>
      <c r="K211" s="10">
        <f t="shared" si="7"/>
        <v>10315560</v>
      </c>
      <c r="L211" s="17">
        <f t="shared" si="8"/>
        <v>0</v>
      </c>
      <c r="M211" s="17">
        <f t="shared" si="9"/>
        <v>0.98873337189126664</v>
      </c>
    </row>
    <row r="212" spans="1:22" x14ac:dyDescent="0.3">
      <c r="A212" s="4" t="s">
        <v>62</v>
      </c>
      <c r="B212" s="7"/>
      <c r="C212" s="7"/>
      <c r="D212" s="7"/>
      <c r="E212" s="7"/>
      <c r="F212" s="7"/>
      <c r="G212" s="7"/>
      <c r="H212" s="12">
        <f>SUM(H5:H211)</f>
        <v>3887883800</v>
      </c>
      <c r="I212" s="12">
        <f>SUM(I5:I211)</f>
        <v>0</v>
      </c>
      <c r="J212" s="12">
        <f>SUM(J5:J211)</f>
        <v>3699929090</v>
      </c>
      <c r="K212" s="12">
        <f>SUM(K5:K211)</f>
        <v>4587912071.6000004</v>
      </c>
      <c r="L212" s="13">
        <f>IFERROR(K212/I212,0)</f>
        <v>0</v>
      </c>
      <c r="M212" s="18">
        <f>IFERROR((K212-H212)/H212,0)</f>
        <v>0.18005380500312287</v>
      </c>
    </row>
    <row r="220" spans="1:22" s="15" customFormat="1" ht="23.35" customHeight="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P220"/>
      <c r="Q220"/>
      <c r="R220"/>
      <c r="S220"/>
      <c r="T220"/>
      <c r="U220"/>
      <c r="V220"/>
    </row>
  </sheetData>
  <autoFilter ref="A4:M212" xr:uid="{812C3D77-8647-4A0D-8FF1-4E8887A12AC5}"/>
  <mergeCells count="3">
    <mergeCell ref="A3:M3"/>
    <mergeCell ref="P3:V3"/>
    <mergeCell ref="Y3:Z3"/>
  </mergeCells>
  <conditionalFormatting sqref="M5:M212">
    <cfRule type="cellIs" dxfId="29" priority="3" operator="lessThan">
      <formula>0</formula>
    </cfRule>
  </conditionalFormatting>
  <conditionalFormatting sqref="V5:V9">
    <cfRule type="cellIs" dxfId="28" priority="2" operator="lessThan">
      <formula>0</formula>
    </cfRule>
  </conditionalFormatting>
  <conditionalFormatting sqref="V12:V32">
    <cfRule type="cellIs" dxfId="27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48EC-BAFE-476D-B164-91D415AE5F56}">
  <dimension ref="A1:V141"/>
  <sheetViews>
    <sheetView showGridLines="0" zoomScale="70" zoomScaleNormal="70" workbookViewId="0">
      <pane ySplit="4" topLeftCell="A5" activePane="bottomLeft" state="frozen"/>
      <selection activeCell="J6" sqref="J6"/>
      <selection pane="bottomLeft" activeCell="J6" sqref="J6"/>
    </sheetView>
  </sheetViews>
  <sheetFormatPr defaultRowHeight="15.05" x14ac:dyDescent="0.3"/>
  <cols>
    <col min="1" max="1" width="10.33203125" bestFit="1" customWidth="1"/>
    <col min="2" max="2" width="41.109375" customWidth="1"/>
    <col min="3" max="3" width="15.109375" bestFit="1" customWidth="1"/>
    <col min="4" max="4" width="23" bestFit="1" customWidth="1"/>
    <col min="5" max="6" width="23" customWidth="1"/>
    <col min="7" max="7" width="19.44140625" bestFit="1" customWidth="1"/>
    <col min="8" max="8" width="19.44140625" customWidth="1"/>
    <col min="9" max="13" width="18" customWidth="1"/>
    <col min="16" max="16" width="25.88671875" customWidth="1"/>
    <col min="17" max="22" width="15.109375" customWidth="1"/>
  </cols>
  <sheetData>
    <row r="1" spans="1:22" x14ac:dyDescent="0.3">
      <c r="A1" s="1">
        <v>25</v>
      </c>
      <c r="B1" s="1">
        <v>31</v>
      </c>
    </row>
    <row r="3" spans="1:22" s="3" customFormat="1" ht="23.5" customHeight="1" x14ac:dyDescent="0.3">
      <c r="A3" s="2" t="str">
        <f>"RACING VIQOO (01 - "&amp;A1&amp;" MEI 2026)"</f>
        <v>RACING VIQOO (01 - 25 MEI 2026)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P3" s="2" t="str">
        <f>A3</f>
        <v>RACING VIQOO (01 - 25 MEI 2026)</v>
      </c>
      <c r="Q3" s="2"/>
      <c r="R3" s="2"/>
      <c r="S3" s="2"/>
      <c r="T3" s="2"/>
      <c r="U3" s="2"/>
      <c r="V3" s="2"/>
    </row>
    <row r="4" spans="1:22" s="3" customFormat="1" ht="29.45" customHeight="1" x14ac:dyDescent="0.3">
      <c r="A4" s="4" t="s">
        <v>0</v>
      </c>
      <c r="B4" s="5" t="s">
        <v>1</v>
      </c>
      <c r="C4" s="5" t="s">
        <v>2</v>
      </c>
      <c r="D4" s="5" t="s">
        <v>3</v>
      </c>
      <c r="E4" s="5" t="s">
        <v>4</v>
      </c>
      <c r="F4" s="5" t="s">
        <v>5</v>
      </c>
      <c r="G4" s="5" t="s">
        <v>6</v>
      </c>
      <c r="H4" s="6" t="s">
        <v>7</v>
      </c>
      <c r="I4" s="6" t="s">
        <v>8</v>
      </c>
      <c r="J4" s="6" t="s">
        <v>9</v>
      </c>
      <c r="K4" s="6" t="s">
        <v>10</v>
      </c>
      <c r="L4" s="6" t="s">
        <v>11</v>
      </c>
      <c r="M4" s="6" t="s">
        <v>12</v>
      </c>
      <c r="P4" s="7" t="s">
        <v>2</v>
      </c>
      <c r="Q4" s="6" t="s">
        <v>7</v>
      </c>
      <c r="R4" s="6" t="s">
        <v>8</v>
      </c>
      <c r="S4" s="6" t="s">
        <v>9</v>
      </c>
      <c r="T4" s="6" t="s">
        <v>10</v>
      </c>
      <c r="U4" s="6" t="s">
        <v>11</v>
      </c>
      <c r="V4" s="6" t="s">
        <v>12</v>
      </c>
    </row>
    <row r="5" spans="1:22" x14ac:dyDescent="0.3">
      <c r="A5" s="8" t="s">
        <v>165</v>
      </c>
      <c r="B5" s="9" t="s">
        <v>455</v>
      </c>
      <c r="C5" s="9" t="s">
        <v>14</v>
      </c>
      <c r="D5" s="9" t="s">
        <v>28</v>
      </c>
      <c r="E5" s="9" t="s">
        <v>616</v>
      </c>
      <c r="F5" s="9" t="s">
        <v>617</v>
      </c>
      <c r="G5" s="9" t="s">
        <v>620</v>
      </c>
      <c r="H5" s="10">
        <v>5</v>
      </c>
      <c r="I5" s="10">
        <v>3</v>
      </c>
      <c r="J5" s="10">
        <v>1</v>
      </c>
      <c r="K5" s="10">
        <f t="shared" ref="K5:K68" si="0">IFERROR((J5/$A$1*$B$1),0)</f>
        <v>1.24</v>
      </c>
      <c r="L5" s="11">
        <f t="shared" ref="L5:L68" si="1">IFERROR((K5/I5),0)</f>
        <v>0.41333333333333333</v>
      </c>
      <c r="M5" s="11">
        <f t="shared" ref="M5:M68" si="2">IFERROR((K5-H5)/H5,0)</f>
        <v>-0.752</v>
      </c>
      <c r="P5" s="9" t="s">
        <v>14</v>
      </c>
      <c r="Q5" s="10">
        <f t="shared" ref="Q5:T7" si="3">SUMIF($C:$C,$P5,H:H)</f>
        <v>1904</v>
      </c>
      <c r="R5" s="10">
        <f t="shared" si="3"/>
        <v>1852</v>
      </c>
      <c r="S5" s="10">
        <f t="shared" si="3"/>
        <v>1503</v>
      </c>
      <c r="T5" s="10">
        <f t="shared" si="3"/>
        <v>1863.72</v>
      </c>
      <c r="U5" s="11">
        <f>IFERROR((T5/R5),0)</f>
        <v>1.006328293736501</v>
      </c>
      <c r="V5" s="11">
        <f>IFERROR((T5-Q5)/Q5,0)</f>
        <v>-2.1155462184873935E-2</v>
      </c>
    </row>
    <row r="6" spans="1:22" x14ac:dyDescent="0.3">
      <c r="A6" s="8" t="s">
        <v>59</v>
      </c>
      <c r="B6" s="9" t="s">
        <v>363</v>
      </c>
      <c r="C6" s="9" t="s">
        <v>14</v>
      </c>
      <c r="D6" s="9" t="s">
        <v>30</v>
      </c>
      <c r="E6" s="9" t="s">
        <v>616</v>
      </c>
      <c r="F6" s="9" t="s">
        <v>617</v>
      </c>
      <c r="G6" s="9" t="s">
        <v>620</v>
      </c>
      <c r="H6" s="10">
        <v>32</v>
      </c>
      <c r="I6" s="10">
        <v>35</v>
      </c>
      <c r="J6" s="10">
        <v>24</v>
      </c>
      <c r="K6" s="10">
        <f t="shared" si="0"/>
        <v>29.759999999999998</v>
      </c>
      <c r="L6" s="11">
        <f t="shared" si="1"/>
        <v>0.8502857142857142</v>
      </c>
      <c r="M6" s="11">
        <f t="shared" si="2"/>
        <v>-7.0000000000000062E-2</v>
      </c>
      <c r="P6" s="9" t="s">
        <v>16</v>
      </c>
      <c r="Q6" s="10">
        <f t="shared" si="3"/>
        <v>2133</v>
      </c>
      <c r="R6" s="10">
        <f t="shared" si="3"/>
        <v>2136</v>
      </c>
      <c r="S6" s="10">
        <f t="shared" si="3"/>
        <v>1425</v>
      </c>
      <c r="T6" s="10">
        <f t="shared" si="3"/>
        <v>1767.0000000000005</v>
      </c>
      <c r="U6" s="11">
        <f>IFERROR((T6/R6),0)</f>
        <v>0.82724719101123612</v>
      </c>
      <c r="V6" s="11">
        <f>IFERROR((T6-Q6)/Q6,0)</f>
        <v>-0.17158931082981693</v>
      </c>
    </row>
    <row r="7" spans="1:22" x14ac:dyDescent="0.3">
      <c r="A7" s="8" t="s">
        <v>91</v>
      </c>
      <c r="B7" s="9" t="s">
        <v>393</v>
      </c>
      <c r="C7" s="9" t="s">
        <v>14</v>
      </c>
      <c r="D7" s="9" t="s">
        <v>28</v>
      </c>
      <c r="E7" s="9" t="s">
        <v>616</v>
      </c>
      <c r="F7" s="9" t="s">
        <v>617</v>
      </c>
      <c r="G7" s="9" t="s">
        <v>620</v>
      </c>
      <c r="H7" s="10">
        <v>16</v>
      </c>
      <c r="I7" s="10">
        <v>17</v>
      </c>
      <c r="J7" s="10">
        <v>22</v>
      </c>
      <c r="K7" s="10">
        <f t="shared" si="0"/>
        <v>27.28</v>
      </c>
      <c r="L7" s="11">
        <f t="shared" si="1"/>
        <v>1.6047058823529412</v>
      </c>
      <c r="M7" s="11">
        <f t="shared" si="2"/>
        <v>0.70500000000000007</v>
      </c>
      <c r="P7" s="9" t="s">
        <v>120</v>
      </c>
      <c r="Q7" s="10">
        <f t="shared" si="3"/>
        <v>285</v>
      </c>
      <c r="R7" s="10">
        <f t="shared" si="3"/>
        <v>42</v>
      </c>
      <c r="S7" s="10">
        <f t="shared" si="3"/>
        <v>473</v>
      </c>
      <c r="T7" s="10">
        <f t="shared" si="3"/>
        <v>586.5200000000001</v>
      </c>
      <c r="U7" s="11">
        <f>IFERROR((T7/R7),0)</f>
        <v>13.964761904761907</v>
      </c>
      <c r="V7" s="11">
        <f>IFERROR((T7-Q7)/Q7,0)</f>
        <v>1.057964912280702</v>
      </c>
    </row>
    <row r="8" spans="1:22" x14ac:dyDescent="0.3">
      <c r="A8" s="8" t="s">
        <v>72</v>
      </c>
      <c r="B8" s="9" t="s">
        <v>374</v>
      </c>
      <c r="C8" s="9" t="s">
        <v>14</v>
      </c>
      <c r="D8" s="9" t="s">
        <v>30</v>
      </c>
      <c r="E8" s="9" t="s">
        <v>616</v>
      </c>
      <c r="F8" s="9" t="s">
        <v>617</v>
      </c>
      <c r="G8" s="9" t="s">
        <v>620</v>
      </c>
      <c r="H8" s="10">
        <v>14</v>
      </c>
      <c r="I8" s="10">
        <v>20</v>
      </c>
      <c r="J8" s="10">
        <v>8</v>
      </c>
      <c r="K8" s="10">
        <f t="shared" si="0"/>
        <v>9.92</v>
      </c>
      <c r="L8" s="11">
        <f t="shared" si="1"/>
        <v>0.496</v>
      </c>
      <c r="M8" s="11">
        <f t="shared" si="2"/>
        <v>-0.29142857142857143</v>
      </c>
      <c r="P8" s="4" t="s">
        <v>18</v>
      </c>
      <c r="Q8" s="12">
        <f t="shared" ref="Q8:T8" si="4">SUM(Q5:Q7)</f>
        <v>4322</v>
      </c>
      <c r="R8" s="12">
        <f t="shared" si="4"/>
        <v>4030</v>
      </c>
      <c r="S8" s="12">
        <f t="shared" si="4"/>
        <v>3401</v>
      </c>
      <c r="T8" s="12">
        <f t="shared" si="4"/>
        <v>4217.2400000000007</v>
      </c>
      <c r="U8" s="13">
        <f>IFERROR((T8/R8),0)</f>
        <v>1.0464615384615386</v>
      </c>
      <c r="V8" s="14">
        <f>IFERROR((T8-Q8)/Q8,0)</f>
        <v>-2.4238778343359395E-2</v>
      </c>
    </row>
    <row r="9" spans="1:22" x14ac:dyDescent="0.3">
      <c r="A9" s="8" t="s">
        <v>57</v>
      </c>
      <c r="B9" s="9" t="s">
        <v>361</v>
      </c>
      <c r="C9" s="9" t="s">
        <v>14</v>
      </c>
      <c r="D9" s="9" t="s">
        <v>28</v>
      </c>
      <c r="E9" s="9" t="s">
        <v>616</v>
      </c>
      <c r="F9" s="9" t="s">
        <v>617</v>
      </c>
      <c r="G9" s="9" t="s">
        <v>620</v>
      </c>
      <c r="H9" s="10">
        <v>27</v>
      </c>
      <c r="I9" s="10">
        <v>18</v>
      </c>
      <c r="J9" s="10">
        <v>20</v>
      </c>
      <c r="K9" s="10">
        <f t="shared" si="0"/>
        <v>24.8</v>
      </c>
      <c r="L9" s="11">
        <f t="shared" si="1"/>
        <v>1.3777777777777778</v>
      </c>
      <c r="M9" s="11">
        <f t="shared" si="2"/>
        <v>-8.148148148148146E-2</v>
      </c>
    </row>
    <row r="10" spans="1:22" x14ac:dyDescent="0.3">
      <c r="A10" s="8" t="s">
        <v>138</v>
      </c>
      <c r="B10" s="9" t="s">
        <v>429</v>
      </c>
      <c r="C10" s="9" t="s">
        <v>14</v>
      </c>
      <c r="D10" s="9" t="s">
        <v>28</v>
      </c>
      <c r="E10" s="9" t="s">
        <v>616</v>
      </c>
      <c r="F10" s="9" t="s">
        <v>617</v>
      </c>
      <c r="G10" s="9" t="s">
        <v>620</v>
      </c>
      <c r="H10" s="10">
        <v>8</v>
      </c>
      <c r="I10" s="10">
        <v>8</v>
      </c>
      <c r="J10" s="10">
        <v>1</v>
      </c>
      <c r="K10" s="10">
        <f t="shared" si="0"/>
        <v>1.24</v>
      </c>
      <c r="L10" s="11">
        <f t="shared" si="1"/>
        <v>0.155</v>
      </c>
      <c r="M10" s="11">
        <f t="shared" si="2"/>
        <v>-0.84499999999999997</v>
      </c>
      <c r="P10" s="7" t="s">
        <v>3</v>
      </c>
      <c r="Q10" s="7" t="s">
        <v>7</v>
      </c>
      <c r="R10" s="7" t="s">
        <v>8</v>
      </c>
      <c r="S10" s="7" t="s">
        <v>9</v>
      </c>
      <c r="T10" s="7" t="s">
        <v>10</v>
      </c>
      <c r="U10" s="7" t="s">
        <v>11</v>
      </c>
      <c r="V10" s="7" t="s">
        <v>12</v>
      </c>
    </row>
    <row r="11" spans="1:22" x14ac:dyDescent="0.3">
      <c r="A11" s="8" t="s">
        <v>255</v>
      </c>
      <c r="B11" s="9" t="s">
        <v>544</v>
      </c>
      <c r="C11" s="9" t="s">
        <v>14</v>
      </c>
      <c r="D11" s="9" t="s">
        <v>30</v>
      </c>
      <c r="E11" s="9" t="s">
        <v>630</v>
      </c>
      <c r="F11" s="9" t="s">
        <v>617</v>
      </c>
      <c r="G11" s="9" t="s">
        <v>620</v>
      </c>
      <c r="H11" s="10">
        <v>0</v>
      </c>
      <c r="I11" s="10">
        <v>0</v>
      </c>
      <c r="J11" s="10">
        <v>1</v>
      </c>
      <c r="K11" s="10">
        <f t="shared" si="0"/>
        <v>1.24</v>
      </c>
      <c r="L11" s="11">
        <f t="shared" si="1"/>
        <v>0</v>
      </c>
      <c r="M11" s="11">
        <f t="shared" si="2"/>
        <v>0</v>
      </c>
      <c r="P11" s="9" t="s">
        <v>22</v>
      </c>
      <c r="Q11" s="10">
        <f t="shared" ref="Q11:T23" si="5">SUMIF($D:$D,$P11,H:H)</f>
        <v>259</v>
      </c>
      <c r="R11" s="10">
        <f t="shared" si="5"/>
        <v>263</v>
      </c>
      <c r="S11" s="10">
        <f t="shared" si="5"/>
        <v>181</v>
      </c>
      <c r="T11" s="10">
        <f t="shared" si="5"/>
        <v>224.44000000000003</v>
      </c>
      <c r="U11" s="11">
        <f t="shared" ref="U11:U24" si="6">IFERROR((T11/R11),0)</f>
        <v>0.85338403041825106</v>
      </c>
      <c r="V11" s="11">
        <f t="shared" ref="V11:V24" si="7">IFERROR((T11-Q11)/Q11,0)</f>
        <v>-0.13343629343629335</v>
      </c>
    </row>
    <row r="12" spans="1:22" x14ac:dyDescent="0.3">
      <c r="A12" s="8" t="s">
        <v>54</v>
      </c>
      <c r="B12" s="9" t="s">
        <v>358</v>
      </c>
      <c r="C12" s="9" t="s">
        <v>14</v>
      </c>
      <c r="D12" s="9" t="s">
        <v>30</v>
      </c>
      <c r="E12" s="9" t="s">
        <v>616</v>
      </c>
      <c r="F12" s="9" t="s">
        <v>617</v>
      </c>
      <c r="G12" s="9" t="s">
        <v>620</v>
      </c>
      <c r="H12" s="10">
        <v>9</v>
      </c>
      <c r="I12" s="10">
        <v>20</v>
      </c>
      <c r="J12" s="10">
        <v>14</v>
      </c>
      <c r="K12" s="10">
        <f t="shared" si="0"/>
        <v>17.360000000000003</v>
      </c>
      <c r="L12" s="11">
        <f t="shared" si="1"/>
        <v>0.8680000000000001</v>
      </c>
      <c r="M12" s="11">
        <f t="shared" si="2"/>
        <v>0.92888888888888921</v>
      </c>
      <c r="P12" s="9" t="s">
        <v>44</v>
      </c>
      <c r="Q12" s="10">
        <f t="shared" si="5"/>
        <v>337</v>
      </c>
      <c r="R12" s="10">
        <f t="shared" si="5"/>
        <v>335</v>
      </c>
      <c r="S12" s="10">
        <f t="shared" si="5"/>
        <v>224</v>
      </c>
      <c r="T12" s="10">
        <f t="shared" si="5"/>
        <v>277.75999999999993</v>
      </c>
      <c r="U12" s="11">
        <f t="shared" si="6"/>
        <v>0.82913432835820877</v>
      </c>
      <c r="V12" s="11">
        <f t="shared" si="7"/>
        <v>-0.17578635014836816</v>
      </c>
    </row>
    <row r="13" spans="1:22" x14ac:dyDescent="0.3">
      <c r="A13" s="8" t="s">
        <v>256</v>
      </c>
      <c r="B13" s="9" t="s">
        <v>545</v>
      </c>
      <c r="C13" s="9" t="s">
        <v>14</v>
      </c>
      <c r="D13" s="9" t="s">
        <v>30</v>
      </c>
      <c r="E13" s="9" t="s">
        <v>631</v>
      </c>
      <c r="F13" s="9" t="s">
        <v>617</v>
      </c>
      <c r="G13" s="9" t="s">
        <v>620</v>
      </c>
      <c r="H13" s="10">
        <v>22</v>
      </c>
      <c r="I13" s="10">
        <v>21</v>
      </c>
      <c r="J13" s="10">
        <v>15</v>
      </c>
      <c r="K13" s="10">
        <f t="shared" si="0"/>
        <v>18.599999999999998</v>
      </c>
      <c r="L13" s="11">
        <f t="shared" si="1"/>
        <v>0.88571428571428557</v>
      </c>
      <c r="M13" s="11">
        <f t="shared" si="2"/>
        <v>-0.15454545454545465</v>
      </c>
      <c r="P13" s="9" t="s">
        <v>42</v>
      </c>
      <c r="Q13" s="10">
        <f t="shared" si="5"/>
        <v>235</v>
      </c>
      <c r="R13" s="10">
        <f t="shared" si="5"/>
        <v>265</v>
      </c>
      <c r="S13" s="10">
        <f t="shared" si="5"/>
        <v>209</v>
      </c>
      <c r="T13" s="10">
        <f t="shared" si="5"/>
        <v>259.16000000000003</v>
      </c>
      <c r="U13" s="11">
        <f t="shared" si="6"/>
        <v>0.97796226415094345</v>
      </c>
      <c r="V13" s="11">
        <f t="shared" si="7"/>
        <v>0.10280851063829798</v>
      </c>
    </row>
    <row r="14" spans="1:22" x14ac:dyDescent="0.3">
      <c r="A14" s="8" t="s">
        <v>23</v>
      </c>
      <c r="B14" s="9" t="s">
        <v>338</v>
      </c>
      <c r="C14" s="9" t="s">
        <v>14</v>
      </c>
      <c r="D14" s="9" t="s">
        <v>32</v>
      </c>
      <c r="E14" s="9" t="s">
        <v>616</v>
      </c>
      <c r="F14" s="9" t="s">
        <v>617</v>
      </c>
      <c r="G14" s="9" t="s">
        <v>619</v>
      </c>
      <c r="H14" s="10">
        <v>27</v>
      </c>
      <c r="I14" s="10">
        <v>32</v>
      </c>
      <c r="J14" s="10">
        <v>27</v>
      </c>
      <c r="K14" s="10">
        <f t="shared" si="0"/>
        <v>33.480000000000004</v>
      </c>
      <c r="L14" s="11">
        <f t="shared" si="1"/>
        <v>1.0462500000000001</v>
      </c>
      <c r="M14" s="11">
        <f t="shared" si="2"/>
        <v>0.24000000000000016</v>
      </c>
      <c r="P14" s="9" t="s">
        <v>36</v>
      </c>
      <c r="Q14" s="10">
        <f t="shared" si="5"/>
        <v>206</v>
      </c>
      <c r="R14" s="10">
        <f t="shared" si="5"/>
        <v>182</v>
      </c>
      <c r="S14" s="10">
        <f t="shared" si="5"/>
        <v>114</v>
      </c>
      <c r="T14" s="10">
        <f t="shared" si="5"/>
        <v>141.35999999999999</v>
      </c>
      <c r="U14" s="11">
        <f t="shared" si="6"/>
        <v>0.77670329670329663</v>
      </c>
      <c r="V14" s="11">
        <f t="shared" si="7"/>
        <v>-0.31378640776699035</v>
      </c>
    </row>
    <row r="15" spans="1:22" x14ac:dyDescent="0.3">
      <c r="A15" s="8" t="s">
        <v>20</v>
      </c>
      <c r="B15" s="9" t="s">
        <v>336</v>
      </c>
      <c r="C15" s="9" t="s">
        <v>14</v>
      </c>
      <c r="D15" s="9" t="s">
        <v>28</v>
      </c>
      <c r="E15" s="9" t="s">
        <v>616</v>
      </c>
      <c r="F15" s="9" t="s">
        <v>617</v>
      </c>
      <c r="G15" s="9" t="s">
        <v>620</v>
      </c>
      <c r="H15" s="10">
        <v>42</v>
      </c>
      <c r="I15" s="10">
        <v>39</v>
      </c>
      <c r="J15" s="10">
        <v>51</v>
      </c>
      <c r="K15" s="10">
        <f t="shared" si="0"/>
        <v>63.24</v>
      </c>
      <c r="L15" s="11">
        <f t="shared" si="1"/>
        <v>1.6215384615384616</v>
      </c>
      <c r="M15" s="11">
        <f t="shared" si="2"/>
        <v>0.50571428571428578</v>
      </c>
      <c r="P15" s="9" t="s">
        <v>32</v>
      </c>
      <c r="Q15" s="10">
        <f t="shared" si="5"/>
        <v>443</v>
      </c>
      <c r="R15" s="10">
        <f t="shared" si="5"/>
        <v>455</v>
      </c>
      <c r="S15" s="10">
        <f t="shared" si="5"/>
        <v>367</v>
      </c>
      <c r="T15" s="10">
        <f t="shared" si="5"/>
        <v>455.08000000000004</v>
      </c>
      <c r="U15" s="11">
        <f t="shared" si="6"/>
        <v>1.0001758241758243</v>
      </c>
      <c r="V15" s="11">
        <f t="shared" si="7"/>
        <v>2.7268623024830792E-2</v>
      </c>
    </row>
    <row r="16" spans="1:22" x14ac:dyDescent="0.3">
      <c r="A16" s="8" t="s">
        <v>25</v>
      </c>
      <c r="B16" s="9" t="s">
        <v>339</v>
      </c>
      <c r="C16" s="9" t="s">
        <v>14</v>
      </c>
      <c r="D16" s="9" t="s">
        <v>26</v>
      </c>
      <c r="E16" s="9" t="s">
        <v>616</v>
      </c>
      <c r="F16" s="9" t="s">
        <v>617</v>
      </c>
      <c r="G16" s="9" t="s">
        <v>619</v>
      </c>
      <c r="H16" s="10">
        <v>32</v>
      </c>
      <c r="I16" s="10">
        <v>35</v>
      </c>
      <c r="J16" s="10">
        <v>16</v>
      </c>
      <c r="K16" s="10">
        <f t="shared" si="0"/>
        <v>19.84</v>
      </c>
      <c r="L16" s="11">
        <f t="shared" si="1"/>
        <v>0.56685714285714284</v>
      </c>
      <c r="M16" s="11">
        <f t="shared" si="2"/>
        <v>-0.38</v>
      </c>
      <c r="P16" s="9" t="s">
        <v>26</v>
      </c>
      <c r="Q16" s="10">
        <f t="shared" si="5"/>
        <v>463</v>
      </c>
      <c r="R16" s="10">
        <f t="shared" si="5"/>
        <v>495</v>
      </c>
      <c r="S16" s="10">
        <f t="shared" si="5"/>
        <v>358</v>
      </c>
      <c r="T16" s="10">
        <f t="shared" si="5"/>
        <v>443.92000000000007</v>
      </c>
      <c r="U16" s="11">
        <f t="shared" si="6"/>
        <v>0.89680808080808094</v>
      </c>
      <c r="V16" s="11">
        <f t="shared" si="7"/>
        <v>-4.1209503239740666E-2</v>
      </c>
    </row>
    <row r="17" spans="1:22" x14ac:dyDescent="0.3">
      <c r="A17" s="8" t="s">
        <v>127</v>
      </c>
      <c r="B17" s="9" t="s">
        <v>425</v>
      </c>
      <c r="C17" s="9" t="s">
        <v>14</v>
      </c>
      <c r="D17" s="9" t="s">
        <v>28</v>
      </c>
      <c r="E17" s="9" t="s">
        <v>616</v>
      </c>
      <c r="F17" s="9" t="s">
        <v>617</v>
      </c>
      <c r="G17" s="9" t="s">
        <v>620</v>
      </c>
      <c r="H17" s="10">
        <v>31</v>
      </c>
      <c r="I17" s="10">
        <v>33</v>
      </c>
      <c r="J17" s="10">
        <v>34</v>
      </c>
      <c r="K17" s="10">
        <f t="shared" si="0"/>
        <v>42.160000000000004</v>
      </c>
      <c r="L17" s="11">
        <f t="shared" si="1"/>
        <v>1.2775757575757576</v>
      </c>
      <c r="M17" s="11">
        <f t="shared" si="2"/>
        <v>0.3600000000000001</v>
      </c>
      <c r="P17" s="9" t="s">
        <v>30</v>
      </c>
      <c r="Q17" s="10">
        <f t="shared" si="5"/>
        <v>304</v>
      </c>
      <c r="R17" s="10">
        <f t="shared" si="5"/>
        <v>334</v>
      </c>
      <c r="S17" s="10">
        <f t="shared" si="5"/>
        <v>241</v>
      </c>
      <c r="T17" s="10">
        <f t="shared" si="5"/>
        <v>298.84000000000003</v>
      </c>
      <c r="U17" s="11">
        <f t="shared" si="6"/>
        <v>0.89473053892215582</v>
      </c>
      <c r="V17" s="11">
        <f t="shared" si="7"/>
        <v>-1.697368421052621E-2</v>
      </c>
    </row>
    <row r="18" spans="1:22" x14ac:dyDescent="0.3">
      <c r="A18" s="8" t="s">
        <v>163</v>
      </c>
      <c r="B18" s="9" t="s">
        <v>453</v>
      </c>
      <c r="C18" s="9" t="s">
        <v>14</v>
      </c>
      <c r="D18" s="9" t="s">
        <v>26</v>
      </c>
      <c r="E18" s="9" t="s">
        <v>616</v>
      </c>
      <c r="F18" s="9" t="s">
        <v>617</v>
      </c>
      <c r="G18" s="9" t="s">
        <v>619</v>
      </c>
      <c r="H18" s="10">
        <v>127</v>
      </c>
      <c r="I18" s="10">
        <v>123</v>
      </c>
      <c r="J18" s="10">
        <v>62</v>
      </c>
      <c r="K18" s="10">
        <f t="shared" si="0"/>
        <v>76.88</v>
      </c>
      <c r="L18" s="11">
        <f t="shared" si="1"/>
        <v>0.62504065040650403</v>
      </c>
      <c r="M18" s="11">
        <f t="shared" si="2"/>
        <v>-0.3946456692913386</v>
      </c>
      <c r="P18" s="9" t="s">
        <v>28</v>
      </c>
      <c r="Q18" s="10">
        <f t="shared" si="5"/>
        <v>201</v>
      </c>
      <c r="R18" s="10">
        <f t="shared" si="5"/>
        <v>189</v>
      </c>
      <c r="S18" s="10">
        <f t="shared" si="5"/>
        <v>199</v>
      </c>
      <c r="T18" s="10">
        <f t="shared" si="5"/>
        <v>246.76000000000002</v>
      </c>
      <c r="U18" s="11">
        <f t="shared" si="6"/>
        <v>1.3056084656084657</v>
      </c>
      <c r="V18" s="11">
        <f t="shared" si="7"/>
        <v>0.22766169154228866</v>
      </c>
    </row>
    <row r="19" spans="1:22" x14ac:dyDescent="0.3">
      <c r="A19" s="8" t="s">
        <v>113</v>
      </c>
      <c r="B19" s="9" t="s">
        <v>415</v>
      </c>
      <c r="C19" s="9" t="s">
        <v>14</v>
      </c>
      <c r="D19" s="9" t="s">
        <v>24</v>
      </c>
      <c r="E19" s="9" t="s">
        <v>616</v>
      </c>
      <c r="F19" s="9" t="s">
        <v>617</v>
      </c>
      <c r="G19" s="9" t="s">
        <v>619</v>
      </c>
      <c r="H19" s="10">
        <v>26</v>
      </c>
      <c r="I19" s="10">
        <v>9</v>
      </c>
      <c r="J19" s="10">
        <v>13</v>
      </c>
      <c r="K19" s="10">
        <f t="shared" si="0"/>
        <v>16.12</v>
      </c>
      <c r="L19" s="11">
        <f t="shared" si="1"/>
        <v>1.7911111111111113</v>
      </c>
      <c r="M19" s="11">
        <f t="shared" si="2"/>
        <v>-0.37999999999999995</v>
      </c>
      <c r="P19" s="9" t="s">
        <v>40</v>
      </c>
      <c r="Q19" s="10">
        <f t="shared" si="5"/>
        <v>512</v>
      </c>
      <c r="R19" s="10">
        <f t="shared" si="5"/>
        <v>490</v>
      </c>
      <c r="S19" s="10">
        <f t="shared" si="5"/>
        <v>295</v>
      </c>
      <c r="T19" s="10">
        <f t="shared" si="5"/>
        <v>365.80000000000007</v>
      </c>
      <c r="U19" s="11">
        <f t="shared" si="6"/>
        <v>0.74653061224489814</v>
      </c>
      <c r="V19" s="11">
        <f t="shared" si="7"/>
        <v>-0.28554687499999987</v>
      </c>
    </row>
    <row r="20" spans="1:22" x14ac:dyDescent="0.3">
      <c r="A20" s="8" t="s">
        <v>110</v>
      </c>
      <c r="B20" s="9" t="s">
        <v>412</v>
      </c>
      <c r="C20" s="9" t="s">
        <v>14</v>
      </c>
      <c r="D20" s="9" t="s">
        <v>32</v>
      </c>
      <c r="E20" s="9" t="s">
        <v>616</v>
      </c>
      <c r="F20" s="9" t="s">
        <v>617</v>
      </c>
      <c r="G20" s="9" t="s">
        <v>619</v>
      </c>
      <c r="H20" s="10">
        <v>22</v>
      </c>
      <c r="I20" s="10">
        <v>25</v>
      </c>
      <c r="J20" s="10">
        <v>14</v>
      </c>
      <c r="K20" s="10">
        <f t="shared" si="0"/>
        <v>17.360000000000003</v>
      </c>
      <c r="L20" s="11">
        <f t="shared" si="1"/>
        <v>0.69440000000000013</v>
      </c>
      <c r="M20" s="11">
        <f t="shared" si="2"/>
        <v>-0.21090909090909077</v>
      </c>
      <c r="P20" s="9" t="s">
        <v>34</v>
      </c>
      <c r="Q20" s="10">
        <f t="shared" si="5"/>
        <v>317</v>
      </c>
      <c r="R20" s="10">
        <f t="shared" si="5"/>
        <v>327</v>
      </c>
      <c r="S20" s="10">
        <f t="shared" si="5"/>
        <v>208</v>
      </c>
      <c r="T20" s="10">
        <f t="shared" si="5"/>
        <v>257.91999999999996</v>
      </c>
      <c r="U20" s="11">
        <f t="shared" si="6"/>
        <v>0.7887461773700305</v>
      </c>
      <c r="V20" s="11">
        <f t="shared" si="7"/>
        <v>-0.1863722397476342</v>
      </c>
    </row>
    <row r="21" spans="1:22" x14ac:dyDescent="0.3">
      <c r="A21" s="8" t="s">
        <v>19</v>
      </c>
      <c r="B21" s="9" t="s">
        <v>335</v>
      </c>
      <c r="C21" s="9" t="s">
        <v>14</v>
      </c>
      <c r="D21" s="9" t="s">
        <v>26</v>
      </c>
      <c r="E21" s="9" t="s">
        <v>616</v>
      </c>
      <c r="F21" s="9" t="s">
        <v>617</v>
      </c>
      <c r="G21" s="9" t="s">
        <v>619</v>
      </c>
      <c r="H21" s="10">
        <v>79</v>
      </c>
      <c r="I21" s="10">
        <v>114</v>
      </c>
      <c r="J21" s="10">
        <v>80</v>
      </c>
      <c r="K21" s="10">
        <f t="shared" si="0"/>
        <v>99.2</v>
      </c>
      <c r="L21" s="11">
        <f t="shared" si="1"/>
        <v>0.87017543859649127</v>
      </c>
      <c r="M21" s="11">
        <f t="shared" si="2"/>
        <v>0.2556962025316456</v>
      </c>
      <c r="P21" s="9" t="s">
        <v>24</v>
      </c>
      <c r="Q21" s="10">
        <f t="shared" si="5"/>
        <v>493</v>
      </c>
      <c r="R21" s="10">
        <f t="shared" si="5"/>
        <v>379</v>
      </c>
      <c r="S21" s="10">
        <f t="shared" si="5"/>
        <v>338</v>
      </c>
      <c r="T21" s="10">
        <f t="shared" si="5"/>
        <v>419.12</v>
      </c>
      <c r="U21" s="11">
        <f t="shared" si="6"/>
        <v>1.1058575197889182</v>
      </c>
      <c r="V21" s="11">
        <f t="shared" si="7"/>
        <v>-0.14985801217038539</v>
      </c>
    </row>
    <row r="22" spans="1:22" x14ac:dyDescent="0.3">
      <c r="A22" s="8" t="s">
        <v>121</v>
      </c>
      <c r="B22" s="9" t="s">
        <v>419</v>
      </c>
      <c r="C22" s="9" t="s">
        <v>14</v>
      </c>
      <c r="D22" s="9" t="s">
        <v>28</v>
      </c>
      <c r="E22" s="9" t="s">
        <v>616</v>
      </c>
      <c r="F22" s="9" t="s">
        <v>617</v>
      </c>
      <c r="G22" s="9" t="s">
        <v>620</v>
      </c>
      <c r="H22" s="10">
        <v>26</v>
      </c>
      <c r="I22" s="10">
        <v>31</v>
      </c>
      <c r="J22" s="10">
        <v>26</v>
      </c>
      <c r="K22" s="10">
        <f t="shared" si="0"/>
        <v>32.24</v>
      </c>
      <c r="L22" s="11">
        <f t="shared" si="1"/>
        <v>1.04</v>
      </c>
      <c r="M22" s="11">
        <f t="shared" si="2"/>
        <v>0.24000000000000007</v>
      </c>
      <c r="P22" s="9" t="s">
        <v>38</v>
      </c>
      <c r="Q22" s="10">
        <f t="shared" si="5"/>
        <v>267</v>
      </c>
      <c r="R22" s="10">
        <f t="shared" si="5"/>
        <v>274</v>
      </c>
      <c r="S22" s="10">
        <f t="shared" si="5"/>
        <v>194</v>
      </c>
      <c r="T22" s="10">
        <f t="shared" si="5"/>
        <v>240.55999999999997</v>
      </c>
      <c r="U22" s="11">
        <f t="shared" si="6"/>
        <v>0.8779562043795619</v>
      </c>
      <c r="V22" s="11">
        <f t="shared" si="7"/>
        <v>-9.9026217228464511E-2</v>
      </c>
    </row>
    <row r="23" spans="1:22" x14ac:dyDescent="0.3">
      <c r="A23" s="8" t="s">
        <v>136</v>
      </c>
      <c r="B23" s="9" t="s">
        <v>428</v>
      </c>
      <c r="C23" s="9" t="s">
        <v>14</v>
      </c>
      <c r="D23" s="9" t="s">
        <v>26</v>
      </c>
      <c r="E23" s="9" t="s">
        <v>616</v>
      </c>
      <c r="F23" s="9" t="s">
        <v>617</v>
      </c>
      <c r="G23" s="9" t="s">
        <v>619</v>
      </c>
      <c r="H23" s="10">
        <v>43</v>
      </c>
      <c r="I23" s="10">
        <v>37</v>
      </c>
      <c r="J23" s="10">
        <v>58</v>
      </c>
      <c r="K23" s="10">
        <f t="shared" si="0"/>
        <v>71.92</v>
      </c>
      <c r="L23" s="11">
        <f t="shared" si="1"/>
        <v>1.9437837837837839</v>
      </c>
      <c r="M23" s="11">
        <f t="shared" si="2"/>
        <v>0.67255813953488375</v>
      </c>
      <c r="P23" s="9" t="s">
        <v>129</v>
      </c>
      <c r="Q23" s="10">
        <f t="shared" si="5"/>
        <v>285</v>
      </c>
      <c r="R23" s="10">
        <f t="shared" si="5"/>
        <v>42</v>
      </c>
      <c r="S23" s="10">
        <f t="shared" si="5"/>
        <v>473</v>
      </c>
      <c r="T23" s="10">
        <f t="shared" si="5"/>
        <v>586.5200000000001</v>
      </c>
      <c r="U23" s="11">
        <f t="shared" si="6"/>
        <v>13.964761904761907</v>
      </c>
      <c r="V23" s="11">
        <f t="shared" si="7"/>
        <v>1.057964912280702</v>
      </c>
    </row>
    <row r="24" spans="1:22" x14ac:dyDescent="0.3">
      <c r="A24" s="8" t="s">
        <v>67</v>
      </c>
      <c r="B24" s="9" t="s">
        <v>369</v>
      </c>
      <c r="C24" s="9" t="s">
        <v>14</v>
      </c>
      <c r="D24" s="9" t="s">
        <v>24</v>
      </c>
      <c r="E24" s="9" t="s">
        <v>616</v>
      </c>
      <c r="F24" s="9" t="s">
        <v>617</v>
      </c>
      <c r="G24" s="9" t="s">
        <v>619</v>
      </c>
      <c r="H24" s="10">
        <v>28</v>
      </c>
      <c r="I24" s="10">
        <v>19</v>
      </c>
      <c r="J24" s="10">
        <v>10</v>
      </c>
      <c r="K24" s="10">
        <f t="shared" si="0"/>
        <v>12.4</v>
      </c>
      <c r="L24" s="11">
        <f t="shared" si="1"/>
        <v>0.65263157894736845</v>
      </c>
      <c r="M24" s="11">
        <f t="shared" si="2"/>
        <v>-0.55714285714285716</v>
      </c>
      <c r="P24" s="4" t="s">
        <v>18</v>
      </c>
      <c r="Q24" s="12">
        <f t="shared" ref="Q24:T24" si="8">SUM(Q11:Q23)</f>
        <v>4322</v>
      </c>
      <c r="R24" s="12">
        <f t="shared" si="8"/>
        <v>4030</v>
      </c>
      <c r="S24" s="12">
        <f t="shared" si="8"/>
        <v>3401</v>
      </c>
      <c r="T24" s="12">
        <f t="shared" si="8"/>
        <v>4217.2400000000007</v>
      </c>
      <c r="U24" s="13">
        <f t="shared" si="6"/>
        <v>1.0464615384615386</v>
      </c>
      <c r="V24" s="14">
        <f t="shared" si="7"/>
        <v>-2.4238778343359395E-2</v>
      </c>
    </row>
    <row r="25" spans="1:22" x14ac:dyDescent="0.3">
      <c r="A25" s="8" t="s">
        <v>145</v>
      </c>
      <c r="B25" s="9" t="s">
        <v>435</v>
      </c>
      <c r="C25" s="9" t="s">
        <v>14</v>
      </c>
      <c r="D25" s="9" t="s">
        <v>26</v>
      </c>
      <c r="E25" s="9" t="s">
        <v>616</v>
      </c>
      <c r="F25" s="9" t="s">
        <v>617</v>
      </c>
      <c r="G25" s="9" t="s">
        <v>619</v>
      </c>
      <c r="H25" s="10">
        <v>40</v>
      </c>
      <c r="I25" s="10">
        <v>44</v>
      </c>
      <c r="J25" s="10">
        <v>34</v>
      </c>
      <c r="K25" s="10">
        <f t="shared" si="0"/>
        <v>42.160000000000004</v>
      </c>
      <c r="L25" s="11">
        <f t="shared" si="1"/>
        <v>0.95818181818181825</v>
      </c>
      <c r="M25" s="11">
        <f t="shared" si="2"/>
        <v>5.400000000000009E-2</v>
      </c>
    </row>
    <row r="26" spans="1:22" x14ac:dyDescent="0.3">
      <c r="A26" s="8" t="s">
        <v>41</v>
      </c>
      <c r="B26" s="9" t="s">
        <v>347</v>
      </c>
      <c r="C26" s="9" t="s">
        <v>14</v>
      </c>
      <c r="D26" s="9" t="s">
        <v>32</v>
      </c>
      <c r="E26" s="9" t="s">
        <v>616</v>
      </c>
      <c r="F26" s="9" t="s">
        <v>617</v>
      </c>
      <c r="G26" s="9" t="s">
        <v>619</v>
      </c>
      <c r="H26" s="10">
        <v>71</v>
      </c>
      <c r="I26" s="10">
        <v>73</v>
      </c>
      <c r="J26" s="10">
        <v>52</v>
      </c>
      <c r="K26" s="10">
        <f t="shared" si="0"/>
        <v>64.48</v>
      </c>
      <c r="L26" s="11">
        <f t="shared" si="1"/>
        <v>0.88328767123287677</v>
      </c>
      <c r="M26" s="11">
        <f t="shared" si="2"/>
        <v>-9.1830985915492908E-2</v>
      </c>
    </row>
    <row r="27" spans="1:22" x14ac:dyDescent="0.3">
      <c r="A27" s="8" t="s">
        <v>27</v>
      </c>
      <c r="B27" s="9" t="s">
        <v>340</v>
      </c>
      <c r="C27" s="9" t="s">
        <v>14</v>
      </c>
      <c r="D27" s="9" t="s">
        <v>24</v>
      </c>
      <c r="E27" s="9" t="s">
        <v>616</v>
      </c>
      <c r="F27" s="9" t="s">
        <v>617</v>
      </c>
      <c r="G27" s="9" t="s">
        <v>619</v>
      </c>
      <c r="H27" s="10">
        <v>33</v>
      </c>
      <c r="I27" s="10">
        <v>29</v>
      </c>
      <c r="J27" s="10">
        <v>22</v>
      </c>
      <c r="K27" s="10">
        <f t="shared" si="0"/>
        <v>27.28</v>
      </c>
      <c r="L27" s="11">
        <f t="shared" si="1"/>
        <v>0.94068965517241387</v>
      </c>
      <c r="M27" s="11">
        <f t="shared" si="2"/>
        <v>-0.17333333333333331</v>
      </c>
    </row>
    <row r="28" spans="1:22" x14ac:dyDescent="0.3">
      <c r="A28" s="8" t="s">
        <v>119</v>
      </c>
      <c r="B28" s="9" t="s">
        <v>418</v>
      </c>
      <c r="C28" s="9" t="s">
        <v>14</v>
      </c>
      <c r="D28" s="9" t="s">
        <v>32</v>
      </c>
      <c r="E28" s="9" t="s">
        <v>616</v>
      </c>
      <c r="F28" s="9" t="s">
        <v>617</v>
      </c>
      <c r="G28" s="9" t="s">
        <v>619</v>
      </c>
      <c r="H28" s="10">
        <v>60</v>
      </c>
      <c r="I28" s="10">
        <v>49</v>
      </c>
      <c r="J28" s="10">
        <v>45</v>
      </c>
      <c r="K28" s="10">
        <f t="shared" si="0"/>
        <v>55.800000000000004</v>
      </c>
      <c r="L28" s="11">
        <f t="shared" si="1"/>
        <v>1.1387755102040817</v>
      </c>
      <c r="M28" s="11">
        <f t="shared" si="2"/>
        <v>-6.9999999999999923E-2</v>
      </c>
    </row>
    <row r="29" spans="1:22" x14ac:dyDescent="0.3">
      <c r="A29" s="8" t="s">
        <v>15</v>
      </c>
      <c r="B29" s="9" t="s">
        <v>333</v>
      </c>
      <c r="C29" s="9" t="s">
        <v>14</v>
      </c>
      <c r="D29" s="9" t="s">
        <v>24</v>
      </c>
      <c r="E29" s="9" t="s">
        <v>616</v>
      </c>
      <c r="F29" s="9" t="s">
        <v>617</v>
      </c>
      <c r="G29" s="9" t="s">
        <v>619</v>
      </c>
      <c r="H29" s="10">
        <v>87</v>
      </c>
      <c r="I29" s="10">
        <v>62</v>
      </c>
      <c r="J29" s="10">
        <v>47</v>
      </c>
      <c r="K29" s="10">
        <f t="shared" si="0"/>
        <v>58.279999999999994</v>
      </c>
      <c r="L29" s="11">
        <f t="shared" si="1"/>
        <v>0.94</v>
      </c>
      <c r="M29" s="11">
        <f t="shared" si="2"/>
        <v>-0.33011494252873569</v>
      </c>
    </row>
    <row r="30" spans="1:22" x14ac:dyDescent="0.3">
      <c r="A30" s="8" t="s">
        <v>231</v>
      </c>
      <c r="B30" s="9" t="s">
        <v>521</v>
      </c>
      <c r="C30" s="9" t="s">
        <v>14</v>
      </c>
      <c r="D30" s="9" t="s">
        <v>24</v>
      </c>
      <c r="E30" s="9" t="s">
        <v>616</v>
      </c>
      <c r="F30" s="9" t="s">
        <v>617</v>
      </c>
      <c r="G30" s="9" t="s">
        <v>619</v>
      </c>
      <c r="H30" s="10">
        <v>26</v>
      </c>
      <c r="I30" s="10">
        <v>8</v>
      </c>
      <c r="J30" s="10">
        <v>21</v>
      </c>
      <c r="K30" s="10">
        <f t="shared" si="0"/>
        <v>26.04</v>
      </c>
      <c r="L30" s="11">
        <f t="shared" si="1"/>
        <v>3.2549999999999999</v>
      </c>
      <c r="M30" s="11">
        <f t="shared" si="2"/>
        <v>1.5384615384615057E-3</v>
      </c>
      <c r="V30" s="15"/>
    </row>
    <row r="31" spans="1:22" x14ac:dyDescent="0.3">
      <c r="A31" s="8" t="s">
        <v>112</v>
      </c>
      <c r="B31" s="9" t="s">
        <v>414</v>
      </c>
      <c r="C31" s="9" t="s">
        <v>14</v>
      </c>
      <c r="D31" s="9" t="s">
        <v>32</v>
      </c>
      <c r="E31" s="9" t="s">
        <v>616</v>
      </c>
      <c r="F31" s="9" t="s">
        <v>617</v>
      </c>
      <c r="G31" s="9" t="s">
        <v>619</v>
      </c>
      <c r="H31" s="10">
        <v>2</v>
      </c>
      <c r="I31" s="10">
        <v>5</v>
      </c>
      <c r="J31" s="10">
        <v>2</v>
      </c>
      <c r="K31" s="10">
        <f t="shared" si="0"/>
        <v>2.48</v>
      </c>
      <c r="L31" s="11">
        <f t="shared" si="1"/>
        <v>0.496</v>
      </c>
      <c r="M31" s="11">
        <f t="shared" si="2"/>
        <v>0.24</v>
      </c>
    </row>
    <row r="32" spans="1:22" x14ac:dyDescent="0.3">
      <c r="A32" s="8" t="s">
        <v>108</v>
      </c>
      <c r="B32" s="9" t="s">
        <v>410</v>
      </c>
      <c r="C32" s="9" t="s">
        <v>14</v>
      </c>
      <c r="D32" s="9" t="s">
        <v>24</v>
      </c>
      <c r="E32" s="9" t="s">
        <v>616</v>
      </c>
      <c r="F32" s="9" t="s">
        <v>617</v>
      </c>
      <c r="G32" s="9" t="s">
        <v>619</v>
      </c>
      <c r="H32" s="10">
        <v>30</v>
      </c>
      <c r="I32" s="10">
        <v>31</v>
      </c>
      <c r="J32" s="10">
        <v>36</v>
      </c>
      <c r="K32" s="10">
        <f t="shared" si="0"/>
        <v>44.64</v>
      </c>
      <c r="L32" s="11">
        <f t="shared" si="1"/>
        <v>1.44</v>
      </c>
      <c r="M32" s="11">
        <f t="shared" si="2"/>
        <v>0.48800000000000004</v>
      </c>
    </row>
    <row r="33" spans="1:13" x14ac:dyDescent="0.3">
      <c r="A33" s="8" t="s">
        <v>105</v>
      </c>
      <c r="B33" s="9" t="s">
        <v>407</v>
      </c>
      <c r="C33" s="9" t="s">
        <v>14</v>
      </c>
      <c r="D33" s="9" t="s">
        <v>32</v>
      </c>
      <c r="E33" s="9" t="s">
        <v>616</v>
      </c>
      <c r="F33" s="9" t="s">
        <v>617</v>
      </c>
      <c r="G33" s="9" t="s">
        <v>619</v>
      </c>
      <c r="H33" s="10">
        <v>40</v>
      </c>
      <c r="I33" s="10">
        <v>34</v>
      </c>
      <c r="J33" s="10">
        <v>27</v>
      </c>
      <c r="K33" s="10">
        <f t="shared" si="0"/>
        <v>33.480000000000004</v>
      </c>
      <c r="L33" s="11">
        <f t="shared" si="1"/>
        <v>0.98470588235294132</v>
      </c>
      <c r="M33" s="11">
        <f t="shared" si="2"/>
        <v>-0.16299999999999989</v>
      </c>
    </row>
    <row r="34" spans="1:13" x14ac:dyDescent="0.3">
      <c r="A34" s="8" t="s">
        <v>103</v>
      </c>
      <c r="B34" s="9" t="s">
        <v>405</v>
      </c>
      <c r="C34" s="9" t="s">
        <v>14</v>
      </c>
      <c r="D34" s="9" t="s">
        <v>26</v>
      </c>
      <c r="E34" s="9" t="s">
        <v>616</v>
      </c>
      <c r="F34" s="9" t="s">
        <v>617</v>
      </c>
      <c r="G34" s="9" t="s">
        <v>619</v>
      </c>
      <c r="H34" s="10">
        <v>28</v>
      </c>
      <c r="I34" s="10">
        <v>22</v>
      </c>
      <c r="J34" s="10">
        <v>21</v>
      </c>
      <c r="K34" s="10">
        <f t="shared" si="0"/>
        <v>26.04</v>
      </c>
      <c r="L34" s="11">
        <f t="shared" si="1"/>
        <v>1.1836363636363636</v>
      </c>
      <c r="M34" s="11">
        <f t="shared" si="2"/>
        <v>-7.0000000000000034E-2</v>
      </c>
    </row>
    <row r="35" spans="1:13" x14ac:dyDescent="0.3">
      <c r="A35" s="8" t="s">
        <v>87</v>
      </c>
      <c r="B35" s="9" t="s">
        <v>389</v>
      </c>
      <c r="C35" s="9" t="s">
        <v>14</v>
      </c>
      <c r="D35" s="9" t="s">
        <v>32</v>
      </c>
      <c r="E35" s="9" t="s">
        <v>616</v>
      </c>
      <c r="F35" s="9" t="s">
        <v>617</v>
      </c>
      <c r="G35" s="9" t="s">
        <v>619</v>
      </c>
      <c r="H35" s="10">
        <v>27</v>
      </c>
      <c r="I35" s="10">
        <v>29</v>
      </c>
      <c r="J35" s="10">
        <v>17</v>
      </c>
      <c r="K35" s="10">
        <f t="shared" si="0"/>
        <v>21.080000000000002</v>
      </c>
      <c r="L35" s="11">
        <f t="shared" si="1"/>
        <v>0.72689655172413803</v>
      </c>
      <c r="M35" s="11">
        <f t="shared" si="2"/>
        <v>-0.21925925925925918</v>
      </c>
    </row>
    <row r="36" spans="1:13" x14ac:dyDescent="0.3">
      <c r="A36" s="8" t="s">
        <v>66</v>
      </c>
      <c r="B36" s="9" t="s">
        <v>368</v>
      </c>
      <c r="C36" s="9" t="s">
        <v>14</v>
      </c>
      <c r="D36" s="9" t="s">
        <v>28</v>
      </c>
      <c r="E36" s="9" t="s">
        <v>616</v>
      </c>
      <c r="F36" s="9" t="s">
        <v>617</v>
      </c>
      <c r="G36" s="9" t="s">
        <v>620</v>
      </c>
      <c r="H36" s="10">
        <v>45</v>
      </c>
      <c r="I36" s="10">
        <v>40</v>
      </c>
      <c r="J36" s="10">
        <v>44</v>
      </c>
      <c r="K36" s="10">
        <f t="shared" si="0"/>
        <v>54.56</v>
      </c>
      <c r="L36" s="11">
        <f t="shared" si="1"/>
        <v>1.3640000000000001</v>
      </c>
      <c r="M36" s="11">
        <f t="shared" si="2"/>
        <v>0.21244444444444449</v>
      </c>
    </row>
    <row r="37" spans="1:13" x14ac:dyDescent="0.3">
      <c r="A37" s="8" t="s">
        <v>94</v>
      </c>
      <c r="B37" s="9" t="s">
        <v>396</v>
      </c>
      <c r="C37" s="9" t="s">
        <v>14</v>
      </c>
      <c r="D37" s="9" t="s">
        <v>32</v>
      </c>
      <c r="E37" s="9" t="s">
        <v>616</v>
      </c>
      <c r="F37" s="9" t="s">
        <v>617</v>
      </c>
      <c r="G37" s="9" t="s">
        <v>619</v>
      </c>
      <c r="H37" s="10">
        <v>6</v>
      </c>
      <c r="I37" s="10">
        <v>7</v>
      </c>
      <c r="J37" s="10">
        <v>13</v>
      </c>
      <c r="K37" s="10">
        <f t="shared" si="0"/>
        <v>16.12</v>
      </c>
      <c r="L37" s="11">
        <f t="shared" si="1"/>
        <v>2.3028571428571429</v>
      </c>
      <c r="M37" s="11">
        <f t="shared" si="2"/>
        <v>1.6866666666666668</v>
      </c>
    </row>
    <row r="38" spans="1:13" x14ac:dyDescent="0.3">
      <c r="A38" s="8" t="s">
        <v>83</v>
      </c>
      <c r="B38" s="9" t="s">
        <v>385</v>
      </c>
      <c r="C38" s="9" t="s">
        <v>14</v>
      </c>
      <c r="D38" s="9" t="s">
        <v>32</v>
      </c>
      <c r="E38" s="9" t="s">
        <v>616</v>
      </c>
      <c r="F38" s="9" t="s">
        <v>617</v>
      </c>
      <c r="G38" s="9" t="s">
        <v>619</v>
      </c>
      <c r="H38" s="10">
        <v>28</v>
      </c>
      <c r="I38" s="10">
        <v>31</v>
      </c>
      <c r="J38" s="10">
        <v>12</v>
      </c>
      <c r="K38" s="10">
        <f t="shared" si="0"/>
        <v>14.879999999999999</v>
      </c>
      <c r="L38" s="11">
        <f t="shared" si="1"/>
        <v>0.48</v>
      </c>
      <c r="M38" s="11">
        <f t="shared" si="2"/>
        <v>-0.46857142857142858</v>
      </c>
    </row>
    <row r="39" spans="1:13" x14ac:dyDescent="0.3">
      <c r="A39" s="8" t="s">
        <v>65</v>
      </c>
      <c r="B39" s="9" t="s">
        <v>367</v>
      </c>
      <c r="C39" s="9" t="s">
        <v>14</v>
      </c>
      <c r="D39" s="9" t="s">
        <v>26</v>
      </c>
      <c r="E39" s="9" t="s">
        <v>616</v>
      </c>
      <c r="F39" s="9" t="s">
        <v>617</v>
      </c>
      <c r="G39" s="9" t="s">
        <v>619</v>
      </c>
      <c r="H39" s="10">
        <v>34</v>
      </c>
      <c r="I39" s="10">
        <v>34</v>
      </c>
      <c r="J39" s="10">
        <v>36</v>
      </c>
      <c r="K39" s="10">
        <f t="shared" si="0"/>
        <v>44.64</v>
      </c>
      <c r="L39" s="11">
        <f t="shared" si="1"/>
        <v>1.3129411764705883</v>
      </c>
      <c r="M39" s="11">
        <f t="shared" si="2"/>
        <v>0.31294117647058828</v>
      </c>
    </row>
    <row r="40" spans="1:13" x14ac:dyDescent="0.3">
      <c r="A40" s="8" t="s">
        <v>96</v>
      </c>
      <c r="B40" s="9" t="s">
        <v>398</v>
      </c>
      <c r="C40" s="9" t="s">
        <v>14</v>
      </c>
      <c r="D40" s="9" t="s">
        <v>32</v>
      </c>
      <c r="E40" s="9" t="s">
        <v>616</v>
      </c>
      <c r="F40" s="9" t="s">
        <v>617</v>
      </c>
      <c r="G40" s="9" t="s">
        <v>619</v>
      </c>
      <c r="H40" s="10">
        <v>33</v>
      </c>
      <c r="I40" s="10">
        <v>37</v>
      </c>
      <c r="J40" s="10">
        <v>19</v>
      </c>
      <c r="K40" s="10">
        <f t="shared" si="0"/>
        <v>23.56</v>
      </c>
      <c r="L40" s="11">
        <f t="shared" si="1"/>
        <v>0.63675675675675669</v>
      </c>
      <c r="M40" s="11">
        <f t="shared" si="2"/>
        <v>-0.28606060606060613</v>
      </c>
    </row>
    <row r="41" spans="1:13" x14ac:dyDescent="0.3">
      <c r="A41" s="8" t="s">
        <v>17</v>
      </c>
      <c r="B41" s="9" t="s">
        <v>334</v>
      </c>
      <c r="C41" s="9" t="s">
        <v>14</v>
      </c>
      <c r="D41" s="9" t="s">
        <v>24</v>
      </c>
      <c r="E41" s="9" t="s">
        <v>616</v>
      </c>
      <c r="F41" s="9" t="s">
        <v>617</v>
      </c>
      <c r="G41" s="9" t="s">
        <v>619</v>
      </c>
      <c r="H41" s="10">
        <v>100</v>
      </c>
      <c r="I41" s="10">
        <v>79</v>
      </c>
      <c r="J41" s="10">
        <v>62</v>
      </c>
      <c r="K41" s="10">
        <f t="shared" si="0"/>
        <v>76.88</v>
      </c>
      <c r="L41" s="11">
        <f t="shared" si="1"/>
        <v>0.97316455696202531</v>
      </c>
      <c r="M41" s="11">
        <f t="shared" si="2"/>
        <v>-0.23120000000000004</v>
      </c>
    </row>
    <row r="42" spans="1:13" x14ac:dyDescent="0.3">
      <c r="A42" s="8" t="s">
        <v>149</v>
      </c>
      <c r="B42" s="9" t="s">
        <v>439</v>
      </c>
      <c r="C42" s="9" t="s">
        <v>14</v>
      </c>
      <c r="D42" s="9" t="s">
        <v>32</v>
      </c>
      <c r="E42" s="9" t="s">
        <v>616</v>
      </c>
      <c r="F42" s="9" t="s">
        <v>617</v>
      </c>
      <c r="G42" s="9" t="s">
        <v>619</v>
      </c>
      <c r="H42" s="10">
        <v>38</v>
      </c>
      <c r="I42" s="10">
        <v>39</v>
      </c>
      <c r="J42" s="10">
        <v>25</v>
      </c>
      <c r="K42" s="10">
        <f t="shared" si="0"/>
        <v>31</v>
      </c>
      <c r="L42" s="11">
        <f t="shared" si="1"/>
        <v>0.79487179487179482</v>
      </c>
      <c r="M42" s="11">
        <f t="shared" si="2"/>
        <v>-0.18421052631578946</v>
      </c>
    </row>
    <row r="43" spans="1:13" x14ac:dyDescent="0.3">
      <c r="A43" s="8" t="s">
        <v>154</v>
      </c>
      <c r="B43" s="9" t="s">
        <v>444</v>
      </c>
      <c r="C43" s="9" t="s">
        <v>14</v>
      </c>
      <c r="D43" s="9" t="s">
        <v>24</v>
      </c>
      <c r="E43" s="9" t="s">
        <v>616</v>
      </c>
      <c r="F43" s="9" t="s">
        <v>617</v>
      </c>
      <c r="G43" s="9" t="s">
        <v>619</v>
      </c>
      <c r="H43" s="10">
        <v>47</v>
      </c>
      <c r="I43" s="10">
        <v>45</v>
      </c>
      <c r="J43" s="10">
        <v>28</v>
      </c>
      <c r="K43" s="10">
        <f t="shared" si="0"/>
        <v>34.720000000000006</v>
      </c>
      <c r="L43" s="11">
        <f t="shared" si="1"/>
        <v>0.77155555555555566</v>
      </c>
      <c r="M43" s="11">
        <f t="shared" si="2"/>
        <v>-0.26127659574468071</v>
      </c>
    </row>
    <row r="44" spans="1:13" x14ac:dyDescent="0.3">
      <c r="A44" s="8" t="s">
        <v>69</v>
      </c>
      <c r="B44" s="9" t="s">
        <v>371</v>
      </c>
      <c r="C44" s="9" t="s">
        <v>14</v>
      </c>
      <c r="D44" s="9" t="s">
        <v>32</v>
      </c>
      <c r="E44" s="9" t="s">
        <v>616</v>
      </c>
      <c r="F44" s="9" t="s">
        <v>617</v>
      </c>
      <c r="G44" s="9" t="s">
        <v>619</v>
      </c>
      <c r="H44" s="10">
        <v>21</v>
      </c>
      <c r="I44" s="10">
        <v>25</v>
      </c>
      <c r="J44" s="10">
        <v>27</v>
      </c>
      <c r="K44" s="10">
        <f t="shared" si="0"/>
        <v>33.480000000000004</v>
      </c>
      <c r="L44" s="11">
        <f t="shared" si="1"/>
        <v>1.3392000000000002</v>
      </c>
      <c r="M44" s="11">
        <f t="shared" si="2"/>
        <v>0.59428571428571453</v>
      </c>
    </row>
    <row r="45" spans="1:13" x14ac:dyDescent="0.3">
      <c r="A45" s="8" t="s">
        <v>73</v>
      </c>
      <c r="B45" s="9" t="s">
        <v>375</v>
      </c>
      <c r="C45" s="9" t="s">
        <v>14</v>
      </c>
      <c r="D45" s="9" t="s">
        <v>26</v>
      </c>
      <c r="E45" s="9" t="s">
        <v>616</v>
      </c>
      <c r="F45" s="9" t="s">
        <v>617</v>
      </c>
      <c r="G45" s="9" t="s">
        <v>619</v>
      </c>
      <c r="H45" s="10">
        <v>43</v>
      </c>
      <c r="I45" s="10">
        <v>43</v>
      </c>
      <c r="J45" s="10">
        <v>33</v>
      </c>
      <c r="K45" s="10">
        <f t="shared" si="0"/>
        <v>40.92</v>
      </c>
      <c r="L45" s="11">
        <f t="shared" si="1"/>
        <v>0.95162790697674426</v>
      </c>
      <c r="M45" s="11">
        <f t="shared" si="2"/>
        <v>-4.8372093023255777E-2</v>
      </c>
    </row>
    <row r="46" spans="1:13" x14ac:dyDescent="0.3">
      <c r="A46" s="8" t="s">
        <v>31</v>
      </c>
      <c r="B46" s="9" t="s">
        <v>342</v>
      </c>
      <c r="C46" s="9" t="s">
        <v>14</v>
      </c>
      <c r="D46" s="9" t="s">
        <v>32</v>
      </c>
      <c r="E46" s="9" t="s">
        <v>616</v>
      </c>
      <c r="F46" s="9" t="s">
        <v>617</v>
      </c>
      <c r="G46" s="9" t="s">
        <v>619</v>
      </c>
      <c r="H46" s="10">
        <v>18</v>
      </c>
      <c r="I46" s="10">
        <v>23</v>
      </c>
      <c r="J46" s="10">
        <v>16</v>
      </c>
      <c r="K46" s="10">
        <f t="shared" si="0"/>
        <v>19.84</v>
      </c>
      <c r="L46" s="11">
        <f t="shared" si="1"/>
        <v>0.86260869565217391</v>
      </c>
      <c r="M46" s="11">
        <f t="shared" si="2"/>
        <v>0.10222222222222221</v>
      </c>
    </row>
    <row r="47" spans="1:13" x14ac:dyDescent="0.3">
      <c r="A47" s="8" t="s">
        <v>140</v>
      </c>
      <c r="B47" s="9" t="s">
        <v>430</v>
      </c>
      <c r="C47" s="9" t="s">
        <v>14</v>
      </c>
      <c r="D47" s="9" t="s">
        <v>26</v>
      </c>
      <c r="E47" s="9" t="s">
        <v>616</v>
      </c>
      <c r="F47" s="9" t="s">
        <v>617</v>
      </c>
      <c r="G47" s="9" t="s">
        <v>619</v>
      </c>
      <c r="H47" s="10">
        <v>37</v>
      </c>
      <c r="I47" s="10">
        <v>43</v>
      </c>
      <c r="J47" s="10">
        <v>18</v>
      </c>
      <c r="K47" s="10">
        <f t="shared" si="0"/>
        <v>22.32</v>
      </c>
      <c r="L47" s="11">
        <f t="shared" si="1"/>
        <v>0.51906976744186051</v>
      </c>
      <c r="M47" s="11">
        <f t="shared" si="2"/>
        <v>-0.39675675675675676</v>
      </c>
    </row>
    <row r="48" spans="1:13" x14ac:dyDescent="0.3">
      <c r="A48" s="8" t="s">
        <v>257</v>
      </c>
      <c r="B48" s="9" t="s">
        <v>546</v>
      </c>
      <c r="C48" s="9" t="s">
        <v>14</v>
      </c>
      <c r="D48" s="9" t="s">
        <v>32</v>
      </c>
      <c r="E48" s="9" t="s">
        <v>630</v>
      </c>
      <c r="F48" s="9" t="s">
        <v>617</v>
      </c>
      <c r="G48" s="9" t="s">
        <v>619</v>
      </c>
      <c r="H48" s="10">
        <v>2</v>
      </c>
      <c r="I48" s="10">
        <v>4</v>
      </c>
      <c r="J48" s="10">
        <v>9</v>
      </c>
      <c r="K48" s="10">
        <f t="shared" si="0"/>
        <v>11.16</v>
      </c>
      <c r="L48" s="11">
        <f t="shared" si="1"/>
        <v>2.79</v>
      </c>
      <c r="M48" s="11">
        <f t="shared" si="2"/>
        <v>4.58</v>
      </c>
    </row>
    <row r="49" spans="1:13" x14ac:dyDescent="0.3">
      <c r="A49" s="8" t="s">
        <v>168</v>
      </c>
      <c r="B49" s="9" t="s">
        <v>458</v>
      </c>
      <c r="C49" s="9" t="s">
        <v>14</v>
      </c>
      <c r="D49" s="9" t="s">
        <v>24</v>
      </c>
      <c r="E49" s="9" t="s">
        <v>616</v>
      </c>
      <c r="F49" s="9" t="s">
        <v>617</v>
      </c>
      <c r="G49" s="9" t="s">
        <v>619</v>
      </c>
      <c r="H49" s="10">
        <v>115</v>
      </c>
      <c r="I49" s="10">
        <v>97</v>
      </c>
      <c r="J49" s="10">
        <v>98</v>
      </c>
      <c r="K49" s="10">
        <f t="shared" si="0"/>
        <v>121.52</v>
      </c>
      <c r="L49" s="11">
        <f t="shared" si="1"/>
        <v>1.2527835051546392</v>
      </c>
      <c r="M49" s="11">
        <f t="shared" si="2"/>
        <v>5.6695652173913008E-2</v>
      </c>
    </row>
    <row r="50" spans="1:13" x14ac:dyDescent="0.3">
      <c r="A50" s="8" t="s">
        <v>258</v>
      </c>
      <c r="B50" s="9" t="s">
        <v>547</v>
      </c>
      <c r="C50" s="9" t="s">
        <v>14</v>
      </c>
      <c r="D50" s="9" t="s">
        <v>24</v>
      </c>
      <c r="E50" s="9" t="s">
        <v>630</v>
      </c>
      <c r="F50" s="9" t="s">
        <v>617</v>
      </c>
      <c r="G50" s="9" t="s">
        <v>619</v>
      </c>
      <c r="H50" s="10">
        <v>1</v>
      </c>
      <c r="I50" s="10">
        <v>0</v>
      </c>
      <c r="J50" s="10">
        <v>1</v>
      </c>
      <c r="K50" s="10">
        <f t="shared" si="0"/>
        <v>1.24</v>
      </c>
      <c r="L50" s="11">
        <f t="shared" si="1"/>
        <v>0</v>
      </c>
      <c r="M50" s="11">
        <f t="shared" si="2"/>
        <v>0.24</v>
      </c>
    </row>
    <row r="51" spans="1:13" x14ac:dyDescent="0.3">
      <c r="A51" s="8" t="s">
        <v>259</v>
      </c>
      <c r="B51" s="9" t="s">
        <v>548</v>
      </c>
      <c r="C51" s="9" t="s">
        <v>14</v>
      </c>
      <c r="D51" s="9" t="s">
        <v>28</v>
      </c>
      <c r="E51" s="9" t="s">
        <v>630</v>
      </c>
      <c r="F51" s="9" t="s">
        <v>617</v>
      </c>
      <c r="G51" s="9" t="s">
        <v>620</v>
      </c>
      <c r="H51" s="10">
        <v>1</v>
      </c>
      <c r="I51" s="10">
        <v>0</v>
      </c>
      <c r="J51" s="10">
        <v>0</v>
      </c>
      <c r="K51" s="10">
        <f t="shared" si="0"/>
        <v>0</v>
      </c>
      <c r="L51" s="11">
        <f t="shared" si="1"/>
        <v>0</v>
      </c>
      <c r="M51" s="11">
        <f t="shared" si="2"/>
        <v>-1</v>
      </c>
    </row>
    <row r="52" spans="1:13" x14ac:dyDescent="0.3">
      <c r="A52" s="8" t="s">
        <v>260</v>
      </c>
      <c r="B52" s="9" t="s">
        <v>549</v>
      </c>
      <c r="C52" s="9" t="s">
        <v>14</v>
      </c>
      <c r="D52" s="9" t="s">
        <v>32</v>
      </c>
      <c r="E52" s="9" t="s">
        <v>630</v>
      </c>
      <c r="F52" s="9" t="s">
        <v>617</v>
      </c>
      <c r="G52" s="9" t="s">
        <v>619</v>
      </c>
      <c r="H52" s="10">
        <v>25</v>
      </c>
      <c r="I52" s="10">
        <v>20</v>
      </c>
      <c r="J52" s="10">
        <v>38</v>
      </c>
      <c r="K52" s="10">
        <f t="shared" si="0"/>
        <v>47.12</v>
      </c>
      <c r="L52" s="11">
        <f t="shared" si="1"/>
        <v>2.3559999999999999</v>
      </c>
      <c r="M52" s="11">
        <f t="shared" si="2"/>
        <v>0.88479999999999992</v>
      </c>
    </row>
    <row r="53" spans="1:13" x14ac:dyDescent="0.3">
      <c r="A53" s="8" t="s">
        <v>50</v>
      </c>
      <c r="B53" s="9" t="s">
        <v>354</v>
      </c>
      <c r="C53" s="9" t="s">
        <v>14</v>
      </c>
      <c r="D53" s="9" t="s">
        <v>30</v>
      </c>
      <c r="E53" s="9" t="s">
        <v>616</v>
      </c>
      <c r="F53" s="9" t="s">
        <v>617</v>
      </c>
      <c r="G53" s="9" t="s">
        <v>620</v>
      </c>
      <c r="H53" s="10">
        <v>35</v>
      </c>
      <c r="I53" s="10">
        <v>36</v>
      </c>
      <c r="J53" s="10">
        <v>27</v>
      </c>
      <c r="K53" s="10">
        <f t="shared" si="0"/>
        <v>33.480000000000004</v>
      </c>
      <c r="L53" s="11">
        <f t="shared" si="1"/>
        <v>0.93000000000000016</v>
      </c>
      <c r="M53" s="11">
        <f t="shared" si="2"/>
        <v>-4.3428571428571316E-2</v>
      </c>
    </row>
    <row r="54" spans="1:13" x14ac:dyDescent="0.3">
      <c r="A54" s="8" t="s">
        <v>123</v>
      </c>
      <c r="B54" s="9" t="s">
        <v>421</v>
      </c>
      <c r="C54" s="9" t="s">
        <v>14</v>
      </c>
      <c r="D54" s="9" t="s">
        <v>30</v>
      </c>
      <c r="E54" s="9" t="s">
        <v>616</v>
      </c>
      <c r="F54" s="9" t="s">
        <v>617</v>
      </c>
      <c r="G54" s="9" t="s">
        <v>620</v>
      </c>
      <c r="H54" s="10">
        <v>9</v>
      </c>
      <c r="I54" s="10">
        <v>6</v>
      </c>
      <c r="J54" s="10">
        <v>8</v>
      </c>
      <c r="K54" s="10">
        <f t="shared" si="0"/>
        <v>9.92</v>
      </c>
      <c r="L54" s="11">
        <f t="shared" si="1"/>
        <v>1.6533333333333333</v>
      </c>
      <c r="M54" s="11">
        <f t="shared" si="2"/>
        <v>0.10222222222222221</v>
      </c>
    </row>
    <row r="55" spans="1:13" x14ac:dyDescent="0.3">
      <c r="A55" s="8" t="s">
        <v>93</v>
      </c>
      <c r="B55" s="9" t="s">
        <v>395</v>
      </c>
      <c r="C55" s="9" t="s">
        <v>14</v>
      </c>
      <c r="D55" s="9" t="s">
        <v>30</v>
      </c>
      <c r="E55" s="9" t="s">
        <v>616</v>
      </c>
      <c r="F55" s="9" t="s">
        <v>617</v>
      </c>
      <c r="G55" s="9" t="s">
        <v>620</v>
      </c>
      <c r="H55" s="10">
        <v>32</v>
      </c>
      <c r="I55" s="10">
        <v>36</v>
      </c>
      <c r="J55" s="10">
        <v>30</v>
      </c>
      <c r="K55" s="10">
        <f t="shared" si="0"/>
        <v>37.199999999999996</v>
      </c>
      <c r="L55" s="11">
        <f t="shared" si="1"/>
        <v>1.0333333333333332</v>
      </c>
      <c r="M55" s="11">
        <f t="shared" si="2"/>
        <v>0.16249999999999987</v>
      </c>
    </row>
    <row r="56" spans="1:13" x14ac:dyDescent="0.3">
      <c r="A56" s="8" t="s">
        <v>233</v>
      </c>
      <c r="B56" s="9" t="s">
        <v>523</v>
      </c>
      <c r="C56" s="9" t="s">
        <v>14</v>
      </c>
      <c r="D56" s="9" t="s">
        <v>30</v>
      </c>
      <c r="E56" s="9" t="s">
        <v>616</v>
      </c>
      <c r="F56" s="9" t="s">
        <v>617</v>
      </c>
      <c r="G56" s="9" t="s">
        <v>620</v>
      </c>
      <c r="H56" s="10">
        <v>3</v>
      </c>
      <c r="I56" s="10">
        <v>3</v>
      </c>
      <c r="J56" s="10">
        <v>1</v>
      </c>
      <c r="K56" s="10">
        <f t="shared" si="0"/>
        <v>1.24</v>
      </c>
      <c r="L56" s="11">
        <f t="shared" si="1"/>
        <v>0.41333333333333333</v>
      </c>
      <c r="M56" s="11">
        <f t="shared" si="2"/>
        <v>-0.58666666666666667</v>
      </c>
    </row>
    <row r="57" spans="1:13" x14ac:dyDescent="0.3">
      <c r="A57" s="8" t="s">
        <v>122</v>
      </c>
      <c r="B57" s="9" t="s">
        <v>420</v>
      </c>
      <c r="C57" s="9" t="s">
        <v>14</v>
      </c>
      <c r="D57" s="9" t="s">
        <v>30</v>
      </c>
      <c r="E57" s="9" t="s">
        <v>616</v>
      </c>
      <c r="F57" s="9" t="s">
        <v>617</v>
      </c>
      <c r="G57" s="9" t="s">
        <v>620</v>
      </c>
      <c r="H57" s="10">
        <v>26</v>
      </c>
      <c r="I57" s="10">
        <v>29</v>
      </c>
      <c r="J57" s="10">
        <v>18</v>
      </c>
      <c r="K57" s="10">
        <f t="shared" si="0"/>
        <v>22.32</v>
      </c>
      <c r="L57" s="11">
        <f t="shared" si="1"/>
        <v>0.76965517241379311</v>
      </c>
      <c r="M57" s="11">
        <f t="shared" si="2"/>
        <v>-0.14153846153846153</v>
      </c>
    </row>
    <row r="58" spans="1:13" x14ac:dyDescent="0.3">
      <c r="A58" s="8" t="s">
        <v>21</v>
      </c>
      <c r="B58" s="9" t="s">
        <v>337</v>
      </c>
      <c r="C58" s="9" t="s">
        <v>14</v>
      </c>
      <c r="D58" s="9" t="s">
        <v>30</v>
      </c>
      <c r="E58" s="9" t="s">
        <v>616</v>
      </c>
      <c r="F58" s="9" t="s">
        <v>617</v>
      </c>
      <c r="G58" s="9" t="s">
        <v>620</v>
      </c>
      <c r="H58" s="10">
        <v>85</v>
      </c>
      <c r="I58" s="10">
        <v>82</v>
      </c>
      <c r="J58" s="10">
        <v>61</v>
      </c>
      <c r="K58" s="10">
        <f t="shared" si="0"/>
        <v>75.64</v>
      </c>
      <c r="L58" s="11">
        <f t="shared" si="1"/>
        <v>0.92243902439024394</v>
      </c>
      <c r="M58" s="11">
        <f t="shared" si="2"/>
        <v>-0.11011764705882353</v>
      </c>
    </row>
    <row r="59" spans="1:13" x14ac:dyDescent="0.3">
      <c r="A59" s="8" t="s">
        <v>148</v>
      </c>
      <c r="B59" s="9" t="s">
        <v>438</v>
      </c>
      <c r="C59" s="9" t="s">
        <v>14</v>
      </c>
      <c r="D59" s="9" t="s">
        <v>30</v>
      </c>
      <c r="E59" s="9" t="s">
        <v>616</v>
      </c>
      <c r="F59" s="9" t="s">
        <v>617</v>
      </c>
      <c r="G59" s="9" t="s">
        <v>620</v>
      </c>
      <c r="H59" s="10">
        <v>37</v>
      </c>
      <c r="I59" s="10">
        <v>46</v>
      </c>
      <c r="J59" s="10">
        <v>34</v>
      </c>
      <c r="K59" s="10">
        <f t="shared" si="0"/>
        <v>42.160000000000004</v>
      </c>
      <c r="L59" s="11">
        <f t="shared" si="1"/>
        <v>0.91652173913043489</v>
      </c>
      <c r="M59" s="11">
        <f t="shared" si="2"/>
        <v>0.13945945945945956</v>
      </c>
    </row>
    <row r="60" spans="1:13" x14ac:dyDescent="0.3">
      <c r="A60" s="8" t="s">
        <v>81</v>
      </c>
      <c r="B60" s="9" t="s">
        <v>383</v>
      </c>
      <c r="C60" s="9" t="s">
        <v>16</v>
      </c>
      <c r="D60" s="9" t="s">
        <v>40</v>
      </c>
      <c r="E60" s="9" t="s">
        <v>616</v>
      </c>
      <c r="F60" s="9" t="s">
        <v>617</v>
      </c>
      <c r="G60" s="9" t="s">
        <v>623</v>
      </c>
      <c r="H60" s="10">
        <v>29</v>
      </c>
      <c r="I60" s="10">
        <v>28</v>
      </c>
      <c r="J60" s="10">
        <v>18</v>
      </c>
      <c r="K60" s="10">
        <f t="shared" si="0"/>
        <v>22.32</v>
      </c>
      <c r="L60" s="11">
        <f t="shared" si="1"/>
        <v>0.79714285714285715</v>
      </c>
      <c r="M60" s="11">
        <f t="shared" si="2"/>
        <v>-0.23034482758620689</v>
      </c>
    </row>
    <row r="61" spans="1:13" x14ac:dyDescent="0.3">
      <c r="A61" s="8" t="s">
        <v>52</v>
      </c>
      <c r="B61" s="9" t="s">
        <v>356</v>
      </c>
      <c r="C61" s="9" t="s">
        <v>16</v>
      </c>
      <c r="D61" s="9" t="s">
        <v>40</v>
      </c>
      <c r="E61" s="9" t="s">
        <v>616</v>
      </c>
      <c r="F61" s="9" t="s">
        <v>617</v>
      </c>
      <c r="G61" s="9" t="s">
        <v>623</v>
      </c>
      <c r="H61" s="10">
        <v>33</v>
      </c>
      <c r="I61" s="10">
        <v>29</v>
      </c>
      <c r="J61" s="10">
        <v>28</v>
      </c>
      <c r="K61" s="10">
        <f t="shared" si="0"/>
        <v>34.720000000000006</v>
      </c>
      <c r="L61" s="11">
        <f t="shared" si="1"/>
        <v>1.1972413793103451</v>
      </c>
      <c r="M61" s="11">
        <f t="shared" si="2"/>
        <v>5.2121212121212304E-2</v>
      </c>
    </row>
    <row r="62" spans="1:13" x14ac:dyDescent="0.3">
      <c r="A62" s="8" t="s">
        <v>152</v>
      </c>
      <c r="B62" s="9" t="s">
        <v>442</v>
      </c>
      <c r="C62" s="9" t="s">
        <v>16</v>
      </c>
      <c r="D62" s="9" t="s">
        <v>40</v>
      </c>
      <c r="E62" s="9" t="s">
        <v>616</v>
      </c>
      <c r="F62" s="9" t="s">
        <v>617</v>
      </c>
      <c r="G62" s="9" t="s">
        <v>623</v>
      </c>
      <c r="H62" s="10">
        <v>31</v>
      </c>
      <c r="I62" s="10">
        <v>24</v>
      </c>
      <c r="J62" s="10">
        <v>24</v>
      </c>
      <c r="K62" s="10">
        <f t="shared" si="0"/>
        <v>29.759999999999998</v>
      </c>
      <c r="L62" s="11">
        <f t="shared" si="1"/>
        <v>1.24</v>
      </c>
      <c r="M62" s="11">
        <f t="shared" si="2"/>
        <v>-4.0000000000000063E-2</v>
      </c>
    </row>
    <row r="63" spans="1:13" x14ac:dyDescent="0.3">
      <c r="A63" s="8" t="s">
        <v>55</v>
      </c>
      <c r="B63" s="9" t="s">
        <v>359</v>
      </c>
      <c r="C63" s="9" t="s">
        <v>16</v>
      </c>
      <c r="D63" s="9" t="s">
        <v>40</v>
      </c>
      <c r="E63" s="9" t="s">
        <v>616</v>
      </c>
      <c r="F63" s="9" t="s">
        <v>617</v>
      </c>
      <c r="G63" s="9" t="s">
        <v>623</v>
      </c>
      <c r="H63" s="10">
        <v>59</v>
      </c>
      <c r="I63" s="10">
        <v>54</v>
      </c>
      <c r="J63" s="10">
        <v>29</v>
      </c>
      <c r="K63" s="10">
        <f t="shared" si="0"/>
        <v>35.96</v>
      </c>
      <c r="L63" s="11">
        <f t="shared" si="1"/>
        <v>0.66592592592592592</v>
      </c>
      <c r="M63" s="11">
        <f t="shared" si="2"/>
        <v>-0.39050847457627119</v>
      </c>
    </row>
    <row r="64" spans="1:13" x14ac:dyDescent="0.3">
      <c r="A64" s="8" t="s">
        <v>158</v>
      </c>
      <c r="B64" s="9" t="s">
        <v>448</v>
      </c>
      <c r="C64" s="9" t="s">
        <v>16</v>
      </c>
      <c r="D64" s="9" t="s">
        <v>40</v>
      </c>
      <c r="E64" s="9" t="s">
        <v>616</v>
      </c>
      <c r="F64" s="9" t="s">
        <v>617</v>
      </c>
      <c r="G64" s="9" t="s">
        <v>623</v>
      </c>
      <c r="H64" s="10">
        <v>34</v>
      </c>
      <c r="I64" s="10">
        <v>34</v>
      </c>
      <c r="J64" s="10">
        <v>11</v>
      </c>
      <c r="K64" s="10">
        <f t="shared" si="0"/>
        <v>13.64</v>
      </c>
      <c r="L64" s="11">
        <f t="shared" si="1"/>
        <v>0.4011764705882353</v>
      </c>
      <c r="M64" s="11">
        <f t="shared" si="2"/>
        <v>-0.59882352941176464</v>
      </c>
    </row>
    <row r="65" spans="1:13" x14ac:dyDescent="0.3">
      <c r="A65" s="8" t="s">
        <v>162</v>
      </c>
      <c r="B65" s="9" t="s">
        <v>452</v>
      </c>
      <c r="C65" s="9" t="s">
        <v>16</v>
      </c>
      <c r="D65" s="9" t="s">
        <v>40</v>
      </c>
      <c r="E65" s="9" t="s">
        <v>616</v>
      </c>
      <c r="F65" s="9" t="s">
        <v>617</v>
      </c>
      <c r="G65" s="9" t="s">
        <v>623</v>
      </c>
      <c r="H65" s="10">
        <v>28</v>
      </c>
      <c r="I65" s="10">
        <v>26</v>
      </c>
      <c r="J65" s="10">
        <v>17</v>
      </c>
      <c r="K65" s="10">
        <f t="shared" si="0"/>
        <v>21.080000000000002</v>
      </c>
      <c r="L65" s="11">
        <f t="shared" si="1"/>
        <v>0.8107692307692308</v>
      </c>
      <c r="M65" s="11">
        <f t="shared" si="2"/>
        <v>-0.24714285714285708</v>
      </c>
    </row>
    <row r="66" spans="1:13" x14ac:dyDescent="0.3">
      <c r="A66" s="8" t="s">
        <v>159</v>
      </c>
      <c r="B66" s="9" t="s">
        <v>449</v>
      </c>
      <c r="C66" s="9" t="s">
        <v>16</v>
      </c>
      <c r="D66" s="9" t="s">
        <v>40</v>
      </c>
      <c r="E66" s="9" t="s">
        <v>616</v>
      </c>
      <c r="F66" s="9" t="s">
        <v>617</v>
      </c>
      <c r="G66" s="9" t="s">
        <v>623</v>
      </c>
      <c r="H66" s="10">
        <v>44</v>
      </c>
      <c r="I66" s="10">
        <v>47</v>
      </c>
      <c r="J66" s="10">
        <v>33</v>
      </c>
      <c r="K66" s="10">
        <f t="shared" si="0"/>
        <v>40.92</v>
      </c>
      <c r="L66" s="11">
        <f t="shared" si="1"/>
        <v>0.87063829787234048</v>
      </c>
      <c r="M66" s="11">
        <f t="shared" si="2"/>
        <v>-6.9999999999999965E-2</v>
      </c>
    </row>
    <row r="67" spans="1:13" x14ac:dyDescent="0.3">
      <c r="A67" s="8" t="s">
        <v>43</v>
      </c>
      <c r="B67" s="9" t="s">
        <v>348</v>
      </c>
      <c r="C67" s="9" t="s">
        <v>16</v>
      </c>
      <c r="D67" s="9" t="s">
        <v>40</v>
      </c>
      <c r="E67" s="9" t="s">
        <v>616</v>
      </c>
      <c r="F67" s="9" t="s">
        <v>617</v>
      </c>
      <c r="G67" s="9" t="s">
        <v>623</v>
      </c>
      <c r="H67" s="10">
        <v>44</v>
      </c>
      <c r="I67" s="10">
        <v>43</v>
      </c>
      <c r="J67" s="10">
        <v>16</v>
      </c>
      <c r="K67" s="10">
        <f t="shared" si="0"/>
        <v>19.84</v>
      </c>
      <c r="L67" s="11">
        <f t="shared" si="1"/>
        <v>0.46139534883720928</v>
      </c>
      <c r="M67" s="11">
        <f t="shared" si="2"/>
        <v>-0.54909090909090907</v>
      </c>
    </row>
    <row r="68" spans="1:13" x14ac:dyDescent="0.3">
      <c r="A68" s="8" t="s">
        <v>144</v>
      </c>
      <c r="B68" s="9" t="s">
        <v>434</v>
      </c>
      <c r="C68" s="9" t="s">
        <v>16</v>
      </c>
      <c r="D68" s="9" t="s">
        <v>40</v>
      </c>
      <c r="E68" s="9" t="s">
        <v>616</v>
      </c>
      <c r="F68" s="9" t="s">
        <v>617</v>
      </c>
      <c r="G68" s="9" t="s">
        <v>623</v>
      </c>
      <c r="H68" s="10">
        <v>42</v>
      </c>
      <c r="I68" s="10">
        <v>44</v>
      </c>
      <c r="J68" s="10">
        <v>22</v>
      </c>
      <c r="K68" s="10">
        <f t="shared" si="0"/>
        <v>27.28</v>
      </c>
      <c r="L68" s="11">
        <f t="shared" si="1"/>
        <v>0.62</v>
      </c>
      <c r="M68" s="11">
        <f t="shared" si="2"/>
        <v>-0.35047619047619044</v>
      </c>
    </row>
    <row r="69" spans="1:13" x14ac:dyDescent="0.3">
      <c r="A69" s="8" t="s">
        <v>146</v>
      </c>
      <c r="B69" s="9" t="s">
        <v>436</v>
      </c>
      <c r="C69" s="9" t="s">
        <v>16</v>
      </c>
      <c r="D69" s="9" t="s">
        <v>40</v>
      </c>
      <c r="E69" s="9" t="s">
        <v>616</v>
      </c>
      <c r="F69" s="9" t="s">
        <v>617</v>
      </c>
      <c r="G69" s="9" t="s">
        <v>623</v>
      </c>
      <c r="H69" s="10">
        <v>28</v>
      </c>
      <c r="I69" s="10">
        <v>30</v>
      </c>
      <c r="J69" s="10">
        <v>28</v>
      </c>
      <c r="K69" s="10">
        <f t="shared" ref="K69:K132" si="9">IFERROR((J69/$A$1*$B$1),0)</f>
        <v>34.720000000000006</v>
      </c>
      <c r="L69" s="11">
        <f t="shared" ref="L69:L132" si="10">IFERROR((K69/I69),0)</f>
        <v>1.1573333333333335</v>
      </c>
      <c r="M69" s="11">
        <f t="shared" ref="M69:M132" si="11">IFERROR((K69-H69)/H69,0)</f>
        <v>0.24000000000000021</v>
      </c>
    </row>
    <row r="70" spans="1:13" x14ac:dyDescent="0.3">
      <c r="A70" s="8" t="s">
        <v>153</v>
      </c>
      <c r="B70" s="9" t="s">
        <v>443</v>
      </c>
      <c r="C70" s="9" t="s">
        <v>16</v>
      </c>
      <c r="D70" s="9" t="s">
        <v>40</v>
      </c>
      <c r="E70" s="9" t="s">
        <v>616</v>
      </c>
      <c r="F70" s="9" t="s">
        <v>617</v>
      </c>
      <c r="G70" s="9" t="s">
        <v>623</v>
      </c>
      <c r="H70" s="10">
        <v>26</v>
      </c>
      <c r="I70" s="10">
        <v>22</v>
      </c>
      <c r="J70" s="10">
        <v>14</v>
      </c>
      <c r="K70" s="10">
        <f t="shared" si="9"/>
        <v>17.360000000000003</v>
      </c>
      <c r="L70" s="11">
        <f t="shared" si="10"/>
        <v>0.78909090909090918</v>
      </c>
      <c r="M70" s="11">
        <f t="shared" si="11"/>
        <v>-0.33230769230769219</v>
      </c>
    </row>
    <row r="71" spans="1:13" x14ac:dyDescent="0.3">
      <c r="A71" s="8" t="s">
        <v>47</v>
      </c>
      <c r="B71" s="9" t="s">
        <v>351</v>
      </c>
      <c r="C71" s="9" t="s">
        <v>16</v>
      </c>
      <c r="D71" s="9" t="s">
        <v>40</v>
      </c>
      <c r="E71" s="9" t="s">
        <v>616</v>
      </c>
      <c r="F71" s="9" t="s">
        <v>617</v>
      </c>
      <c r="G71" s="9" t="s">
        <v>623</v>
      </c>
      <c r="H71" s="10">
        <v>64</v>
      </c>
      <c r="I71" s="10">
        <v>59</v>
      </c>
      <c r="J71" s="10">
        <v>31</v>
      </c>
      <c r="K71" s="10">
        <f t="shared" si="9"/>
        <v>38.44</v>
      </c>
      <c r="L71" s="11">
        <f t="shared" si="10"/>
        <v>0.6515254237288135</v>
      </c>
      <c r="M71" s="11">
        <f t="shared" si="11"/>
        <v>-0.39937500000000004</v>
      </c>
    </row>
    <row r="72" spans="1:13" x14ac:dyDescent="0.3">
      <c r="A72" s="8" t="s">
        <v>160</v>
      </c>
      <c r="B72" s="9" t="s">
        <v>450</v>
      </c>
      <c r="C72" s="9" t="s">
        <v>16</v>
      </c>
      <c r="D72" s="9" t="s">
        <v>40</v>
      </c>
      <c r="E72" s="9" t="s">
        <v>616</v>
      </c>
      <c r="F72" s="9" t="s">
        <v>617</v>
      </c>
      <c r="G72" s="9" t="s">
        <v>623</v>
      </c>
      <c r="H72" s="10">
        <v>50</v>
      </c>
      <c r="I72" s="10">
        <v>50</v>
      </c>
      <c r="J72" s="10">
        <v>24</v>
      </c>
      <c r="K72" s="10">
        <f t="shared" si="9"/>
        <v>29.759999999999998</v>
      </c>
      <c r="L72" s="11">
        <f t="shared" si="10"/>
        <v>0.59519999999999995</v>
      </c>
      <c r="M72" s="11">
        <f t="shared" si="11"/>
        <v>-0.40480000000000005</v>
      </c>
    </row>
    <row r="73" spans="1:13" x14ac:dyDescent="0.3">
      <c r="A73" s="8" t="s">
        <v>48</v>
      </c>
      <c r="B73" s="9" t="s">
        <v>352</v>
      </c>
      <c r="C73" s="9" t="s">
        <v>16</v>
      </c>
      <c r="D73" s="9" t="s">
        <v>42</v>
      </c>
      <c r="E73" s="9" t="s">
        <v>616</v>
      </c>
      <c r="F73" s="9" t="s">
        <v>617</v>
      </c>
      <c r="G73" s="9" t="s">
        <v>618</v>
      </c>
      <c r="H73" s="10">
        <v>34</v>
      </c>
      <c r="I73" s="10">
        <v>45</v>
      </c>
      <c r="J73" s="10">
        <v>32</v>
      </c>
      <c r="K73" s="10">
        <f t="shared" si="9"/>
        <v>39.68</v>
      </c>
      <c r="L73" s="11">
        <f t="shared" si="10"/>
        <v>0.88177777777777777</v>
      </c>
      <c r="M73" s="11">
        <f t="shared" si="11"/>
        <v>0.16705882352941176</v>
      </c>
    </row>
    <row r="74" spans="1:13" x14ac:dyDescent="0.3">
      <c r="A74" s="8" t="s">
        <v>124</v>
      </c>
      <c r="B74" s="9" t="s">
        <v>422</v>
      </c>
      <c r="C74" s="9" t="s">
        <v>16</v>
      </c>
      <c r="D74" s="9" t="s">
        <v>38</v>
      </c>
      <c r="E74" s="9" t="s">
        <v>616</v>
      </c>
      <c r="F74" s="9" t="s">
        <v>617</v>
      </c>
      <c r="G74" s="9" t="s">
        <v>621</v>
      </c>
      <c r="H74" s="10">
        <v>63</v>
      </c>
      <c r="I74" s="10">
        <v>65</v>
      </c>
      <c r="J74" s="10">
        <v>35</v>
      </c>
      <c r="K74" s="10">
        <f t="shared" si="9"/>
        <v>43.4</v>
      </c>
      <c r="L74" s="11">
        <f t="shared" si="10"/>
        <v>0.6676923076923077</v>
      </c>
      <c r="M74" s="11">
        <f t="shared" si="11"/>
        <v>-0.31111111111111112</v>
      </c>
    </row>
    <row r="75" spans="1:13" x14ac:dyDescent="0.3">
      <c r="A75" s="8" t="s">
        <v>166</v>
      </c>
      <c r="B75" s="9" t="s">
        <v>456</v>
      </c>
      <c r="C75" s="9" t="s">
        <v>16</v>
      </c>
      <c r="D75" s="9" t="s">
        <v>34</v>
      </c>
      <c r="E75" s="9" t="s">
        <v>616</v>
      </c>
      <c r="F75" s="9" t="s">
        <v>617</v>
      </c>
      <c r="G75" s="9" t="s">
        <v>621</v>
      </c>
      <c r="H75" s="10">
        <v>34</v>
      </c>
      <c r="I75" s="10">
        <v>35</v>
      </c>
      <c r="J75" s="10">
        <v>28</v>
      </c>
      <c r="K75" s="10">
        <f t="shared" si="9"/>
        <v>34.720000000000006</v>
      </c>
      <c r="L75" s="11">
        <f t="shared" si="10"/>
        <v>0.99200000000000021</v>
      </c>
      <c r="M75" s="11">
        <f t="shared" si="11"/>
        <v>2.117647058823547E-2</v>
      </c>
    </row>
    <row r="76" spans="1:13" x14ac:dyDescent="0.3">
      <c r="A76" s="8" t="s">
        <v>115</v>
      </c>
      <c r="B76" s="9" t="s">
        <v>417</v>
      </c>
      <c r="C76" s="9" t="s">
        <v>16</v>
      </c>
      <c r="D76" s="9" t="s">
        <v>34</v>
      </c>
      <c r="E76" s="9" t="s">
        <v>616</v>
      </c>
      <c r="F76" s="9" t="s">
        <v>617</v>
      </c>
      <c r="G76" s="9" t="s">
        <v>621</v>
      </c>
      <c r="H76" s="10">
        <v>14</v>
      </c>
      <c r="I76" s="10">
        <v>10</v>
      </c>
      <c r="J76" s="10">
        <v>7</v>
      </c>
      <c r="K76" s="10">
        <f t="shared" si="9"/>
        <v>8.6800000000000015</v>
      </c>
      <c r="L76" s="11">
        <f t="shared" si="10"/>
        <v>0.8680000000000001</v>
      </c>
      <c r="M76" s="11">
        <f t="shared" si="11"/>
        <v>-0.37999999999999989</v>
      </c>
    </row>
    <row r="77" spans="1:13" x14ac:dyDescent="0.3">
      <c r="A77" s="8" t="s">
        <v>164</v>
      </c>
      <c r="B77" s="9" t="s">
        <v>454</v>
      </c>
      <c r="C77" s="9" t="s">
        <v>16</v>
      </c>
      <c r="D77" s="9" t="s">
        <v>34</v>
      </c>
      <c r="E77" s="9" t="s">
        <v>616</v>
      </c>
      <c r="F77" s="9" t="s">
        <v>617</v>
      </c>
      <c r="G77" s="9" t="s">
        <v>621</v>
      </c>
      <c r="H77" s="10">
        <v>16</v>
      </c>
      <c r="I77" s="10">
        <v>18</v>
      </c>
      <c r="J77" s="10">
        <v>11</v>
      </c>
      <c r="K77" s="10">
        <f t="shared" si="9"/>
        <v>13.64</v>
      </c>
      <c r="L77" s="11">
        <f t="shared" si="10"/>
        <v>0.75777777777777777</v>
      </c>
      <c r="M77" s="11">
        <f t="shared" si="11"/>
        <v>-0.14749999999999996</v>
      </c>
    </row>
    <row r="78" spans="1:13" x14ac:dyDescent="0.3">
      <c r="A78" s="8" t="s">
        <v>45</v>
      </c>
      <c r="B78" s="9" t="s">
        <v>349</v>
      </c>
      <c r="C78" s="9" t="s">
        <v>16</v>
      </c>
      <c r="D78" s="9" t="s">
        <v>34</v>
      </c>
      <c r="E78" s="9" t="s">
        <v>616</v>
      </c>
      <c r="F78" s="9" t="s">
        <v>617</v>
      </c>
      <c r="G78" s="9" t="s">
        <v>621</v>
      </c>
      <c r="H78" s="10">
        <v>47</v>
      </c>
      <c r="I78" s="10">
        <v>41</v>
      </c>
      <c r="J78" s="10">
        <v>27</v>
      </c>
      <c r="K78" s="10">
        <f t="shared" si="9"/>
        <v>33.480000000000004</v>
      </c>
      <c r="L78" s="11">
        <f t="shared" si="10"/>
        <v>0.8165853658536586</v>
      </c>
      <c r="M78" s="11">
        <f t="shared" si="11"/>
        <v>-0.28765957446808504</v>
      </c>
    </row>
    <row r="79" spans="1:13" x14ac:dyDescent="0.3">
      <c r="A79" s="8" t="s">
        <v>78</v>
      </c>
      <c r="B79" s="9" t="s">
        <v>380</v>
      </c>
      <c r="C79" s="9" t="s">
        <v>16</v>
      </c>
      <c r="D79" s="9" t="s">
        <v>38</v>
      </c>
      <c r="E79" s="9" t="s">
        <v>616</v>
      </c>
      <c r="F79" s="9" t="s">
        <v>617</v>
      </c>
      <c r="G79" s="9" t="s">
        <v>621</v>
      </c>
      <c r="H79" s="10">
        <v>17</v>
      </c>
      <c r="I79" s="10">
        <v>12</v>
      </c>
      <c r="J79" s="10">
        <v>5</v>
      </c>
      <c r="K79" s="10">
        <f t="shared" si="9"/>
        <v>6.2</v>
      </c>
      <c r="L79" s="11">
        <f t="shared" si="10"/>
        <v>0.51666666666666672</v>
      </c>
      <c r="M79" s="11">
        <f t="shared" si="11"/>
        <v>-0.6352941176470589</v>
      </c>
    </row>
    <row r="80" spans="1:13" x14ac:dyDescent="0.3">
      <c r="A80" s="8" t="s">
        <v>106</v>
      </c>
      <c r="B80" s="9" t="s">
        <v>408</v>
      </c>
      <c r="C80" s="9" t="s">
        <v>16</v>
      </c>
      <c r="D80" s="9" t="s">
        <v>34</v>
      </c>
      <c r="E80" s="9" t="s">
        <v>616</v>
      </c>
      <c r="F80" s="9" t="s">
        <v>617</v>
      </c>
      <c r="G80" s="9" t="s">
        <v>621</v>
      </c>
      <c r="H80" s="10">
        <v>20</v>
      </c>
      <c r="I80" s="10">
        <v>22</v>
      </c>
      <c r="J80" s="10">
        <v>10</v>
      </c>
      <c r="K80" s="10">
        <f t="shared" si="9"/>
        <v>12.4</v>
      </c>
      <c r="L80" s="11">
        <f t="shared" si="10"/>
        <v>0.5636363636363636</v>
      </c>
      <c r="M80" s="11">
        <f t="shared" si="11"/>
        <v>-0.38</v>
      </c>
    </row>
    <row r="81" spans="1:13" x14ac:dyDescent="0.3">
      <c r="A81" s="8" t="s">
        <v>111</v>
      </c>
      <c r="B81" s="9" t="s">
        <v>413</v>
      </c>
      <c r="C81" s="9" t="s">
        <v>16</v>
      </c>
      <c r="D81" s="9" t="s">
        <v>34</v>
      </c>
      <c r="E81" s="9" t="s">
        <v>616</v>
      </c>
      <c r="F81" s="9" t="s">
        <v>617</v>
      </c>
      <c r="G81" s="9" t="s">
        <v>621</v>
      </c>
      <c r="H81" s="10">
        <v>4</v>
      </c>
      <c r="I81" s="10">
        <v>5</v>
      </c>
      <c r="J81" s="10">
        <v>4</v>
      </c>
      <c r="K81" s="10">
        <f t="shared" si="9"/>
        <v>4.96</v>
      </c>
      <c r="L81" s="11">
        <f t="shared" si="10"/>
        <v>0.99199999999999999</v>
      </c>
      <c r="M81" s="11">
        <f t="shared" si="11"/>
        <v>0.24</v>
      </c>
    </row>
    <row r="82" spans="1:13" x14ac:dyDescent="0.3">
      <c r="A82" s="8" t="s">
        <v>109</v>
      </c>
      <c r="B82" s="9" t="s">
        <v>411</v>
      </c>
      <c r="C82" s="9" t="s">
        <v>16</v>
      </c>
      <c r="D82" s="9" t="s">
        <v>38</v>
      </c>
      <c r="E82" s="9" t="s">
        <v>616</v>
      </c>
      <c r="F82" s="9" t="s">
        <v>617</v>
      </c>
      <c r="G82" s="9" t="s">
        <v>621</v>
      </c>
      <c r="H82" s="10">
        <v>5</v>
      </c>
      <c r="I82" s="10">
        <v>4</v>
      </c>
      <c r="J82" s="10">
        <v>7</v>
      </c>
      <c r="K82" s="10">
        <f t="shared" si="9"/>
        <v>8.6800000000000015</v>
      </c>
      <c r="L82" s="11">
        <f t="shared" si="10"/>
        <v>2.1700000000000004</v>
      </c>
      <c r="M82" s="11">
        <f t="shared" si="11"/>
        <v>0.73600000000000032</v>
      </c>
    </row>
    <row r="83" spans="1:13" x14ac:dyDescent="0.3">
      <c r="A83" s="8" t="s">
        <v>90</v>
      </c>
      <c r="B83" s="9" t="s">
        <v>392</v>
      </c>
      <c r="C83" s="9" t="s">
        <v>16</v>
      </c>
      <c r="D83" s="9" t="s">
        <v>34</v>
      </c>
      <c r="E83" s="9" t="s">
        <v>616</v>
      </c>
      <c r="F83" s="9" t="s">
        <v>617</v>
      </c>
      <c r="G83" s="9" t="s">
        <v>621</v>
      </c>
      <c r="H83" s="10">
        <v>17</v>
      </c>
      <c r="I83" s="10">
        <v>23</v>
      </c>
      <c r="J83" s="10">
        <v>15</v>
      </c>
      <c r="K83" s="10">
        <f t="shared" si="9"/>
        <v>18.599999999999998</v>
      </c>
      <c r="L83" s="11">
        <f t="shared" si="10"/>
        <v>0.80869565217391293</v>
      </c>
      <c r="M83" s="11">
        <f t="shared" si="11"/>
        <v>9.4117647058823403E-2</v>
      </c>
    </row>
    <row r="84" spans="1:13" x14ac:dyDescent="0.3">
      <c r="A84" s="8" t="s">
        <v>114</v>
      </c>
      <c r="B84" s="9" t="s">
        <v>416</v>
      </c>
      <c r="C84" s="9" t="s">
        <v>16</v>
      </c>
      <c r="D84" s="9" t="s">
        <v>38</v>
      </c>
      <c r="E84" s="9" t="s">
        <v>616</v>
      </c>
      <c r="F84" s="9" t="s">
        <v>617</v>
      </c>
      <c r="G84" s="9" t="s">
        <v>621</v>
      </c>
      <c r="H84" s="10">
        <v>8</v>
      </c>
      <c r="I84" s="10">
        <v>7</v>
      </c>
      <c r="J84" s="10">
        <v>5</v>
      </c>
      <c r="K84" s="10">
        <f t="shared" si="9"/>
        <v>6.2</v>
      </c>
      <c r="L84" s="11">
        <f t="shared" si="10"/>
        <v>0.88571428571428579</v>
      </c>
      <c r="M84" s="11">
        <f t="shared" si="11"/>
        <v>-0.22499999999999998</v>
      </c>
    </row>
    <row r="85" spans="1:13" x14ac:dyDescent="0.3">
      <c r="A85" s="8" t="s">
        <v>85</v>
      </c>
      <c r="B85" s="9" t="s">
        <v>387</v>
      </c>
      <c r="C85" s="9" t="s">
        <v>16</v>
      </c>
      <c r="D85" s="9" t="s">
        <v>34</v>
      </c>
      <c r="E85" s="9" t="s">
        <v>616</v>
      </c>
      <c r="F85" s="9" t="s">
        <v>617</v>
      </c>
      <c r="G85" s="9" t="s">
        <v>621</v>
      </c>
      <c r="H85" s="10">
        <v>17</v>
      </c>
      <c r="I85" s="10">
        <v>13</v>
      </c>
      <c r="J85" s="10">
        <v>13</v>
      </c>
      <c r="K85" s="10">
        <f t="shared" si="9"/>
        <v>16.12</v>
      </c>
      <c r="L85" s="11">
        <f t="shared" si="10"/>
        <v>1.24</v>
      </c>
      <c r="M85" s="11">
        <f t="shared" si="11"/>
        <v>-5.1764705882352879E-2</v>
      </c>
    </row>
    <row r="86" spans="1:13" x14ac:dyDescent="0.3">
      <c r="A86" s="8" t="s">
        <v>75</v>
      </c>
      <c r="B86" s="9" t="s">
        <v>377</v>
      </c>
      <c r="C86" s="9" t="s">
        <v>16</v>
      </c>
      <c r="D86" s="9" t="s">
        <v>42</v>
      </c>
      <c r="E86" s="9" t="s">
        <v>616</v>
      </c>
      <c r="F86" s="9" t="s">
        <v>617</v>
      </c>
      <c r="G86" s="9" t="s">
        <v>618</v>
      </c>
      <c r="H86" s="10">
        <v>21</v>
      </c>
      <c r="I86" s="10">
        <v>18</v>
      </c>
      <c r="J86" s="10">
        <v>14</v>
      </c>
      <c r="K86" s="10">
        <f t="shared" si="9"/>
        <v>17.360000000000003</v>
      </c>
      <c r="L86" s="11">
        <f t="shared" si="10"/>
        <v>0.96444444444444466</v>
      </c>
      <c r="M86" s="11">
        <f t="shared" si="11"/>
        <v>-0.1733333333333332</v>
      </c>
    </row>
    <row r="87" spans="1:13" x14ac:dyDescent="0.3">
      <c r="A87" s="8" t="s">
        <v>107</v>
      </c>
      <c r="B87" s="9" t="s">
        <v>409</v>
      </c>
      <c r="C87" s="9" t="s">
        <v>16</v>
      </c>
      <c r="D87" s="9" t="s">
        <v>34</v>
      </c>
      <c r="E87" s="9" t="s">
        <v>616</v>
      </c>
      <c r="F87" s="9" t="s">
        <v>617</v>
      </c>
      <c r="G87" s="9" t="s">
        <v>621</v>
      </c>
      <c r="H87" s="10">
        <v>26</v>
      </c>
      <c r="I87" s="10">
        <v>20</v>
      </c>
      <c r="J87" s="10">
        <v>12</v>
      </c>
      <c r="K87" s="10">
        <f t="shared" si="9"/>
        <v>14.879999999999999</v>
      </c>
      <c r="L87" s="11">
        <f t="shared" si="10"/>
        <v>0.74399999999999999</v>
      </c>
      <c r="M87" s="11">
        <f t="shared" si="11"/>
        <v>-0.4276923076923077</v>
      </c>
    </row>
    <row r="88" spans="1:13" x14ac:dyDescent="0.3">
      <c r="A88" s="8" t="s">
        <v>147</v>
      </c>
      <c r="B88" s="9" t="s">
        <v>437</v>
      </c>
      <c r="C88" s="9" t="s">
        <v>16</v>
      </c>
      <c r="D88" s="9" t="s">
        <v>42</v>
      </c>
      <c r="E88" s="9" t="s">
        <v>616</v>
      </c>
      <c r="F88" s="9" t="s">
        <v>617</v>
      </c>
      <c r="G88" s="9" t="s">
        <v>618</v>
      </c>
      <c r="H88" s="10">
        <v>25</v>
      </c>
      <c r="I88" s="10">
        <v>26</v>
      </c>
      <c r="J88" s="10">
        <v>14</v>
      </c>
      <c r="K88" s="10">
        <f t="shared" si="9"/>
        <v>17.360000000000003</v>
      </c>
      <c r="L88" s="11">
        <f t="shared" si="10"/>
        <v>0.66769230769230781</v>
      </c>
      <c r="M88" s="11">
        <f t="shared" si="11"/>
        <v>-0.30559999999999987</v>
      </c>
    </row>
    <row r="89" spans="1:13" x14ac:dyDescent="0.3">
      <c r="A89" s="8" t="s">
        <v>99</v>
      </c>
      <c r="B89" s="9" t="s">
        <v>401</v>
      </c>
      <c r="C89" s="9" t="s">
        <v>16</v>
      </c>
      <c r="D89" s="9" t="s">
        <v>42</v>
      </c>
      <c r="E89" s="9" t="s">
        <v>616</v>
      </c>
      <c r="F89" s="9" t="s">
        <v>617</v>
      </c>
      <c r="G89" s="9" t="s">
        <v>618</v>
      </c>
      <c r="H89" s="10">
        <v>13</v>
      </c>
      <c r="I89" s="10">
        <v>16</v>
      </c>
      <c r="J89" s="10">
        <v>26</v>
      </c>
      <c r="K89" s="10">
        <f t="shared" si="9"/>
        <v>32.24</v>
      </c>
      <c r="L89" s="11">
        <f t="shared" si="10"/>
        <v>2.0150000000000001</v>
      </c>
      <c r="M89" s="11">
        <f t="shared" si="11"/>
        <v>1.4800000000000002</v>
      </c>
    </row>
    <row r="90" spans="1:13" x14ac:dyDescent="0.3">
      <c r="A90" s="8" t="s">
        <v>102</v>
      </c>
      <c r="B90" s="9" t="s">
        <v>404</v>
      </c>
      <c r="C90" s="9" t="s">
        <v>16</v>
      </c>
      <c r="D90" s="9" t="s">
        <v>42</v>
      </c>
      <c r="E90" s="9" t="s">
        <v>616</v>
      </c>
      <c r="F90" s="9" t="s">
        <v>617</v>
      </c>
      <c r="G90" s="9" t="s">
        <v>618</v>
      </c>
      <c r="H90" s="10">
        <v>21</v>
      </c>
      <c r="I90" s="10">
        <v>16</v>
      </c>
      <c r="J90" s="10">
        <v>11</v>
      </c>
      <c r="K90" s="10">
        <f t="shared" si="9"/>
        <v>13.64</v>
      </c>
      <c r="L90" s="11">
        <f t="shared" si="10"/>
        <v>0.85250000000000004</v>
      </c>
      <c r="M90" s="11">
        <f t="shared" si="11"/>
        <v>-0.35047619047619044</v>
      </c>
    </row>
    <row r="91" spans="1:13" x14ac:dyDescent="0.3">
      <c r="A91" s="8" t="s">
        <v>92</v>
      </c>
      <c r="B91" s="9" t="s">
        <v>394</v>
      </c>
      <c r="C91" s="9" t="s">
        <v>16</v>
      </c>
      <c r="D91" s="9" t="s">
        <v>34</v>
      </c>
      <c r="E91" s="9" t="s">
        <v>616</v>
      </c>
      <c r="F91" s="9" t="s">
        <v>617</v>
      </c>
      <c r="G91" s="9" t="s">
        <v>621</v>
      </c>
      <c r="H91" s="10">
        <v>37</v>
      </c>
      <c r="I91" s="10">
        <v>28</v>
      </c>
      <c r="J91" s="10">
        <v>19</v>
      </c>
      <c r="K91" s="10">
        <f t="shared" si="9"/>
        <v>23.56</v>
      </c>
      <c r="L91" s="11">
        <f t="shared" si="10"/>
        <v>0.84142857142857141</v>
      </c>
      <c r="M91" s="11">
        <f t="shared" si="11"/>
        <v>-0.36324324324324325</v>
      </c>
    </row>
    <row r="92" spans="1:13" x14ac:dyDescent="0.3">
      <c r="A92" s="8" t="s">
        <v>88</v>
      </c>
      <c r="B92" s="9" t="s">
        <v>390</v>
      </c>
      <c r="C92" s="9" t="s">
        <v>16</v>
      </c>
      <c r="D92" s="9" t="s">
        <v>34</v>
      </c>
      <c r="E92" s="9" t="s">
        <v>616</v>
      </c>
      <c r="F92" s="9" t="s">
        <v>617</v>
      </c>
      <c r="G92" s="9" t="s">
        <v>621</v>
      </c>
      <c r="H92" s="10">
        <v>11</v>
      </c>
      <c r="I92" s="10">
        <v>14</v>
      </c>
      <c r="J92" s="10">
        <v>5</v>
      </c>
      <c r="K92" s="10">
        <f t="shared" si="9"/>
        <v>6.2</v>
      </c>
      <c r="L92" s="11">
        <f t="shared" si="10"/>
        <v>0.44285714285714289</v>
      </c>
      <c r="M92" s="11">
        <f t="shared" si="11"/>
        <v>-0.43636363636363634</v>
      </c>
    </row>
    <row r="93" spans="1:13" x14ac:dyDescent="0.3">
      <c r="A93" s="8" t="s">
        <v>35</v>
      </c>
      <c r="B93" s="9" t="s">
        <v>344</v>
      </c>
      <c r="C93" s="9" t="s">
        <v>16</v>
      </c>
      <c r="D93" s="9" t="s">
        <v>34</v>
      </c>
      <c r="E93" s="9" t="s">
        <v>616</v>
      </c>
      <c r="F93" s="9" t="s">
        <v>617</v>
      </c>
      <c r="G93" s="9" t="s">
        <v>621</v>
      </c>
      <c r="H93" s="10">
        <v>22</v>
      </c>
      <c r="I93" s="10">
        <v>30</v>
      </c>
      <c r="J93" s="10">
        <v>24</v>
      </c>
      <c r="K93" s="10">
        <f t="shared" si="9"/>
        <v>29.759999999999998</v>
      </c>
      <c r="L93" s="11">
        <f t="shared" si="10"/>
        <v>0.99199999999999988</v>
      </c>
      <c r="M93" s="11">
        <f t="shared" si="11"/>
        <v>0.35272727272727261</v>
      </c>
    </row>
    <row r="94" spans="1:13" x14ac:dyDescent="0.3">
      <c r="A94" s="8" t="s">
        <v>79</v>
      </c>
      <c r="B94" s="9" t="s">
        <v>381</v>
      </c>
      <c r="C94" s="9" t="s">
        <v>16</v>
      </c>
      <c r="D94" s="9" t="s">
        <v>42</v>
      </c>
      <c r="E94" s="9" t="s">
        <v>616</v>
      </c>
      <c r="F94" s="9" t="s">
        <v>617</v>
      </c>
      <c r="G94" s="9" t="s">
        <v>618</v>
      </c>
      <c r="H94" s="10">
        <v>18</v>
      </c>
      <c r="I94" s="10">
        <v>24</v>
      </c>
      <c r="J94" s="10">
        <v>22</v>
      </c>
      <c r="K94" s="10">
        <f t="shared" si="9"/>
        <v>27.28</v>
      </c>
      <c r="L94" s="11">
        <f t="shared" si="10"/>
        <v>1.1366666666666667</v>
      </c>
      <c r="M94" s="11">
        <f t="shared" si="11"/>
        <v>0.51555555555555566</v>
      </c>
    </row>
    <row r="95" spans="1:13" x14ac:dyDescent="0.3">
      <c r="A95" s="8" t="s">
        <v>261</v>
      </c>
      <c r="B95" s="9" t="s">
        <v>550</v>
      </c>
      <c r="C95" s="9" t="s">
        <v>16</v>
      </c>
      <c r="D95" s="9" t="s">
        <v>38</v>
      </c>
      <c r="E95" s="9" t="s">
        <v>630</v>
      </c>
      <c r="F95" s="9" t="s">
        <v>617</v>
      </c>
      <c r="G95" s="9" t="s">
        <v>621</v>
      </c>
      <c r="H95" s="10">
        <v>1</v>
      </c>
      <c r="I95" s="10">
        <v>3</v>
      </c>
      <c r="J95" s="10">
        <v>0</v>
      </c>
      <c r="K95" s="10">
        <f t="shared" si="9"/>
        <v>0</v>
      </c>
      <c r="L95" s="11">
        <f t="shared" si="10"/>
        <v>0</v>
      </c>
      <c r="M95" s="11">
        <f t="shared" si="11"/>
        <v>-1</v>
      </c>
    </row>
    <row r="96" spans="1:13" x14ac:dyDescent="0.3">
      <c r="A96" s="8" t="s">
        <v>262</v>
      </c>
      <c r="B96" s="9" t="s">
        <v>551</v>
      </c>
      <c r="C96" s="9" t="s">
        <v>16</v>
      </c>
      <c r="D96" s="9" t="s">
        <v>34</v>
      </c>
      <c r="E96" s="9" t="s">
        <v>631</v>
      </c>
      <c r="F96" s="9" t="s">
        <v>624</v>
      </c>
      <c r="G96" s="9" t="s">
        <v>621</v>
      </c>
      <c r="H96" s="10">
        <v>14</v>
      </c>
      <c r="I96" s="10">
        <v>28</v>
      </c>
      <c r="J96" s="10">
        <v>0</v>
      </c>
      <c r="K96" s="10">
        <f t="shared" si="9"/>
        <v>0</v>
      </c>
      <c r="L96" s="11">
        <f t="shared" si="10"/>
        <v>0</v>
      </c>
      <c r="M96" s="11">
        <f t="shared" si="11"/>
        <v>-1</v>
      </c>
    </row>
    <row r="97" spans="1:13" x14ac:dyDescent="0.3">
      <c r="A97" s="8" t="s">
        <v>29</v>
      </c>
      <c r="B97" s="9" t="s">
        <v>341</v>
      </c>
      <c r="C97" s="9" t="s">
        <v>16</v>
      </c>
      <c r="D97" s="9" t="s">
        <v>34</v>
      </c>
      <c r="E97" s="9" t="s">
        <v>616</v>
      </c>
      <c r="F97" s="9" t="s">
        <v>617</v>
      </c>
      <c r="G97" s="9" t="s">
        <v>621</v>
      </c>
      <c r="H97" s="10">
        <v>14</v>
      </c>
      <c r="I97" s="10">
        <v>15</v>
      </c>
      <c r="J97" s="10">
        <v>4</v>
      </c>
      <c r="K97" s="10">
        <f t="shared" si="9"/>
        <v>4.96</v>
      </c>
      <c r="L97" s="11">
        <f t="shared" si="10"/>
        <v>0.33066666666666666</v>
      </c>
      <c r="M97" s="11">
        <f t="shared" si="11"/>
        <v>-0.64571428571428569</v>
      </c>
    </row>
    <row r="98" spans="1:13" x14ac:dyDescent="0.3">
      <c r="A98" s="8" t="s">
        <v>37</v>
      </c>
      <c r="B98" s="9" t="s">
        <v>345</v>
      </c>
      <c r="C98" s="9" t="s">
        <v>16</v>
      </c>
      <c r="D98" s="9" t="s">
        <v>38</v>
      </c>
      <c r="E98" s="9" t="s">
        <v>616</v>
      </c>
      <c r="F98" s="9" t="s">
        <v>617</v>
      </c>
      <c r="G98" s="9" t="s">
        <v>621</v>
      </c>
      <c r="H98" s="10">
        <v>101</v>
      </c>
      <c r="I98" s="10">
        <v>110</v>
      </c>
      <c r="J98" s="10">
        <v>84</v>
      </c>
      <c r="K98" s="10">
        <f t="shared" si="9"/>
        <v>104.16</v>
      </c>
      <c r="L98" s="11">
        <f t="shared" si="10"/>
        <v>0.94690909090909092</v>
      </c>
      <c r="M98" s="11">
        <f t="shared" si="11"/>
        <v>3.1287128712871252E-2</v>
      </c>
    </row>
    <row r="99" spans="1:13" x14ac:dyDescent="0.3">
      <c r="A99" s="8" t="s">
        <v>39</v>
      </c>
      <c r="B99" s="9" t="s">
        <v>346</v>
      </c>
      <c r="C99" s="9" t="s">
        <v>16</v>
      </c>
      <c r="D99" s="9" t="s">
        <v>38</v>
      </c>
      <c r="E99" s="9" t="s">
        <v>616</v>
      </c>
      <c r="F99" s="9" t="s">
        <v>617</v>
      </c>
      <c r="G99" s="9" t="s">
        <v>621</v>
      </c>
      <c r="H99" s="10">
        <v>52</v>
      </c>
      <c r="I99" s="10">
        <v>52</v>
      </c>
      <c r="J99" s="10">
        <v>45</v>
      </c>
      <c r="K99" s="10">
        <f t="shared" si="9"/>
        <v>55.800000000000004</v>
      </c>
      <c r="L99" s="11">
        <f t="shared" si="10"/>
        <v>1.0730769230769233</v>
      </c>
      <c r="M99" s="11">
        <f t="shared" si="11"/>
        <v>7.3076923076923164E-2</v>
      </c>
    </row>
    <row r="100" spans="1:13" x14ac:dyDescent="0.3">
      <c r="A100" s="8" t="s">
        <v>76</v>
      </c>
      <c r="B100" s="9" t="s">
        <v>378</v>
      </c>
      <c r="C100" s="9" t="s">
        <v>16</v>
      </c>
      <c r="D100" s="9" t="s">
        <v>22</v>
      </c>
      <c r="E100" s="9" t="s">
        <v>616</v>
      </c>
      <c r="F100" s="9" t="s">
        <v>617</v>
      </c>
      <c r="G100" s="9" t="s">
        <v>618</v>
      </c>
      <c r="H100" s="10">
        <v>31</v>
      </c>
      <c r="I100" s="10">
        <v>34</v>
      </c>
      <c r="J100" s="10">
        <v>26</v>
      </c>
      <c r="K100" s="10">
        <f t="shared" si="9"/>
        <v>32.24</v>
      </c>
      <c r="L100" s="11">
        <f t="shared" si="10"/>
        <v>0.94823529411764707</v>
      </c>
      <c r="M100" s="11">
        <f t="shared" si="11"/>
        <v>4.0000000000000063E-2</v>
      </c>
    </row>
    <row r="101" spans="1:13" x14ac:dyDescent="0.3">
      <c r="A101" s="8" t="s">
        <v>204</v>
      </c>
      <c r="B101" s="9" t="s">
        <v>494</v>
      </c>
      <c r="C101" s="9" t="s">
        <v>16</v>
      </c>
      <c r="D101" s="9" t="s">
        <v>38</v>
      </c>
      <c r="E101" s="9" t="s">
        <v>616</v>
      </c>
      <c r="F101" s="9" t="s">
        <v>617</v>
      </c>
      <c r="G101" s="9" t="s">
        <v>621</v>
      </c>
      <c r="H101" s="10">
        <v>3</v>
      </c>
      <c r="I101" s="10">
        <v>3</v>
      </c>
      <c r="J101" s="10">
        <v>5</v>
      </c>
      <c r="K101" s="10">
        <f t="shared" si="9"/>
        <v>6.2</v>
      </c>
      <c r="L101" s="11">
        <f t="shared" si="10"/>
        <v>2.0666666666666669</v>
      </c>
      <c r="M101" s="11">
        <f t="shared" si="11"/>
        <v>1.0666666666666667</v>
      </c>
    </row>
    <row r="102" spans="1:13" x14ac:dyDescent="0.3">
      <c r="A102" s="8" t="s">
        <v>169</v>
      </c>
      <c r="B102" s="9" t="s">
        <v>459</v>
      </c>
      <c r="C102" s="9" t="s">
        <v>120</v>
      </c>
      <c r="D102" s="9" t="s">
        <v>129</v>
      </c>
      <c r="E102" s="9" t="s">
        <v>616</v>
      </c>
      <c r="F102" s="9" t="s">
        <v>617</v>
      </c>
      <c r="G102" s="9" t="s">
        <v>621</v>
      </c>
      <c r="H102" s="10">
        <v>285</v>
      </c>
      <c r="I102" s="10">
        <v>42</v>
      </c>
      <c r="J102" s="10">
        <v>473</v>
      </c>
      <c r="K102" s="10">
        <f t="shared" si="9"/>
        <v>586.5200000000001</v>
      </c>
      <c r="L102" s="11">
        <f t="shared" si="10"/>
        <v>13.964761904761907</v>
      </c>
      <c r="M102" s="11">
        <f t="shared" si="11"/>
        <v>1.057964912280702</v>
      </c>
    </row>
    <row r="103" spans="1:13" x14ac:dyDescent="0.3">
      <c r="A103" s="8" t="s">
        <v>70</v>
      </c>
      <c r="B103" s="9" t="s">
        <v>372</v>
      </c>
      <c r="C103" s="9" t="s">
        <v>16</v>
      </c>
      <c r="D103" s="9" t="s">
        <v>42</v>
      </c>
      <c r="E103" s="9" t="s">
        <v>616</v>
      </c>
      <c r="F103" s="9" t="s">
        <v>617</v>
      </c>
      <c r="G103" s="9" t="s">
        <v>618</v>
      </c>
      <c r="H103" s="10">
        <v>13</v>
      </c>
      <c r="I103" s="10">
        <v>15</v>
      </c>
      <c r="J103" s="10">
        <v>9</v>
      </c>
      <c r="K103" s="10">
        <f t="shared" si="9"/>
        <v>11.16</v>
      </c>
      <c r="L103" s="11">
        <f t="shared" si="10"/>
        <v>0.74399999999999999</v>
      </c>
      <c r="M103" s="11">
        <f t="shared" si="11"/>
        <v>-0.14153846153846153</v>
      </c>
    </row>
    <row r="104" spans="1:13" x14ac:dyDescent="0.3">
      <c r="A104" s="8" t="s">
        <v>13</v>
      </c>
      <c r="B104" s="9" t="s">
        <v>332</v>
      </c>
      <c r="C104" s="9" t="s">
        <v>16</v>
      </c>
      <c r="D104" s="9" t="s">
        <v>22</v>
      </c>
      <c r="E104" s="9" t="s">
        <v>616</v>
      </c>
      <c r="F104" s="9" t="s">
        <v>617</v>
      </c>
      <c r="G104" s="9" t="s">
        <v>618</v>
      </c>
      <c r="H104" s="10">
        <v>113</v>
      </c>
      <c r="I104" s="10">
        <v>120</v>
      </c>
      <c r="J104" s="10">
        <v>86</v>
      </c>
      <c r="K104" s="10">
        <f t="shared" si="9"/>
        <v>106.64</v>
      </c>
      <c r="L104" s="11">
        <f t="shared" si="10"/>
        <v>0.88866666666666672</v>
      </c>
      <c r="M104" s="11">
        <f t="shared" si="11"/>
        <v>-5.6283185840707961E-2</v>
      </c>
    </row>
    <row r="105" spans="1:13" x14ac:dyDescent="0.3">
      <c r="A105" s="8" t="s">
        <v>61</v>
      </c>
      <c r="B105" s="9" t="s">
        <v>364</v>
      </c>
      <c r="C105" s="9" t="s">
        <v>16</v>
      </c>
      <c r="D105" s="9" t="s">
        <v>44</v>
      </c>
      <c r="E105" s="9" t="s">
        <v>616</v>
      </c>
      <c r="F105" s="9" t="s">
        <v>617</v>
      </c>
      <c r="G105" s="9" t="s">
        <v>622</v>
      </c>
      <c r="H105" s="10">
        <v>34</v>
      </c>
      <c r="I105" s="10">
        <v>38</v>
      </c>
      <c r="J105" s="10">
        <v>31</v>
      </c>
      <c r="K105" s="10">
        <f t="shared" si="9"/>
        <v>38.44</v>
      </c>
      <c r="L105" s="11">
        <f t="shared" si="10"/>
        <v>1.0115789473684209</v>
      </c>
      <c r="M105" s="11">
        <f t="shared" si="11"/>
        <v>0.13058823529411759</v>
      </c>
    </row>
    <row r="106" spans="1:13" x14ac:dyDescent="0.3">
      <c r="A106" s="8" t="s">
        <v>68</v>
      </c>
      <c r="B106" s="9" t="s">
        <v>370</v>
      </c>
      <c r="C106" s="9" t="s">
        <v>16</v>
      </c>
      <c r="D106" s="9" t="s">
        <v>38</v>
      </c>
      <c r="E106" s="9" t="s">
        <v>616</v>
      </c>
      <c r="F106" s="9" t="s">
        <v>617</v>
      </c>
      <c r="G106" s="9" t="s">
        <v>622</v>
      </c>
      <c r="H106" s="10">
        <v>5</v>
      </c>
      <c r="I106" s="10">
        <v>6</v>
      </c>
      <c r="J106" s="10">
        <v>5</v>
      </c>
      <c r="K106" s="10">
        <f t="shared" si="9"/>
        <v>6.2</v>
      </c>
      <c r="L106" s="11">
        <f t="shared" si="10"/>
        <v>1.0333333333333334</v>
      </c>
      <c r="M106" s="11">
        <f t="shared" si="11"/>
        <v>0.24000000000000005</v>
      </c>
    </row>
    <row r="107" spans="1:13" x14ac:dyDescent="0.3">
      <c r="A107" s="8" t="s">
        <v>74</v>
      </c>
      <c r="B107" s="9" t="s">
        <v>376</v>
      </c>
      <c r="C107" s="9" t="s">
        <v>16</v>
      </c>
      <c r="D107" s="9" t="s">
        <v>34</v>
      </c>
      <c r="E107" s="9" t="s">
        <v>616</v>
      </c>
      <c r="F107" s="9" t="s">
        <v>617</v>
      </c>
      <c r="G107" s="9" t="s">
        <v>621</v>
      </c>
      <c r="H107" s="10">
        <v>24</v>
      </c>
      <c r="I107" s="10">
        <v>25</v>
      </c>
      <c r="J107" s="10">
        <v>29</v>
      </c>
      <c r="K107" s="10">
        <f t="shared" si="9"/>
        <v>35.96</v>
      </c>
      <c r="L107" s="11">
        <f t="shared" si="10"/>
        <v>1.4384000000000001</v>
      </c>
      <c r="M107" s="11">
        <f t="shared" si="11"/>
        <v>0.49833333333333335</v>
      </c>
    </row>
    <row r="108" spans="1:13" x14ac:dyDescent="0.3">
      <c r="A108" s="8" t="s">
        <v>98</v>
      </c>
      <c r="B108" s="9" t="s">
        <v>400</v>
      </c>
      <c r="C108" s="9" t="s">
        <v>16</v>
      </c>
      <c r="D108" s="9" t="s">
        <v>22</v>
      </c>
      <c r="E108" s="9" t="s">
        <v>616</v>
      </c>
      <c r="F108" s="9" t="s">
        <v>617</v>
      </c>
      <c r="G108" s="9" t="s">
        <v>618</v>
      </c>
      <c r="H108" s="10">
        <v>14</v>
      </c>
      <c r="I108" s="10">
        <v>14</v>
      </c>
      <c r="J108" s="10">
        <v>4</v>
      </c>
      <c r="K108" s="10">
        <f t="shared" si="9"/>
        <v>4.96</v>
      </c>
      <c r="L108" s="11">
        <f t="shared" si="10"/>
        <v>0.35428571428571426</v>
      </c>
      <c r="M108" s="11">
        <f t="shared" si="11"/>
        <v>-0.64571428571428569</v>
      </c>
    </row>
    <row r="109" spans="1:13" x14ac:dyDescent="0.3">
      <c r="A109" s="8" t="s">
        <v>100</v>
      </c>
      <c r="B109" s="9" t="s">
        <v>402</v>
      </c>
      <c r="C109" s="9" t="s">
        <v>16</v>
      </c>
      <c r="D109" s="9" t="s">
        <v>44</v>
      </c>
      <c r="E109" s="9" t="s">
        <v>616</v>
      </c>
      <c r="F109" s="9" t="s">
        <v>617</v>
      </c>
      <c r="G109" s="9" t="s">
        <v>622</v>
      </c>
      <c r="H109" s="10">
        <v>4</v>
      </c>
      <c r="I109" s="10">
        <v>4</v>
      </c>
      <c r="J109" s="10">
        <v>1</v>
      </c>
      <c r="K109" s="10">
        <f t="shared" si="9"/>
        <v>1.24</v>
      </c>
      <c r="L109" s="11">
        <f t="shared" si="10"/>
        <v>0.31</v>
      </c>
      <c r="M109" s="11">
        <f t="shared" si="11"/>
        <v>-0.69</v>
      </c>
    </row>
    <row r="110" spans="1:13" x14ac:dyDescent="0.3">
      <c r="A110" s="8" t="s">
        <v>86</v>
      </c>
      <c r="B110" s="9" t="s">
        <v>388</v>
      </c>
      <c r="C110" s="9" t="s">
        <v>16</v>
      </c>
      <c r="D110" s="9" t="s">
        <v>36</v>
      </c>
      <c r="E110" s="9" t="s">
        <v>616</v>
      </c>
      <c r="F110" s="9" t="s">
        <v>617</v>
      </c>
      <c r="G110" s="9" t="s">
        <v>622</v>
      </c>
      <c r="H110" s="10">
        <v>21</v>
      </c>
      <c r="I110" s="10">
        <v>13</v>
      </c>
      <c r="J110" s="10">
        <v>25</v>
      </c>
      <c r="K110" s="10">
        <f t="shared" si="9"/>
        <v>31</v>
      </c>
      <c r="L110" s="11">
        <f t="shared" si="10"/>
        <v>2.3846153846153846</v>
      </c>
      <c r="M110" s="11">
        <f t="shared" si="11"/>
        <v>0.47619047619047616</v>
      </c>
    </row>
    <row r="111" spans="1:13" x14ac:dyDescent="0.3">
      <c r="A111" s="8" t="s">
        <v>126</v>
      </c>
      <c r="B111" s="9" t="s">
        <v>424</v>
      </c>
      <c r="C111" s="9" t="s">
        <v>16</v>
      </c>
      <c r="D111" s="9" t="s">
        <v>36</v>
      </c>
      <c r="E111" s="9" t="s">
        <v>616</v>
      </c>
      <c r="F111" s="9" t="s">
        <v>617</v>
      </c>
      <c r="G111" s="9" t="s">
        <v>621</v>
      </c>
      <c r="H111" s="10">
        <v>37</v>
      </c>
      <c r="I111" s="10">
        <v>33</v>
      </c>
      <c r="J111" s="10">
        <v>18</v>
      </c>
      <c r="K111" s="10">
        <f t="shared" si="9"/>
        <v>22.32</v>
      </c>
      <c r="L111" s="11">
        <f t="shared" si="10"/>
        <v>0.67636363636363639</v>
      </c>
      <c r="M111" s="11">
        <f t="shared" si="11"/>
        <v>-0.39675675675675676</v>
      </c>
    </row>
    <row r="112" spans="1:13" x14ac:dyDescent="0.3">
      <c r="A112" s="8" t="s">
        <v>167</v>
      </c>
      <c r="B112" s="9" t="s">
        <v>457</v>
      </c>
      <c r="C112" s="9" t="s">
        <v>16</v>
      </c>
      <c r="D112" s="9" t="s">
        <v>44</v>
      </c>
      <c r="E112" s="9" t="s">
        <v>616</v>
      </c>
      <c r="F112" s="9" t="s">
        <v>617</v>
      </c>
      <c r="G112" s="9" t="s">
        <v>622</v>
      </c>
      <c r="H112" s="10">
        <v>87</v>
      </c>
      <c r="I112" s="10">
        <v>82</v>
      </c>
      <c r="J112" s="10">
        <v>50</v>
      </c>
      <c r="K112" s="10">
        <f t="shared" si="9"/>
        <v>62</v>
      </c>
      <c r="L112" s="11">
        <f t="shared" si="10"/>
        <v>0.75609756097560976</v>
      </c>
      <c r="M112" s="11">
        <f t="shared" si="11"/>
        <v>-0.28735632183908044</v>
      </c>
    </row>
    <row r="113" spans="1:13" x14ac:dyDescent="0.3">
      <c r="A113" s="8" t="s">
        <v>56</v>
      </c>
      <c r="B113" s="9" t="s">
        <v>360</v>
      </c>
      <c r="C113" s="9" t="s">
        <v>16</v>
      </c>
      <c r="D113" s="9" t="s">
        <v>44</v>
      </c>
      <c r="E113" s="9" t="s">
        <v>616</v>
      </c>
      <c r="F113" s="9" t="s">
        <v>617</v>
      </c>
      <c r="G113" s="9" t="s">
        <v>622</v>
      </c>
      <c r="H113" s="10">
        <v>36</v>
      </c>
      <c r="I113" s="10">
        <v>39</v>
      </c>
      <c r="J113" s="10">
        <v>37</v>
      </c>
      <c r="K113" s="10">
        <f t="shared" si="9"/>
        <v>45.88</v>
      </c>
      <c r="L113" s="11">
        <f t="shared" si="10"/>
        <v>1.1764102564102565</v>
      </c>
      <c r="M113" s="11">
        <f t="shared" si="11"/>
        <v>0.27444444444444449</v>
      </c>
    </row>
    <row r="114" spans="1:13" x14ac:dyDescent="0.3">
      <c r="A114" s="8" t="s">
        <v>125</v>
      </c>
      <c r="B114" s="9" t="s">
        <v>423</v>
      </c>
      <c r="C114" s="9" t="s">
        <v>16</v>
      </c>
      <c r="D114" s="9" t="s">
        <v>36</v>
      </c>
      <c r="E114" s="9" t="s">
        <v>616</v>
      </c>
      <c r="F114" s="9" t="s">
        <v>617</v>
      </c>
      <c r="G114" s="9" t="s">
        <v>622</v>
      </c>
      <c r="H114" s="10">
        <v>32</v>
      </c>
      <c r="I114" s="10">
        <v>30</v>
      </c>
      <c r="J114" s="10">
        <v>20</v>
      </c>
      <c r="K114" s="10">
        <f t="shared" si="9"/>
        <v>24.8</v>
      </c>
      <c r="L114" s="11">
        <f t="shared" si="10"/>
        <v>0.82666666666666666</v>
      </c>
      <c r="M114" s="11">
        <f t="shared" si="11"/>
        <v>-0.22499999999999998</v>
      </c>
    </row>
    <row r="115" spans="1:13" x14ac:dyDescent="0.3">
      <c r="A115" s="8" t="s">
        <v>161</v>
      </c>
      <c r="B115" s="9" t="s">
        <v>451</v>
      </c>
      <c r="C115" s="9" t="s">
        <v>16</v>
      </c>
      <c r="D115" s="9" t="s">
        <v>36</v>
      </c>
      <c r="E115" s="9" t="s">
        <v>616</v>
      </c>
      <c r="F115" s="9" t="s">
        <v>617</v>
      </c>
      <c r="G115" s="9" t="s">
        <v>622</v>
      </c>
      <c r="H115" s="10">
        <v>29</v>
      </c>
      <c r="I115" s="10">
        <v>30</v>
      </c>
      <c r="J115" s="10">
        <v>8</v>
      </c>
      <c r="K115" s="10">
        <f t="shared" si="9"/>
        <v>9.92</v>
      </c>
      <c r="L115" s="11">
        <f t="shared" si="10"/>
        <v>0.33066666666666666</v>
      </c>
      <c r="M115" s="11">
        <f t="shared" si="11"/>
        <v>-0.65793103448275858</v>
      </c>
    </row>
    <row r="116" spans="1:13" x14ac:dyDescent="0.3">
      <c r="A116" s="8" t="s">
        <v>58</v>
      </c>
      <c r="B116" s="9" t="s">
        <v>362</v>
      </c>
      <c r="C116" s="9" t="s">
        <v>16</v>
      </c>
      <c r="D116" s="9" t="s">
        <v>36</v>
      </c>
      <c r="E116" s="9" t="s">
        <v>616</v>
      </c>
      <c r="F116" s="9" t="s">
        <v>617</v>
      </c>
      <c r="G116" s="9" t="s">
        <v>622</v>
      </c>
      <c r="H116" s="10">
        <v>14</v>
      </c>
      <c r="I116" s="10">
        <v>15</v>
      </c>
      <c r="J116" s="10">
        <v>6</v>
      </c>
      <c r="K116" s="10">
        <f t="shared" si="9"/>
        <v>7.4399999999999995</v>
      </c>
      <c r="L116" s="11">
        <f t="shared" si="10"/>
        <v>0.49599999999999994</v>
      </c>
      <c r="M116" s="11">
        <f t="shared" si="11"/>
        <v>-0.46857142857142858</v>
      </c>
    </row>
    <row r="117" spans="1:13" x14ac:dyDescent="0.3">
      <c r="A117" s="8" t="s">
        <v>84</v>
      </c>
      <c r="B117" s="9" t="s">
        <v>386</v>
      </c>
      <c r="C117" s="9" t="s">
        <v>16</v>
      </c>
      <c r="D117" s="9" t="s">
        <v>44</v>
      </c>
      <c r="E117" s="9" t="s">
        <v>616</v>
      </c>
      <c r="F117" s="9" t="s">
        <v>617</v>
      </c>
      <c r="G117" s="9" t="s">
        <v>622</v>
      </c>
      <c r="H117" s="10">
        <v>4</v>
      </c>
      <c r="I117" s="10">
        <v>8</v>
      </c>
      <c r="J117" s="10">
        <v>0</v>
      </c>
      <c r="K117" s="10">
        <f t="shared" si="9"/>
        <v>0</v>
      </c>
      <c r="L117" s="11">
        <f t="shared" si="10"/>
        <v>0</v>
      </c>
      <c r="M117" s="11">
        <f t="shared" si="11"/>
        <v>-1</v>
      </c>
    </row>
    <row r="118" spans="1:13" x14ac:dyDescent="0.3">
      <c r="A118" s="8" t="s">
        <v>104</v>
      </c>
      <c r="B118" s="9" t="s">
        <v>406</v>
      </c>
      <c r="C118" s="9" t="s">
        <v>16</v>
      </c>
      <c r="D118" s="9" t="s">
        <v>36</v>
      </c>
      <c r="E118" s="9" t="s">
        <v>616</v>
      </c>
      <c r="F118" s="9" t="s">
        <v>617</v>
      </c>
      <c r="G118" s="9" t="s">
        <v>622</v>
      </c>
      <c r="H118" s="10">
        <v>2</v>
      </c>
      <c r="I118" s="10">
        <v>5</v>
      </c>
      <c r="J118" s="10">
        <v>1</v>
      </c>
      <c r="K118" s="10">
        <f t="shared" si="9"/>
        <v>1.24</v>
      </c>
      <c r="L118" s="11">
        <f t="shared" si="10"/>
        <v>0.248</v>
      </c>
      <c r="M118" s="11">
        <f t="shared" si="11"/>
        <v>-0.38</v>
      </c>
    </row>
    <row r="119" spans="1:13" x14ac:dyDescent="0.3">
      <c r="A119" s="8" t="s">
        <v>64</v>
      </c>
      <c r="B119" s="9" t="s">
        <v>366</v>
      </c>
      <c r="C119" s="9" t="s">
        <v>14</v>
      </c>
      <c r="D119" s="9" t="s">
        <v>32</v>
      </c>
      <c r="E119" s="9" t="s">
        <v>616</v>
      </c>
      <c r="F119" s="9" t="s">
        <v>617</v>
      </c>
      <c r="G119" s="9" t="s">
        <v>619</v>
      </c>
      <c r="H119" s="10">
        <v>23</v>
      </c>
      <c r="I119" s="10">
        <v>22</v>
      </c>
      <c r="J119" s="10">
        <v>24</v>
      </c>
      <c r="K119" s="10">
        <f t="shared" si="9"/>
        <v>29.759999999999998</v>
      </c>
      <c r="L119" s="11">
        <f t="shared" si="10"/>
        <v>1.3527272727272726</v>
      </c>
      <c r="M119" s="11">
        <f t="shared" si="11"/>
        <v>0.2939130434782608</v>
      </c>
    </row>
    <row r="120" spans="1:13" x14ac:dyDescent="0.3">
      <c r="A120" s="8" t="s">
        <v>97</v>
      </c>
      <c r="B120" s="9" t="s">
        <v>399</v>
      </c>
      <c r="C120" s="9" t="s">
        <v>16</v>
      </c>
      <c r="D120" s="9" t="s">
        <v>44</v>
      </c>
      <c r="E120" s="9" t="s">
        <v>616</v>
      </c>
      <c r="F120" s="9" t="s">
        <v>617</v>
      </c>
      <c r="G120" s="9" t="s">
        <v>622</v>
      </c>
      <c r="H120" s="10">
        <v>19</v>
      </c>
      <c r="I120" s="10">
        <v>15</v>
      </c>
      <c r="J120" s="10">
        <v>13</v>
      </c>
      <c r="K120" s="10">
        <f t="shared" si="9"/>
        <v>16.12</v>
      </c>
      <c r="L120" s="11">
        <f t="shared" si="10"/>
        <v>1.0746666666666667</v>
      </c>
      <c r="M120" s="11">
        <f t="shared" si="11"/>
        <v>-0.15157894736842101</v>
      </c>
    </row>
    <row r="121" spans="1:13" x14ac:dyDescent="0.3">
      <c r="A121" s="8" t="s">
        <v>101</v>
      </c>
      <c r="B121" s="9" t="s">
        <v>403</v>
      </c>
      <c r="C121" s="9" t="s">
        <v>16</v>
      </c>
      <c r="D121" s="9" t="s">
        <v>42</v>
      </c>
      <c r="E121" s="9" t="s">
        <v>616</v>
      </c>
      <c r="F121" s="9" t="s">
        <v>617</v>
      </c>
      <c r="G121" s="9" t="s">
        <v>618</v>
      </c>
      <c r="H121" s="10">
        <v>48</v>
      </c>
      <c r="I121" s="10">
        <v>54</v>
      </c>
      <c r="J121" s="10">
        <v>26</v>
      </c>
      <c r="K121" s="10">
        <f t="shared" si="9"/>
        <v>32.24</v>
      </c>
      <c r="L121" s="11">
        <f t="shared" si="10"/>
        <v>0.59703703703703703</v>
      </c>
      <c r="M121" s="11">
        <f t="shared" si="11"/>
        <v>-0.32833333333333331</v>
      </c>
    </row>
    <row r="122" spans="1:13" x14ac:dyDescent="0.3">
      <c r="A122" s="8" t="s">
        <v>33</v>
      </c>
      <c r="B122" s="9" t="s">
        <v>343</v>
      </c>
      <c r="C122" s="9" t="s">
        <v>16</v>
      </c>
      <c r="D122" s="9" t="s">
        <v>36</v>
      </c>
      <c r="E122" s="9" t="s">
        <v>616</v>
      </c>
      <c r="F122" s="9" t="s">
        <v>617</v>
      </c>
      <c r="G122" s="9" t="s">
        <v>622</v>
      </c>
      <c r="H122" s="10">
        <v>5</v>
      </c>
      <c r="I122" s="10">
        <v>5</v>
      </c>
      <c r="J122" s="10">
        <v>4</v>
      </c>
      <c r="K122" s="10">
        <f t="shared" si="9"/>
        <v>4.96</v>
      </c>
      <c r="L122" s="11">
        <f t="shared" si="10"/>
        <v>0.99199999999999999</v>
      </c>
      <c r="M122" s="11">
        <f t="shared" si="11"/>
        <v>-8.0000000000000071E-3</v>
      </c>
    </row>
    <row r="123" spans="1:13" x14ac:dyDescent="0.3">
      <c r="A123" s="8" t="s">
        <v>95</v>
      </c>
      <c r="B123" s="9" t="s">
        <v>397</v>
      </c>
      <c r="C123" s="9" t="s">
        <v>16</v>
      </c>
      <c r="D123" s="9" t="s">
        <v>38</v>
      </c>
      <c r="E123" s="9" t="s">
        <v>616</v>
      </c>
      <c r="F123" s="9" t="s">
        <v>617</v>
      </c>
      <c r="G123" s="9" t="s">
        <v>621</v>
      </c>
      <c r="H123" s="10">
        <v>12</v>
      </c>
      <c r="I123" s="10">
        <v>12</v>
      </c>
      <c r="J123" s="10">
        <v>3</v>
      </c>
      <c r="K123" s="10">
        <f t="shared" si="9"/>
        <v>3.7199999999999998</v>
      </c>
      <c r="L123" s="11">
        <f t="shared" si="10"/>
        <v>0.31</v>
      </c>
      <c r="M123" s="11">
        <f t="shared" si="11"/>
        <v>-0.69000000000000006</v>
      </c>
    </row>
    <row r="124" spans="1:13" x14ac:dyDescent="0.3">
      <c r="A124" s="8" t="s">
        <v>51</v>
      </c>
      <c r="B124" s="9" t="s">
        <v>355</v>
      </c>
      <c r="C124" s="9" t="s">
        <v>16</v>
      </c>
      <c r="D124" s="9" t="s">
        <v>44</v>
      </c>
      <c r="E124" s="9" t="s">
        <v>616</v>
      </c>
      <c r="F124" s="9" t="s">
        <v>617</v>
      </c>
      <c r="G124" s="9" t="s">
        <v>622</v>
      </c>
      <c r="H124" s="10">
        <v>26</v>
      </c>
      <c r="I124" s="10">
        <v>28</v>
      </c>
      <c r="J124" s="10">
        <v>15</v>
      </c>
      <c r="K124" s="10">
        <f t="shared" si="9"/>
        <v>18.599999999999998</v>
      </c>
      <c r="L124" s="11">
        <f t="shared" si="10"/>
        <v>0.66428571428571426</v>
      </c>
      <c r="M124" s="11">
        <f t="shared" si="11"/>
        <v>-0.28461538461538471</v>
      </c>
    </row>
    <row r="125" spans="1:13" x14ac:dyDescent="0.3">
      <c r="A125" s="8" t="s">
        <v>49</v>
      </c>
      <c r="B125" s="9" t="s">
        <v>353</v>
      </c>
      <c r="C125" s="9" t="s">
        <v>16</v>
      </c>
      <c r="D125" s="9" t="s">
        <v>44</v>
      </c>
      <c r="E125" s="9" t="s">
        <v>616</v>
      </c>
      <c r="F125" s="9" t="s">
        <v>617</v>
      </c>
      <c r="G125" s="9" t="s">
        <v>622</v>
      </c>
      <c r="H125" s="10">
        <v>33</v>
      </c>
      <c r="I125" s="10">
        <v>34</v>
      </c>
      <c r="J125" s="10">
        <v>24</v>
      </c>
      <c r="K125" s="10">
        <f t="shared" si="9"/>
        <v>29.759999999999998</v>
      </c>
      <c r="L125" s="11">
        <f t="shared" si="10"/>
        <v>0.87529411764705878</v>
      </c>
      <c r="M125" s="11">
        <f t="shared" si="11"/>
        <v>-9.8181818181818245E-2</v>
      </c>
    </row>
    <row r="126" spans="1:13" x14ac:dyDescent="0.3">
      <c r="A126" s="8" t="s">
        <v>77</v>
      </c>
      <c r="B126" s="9" t="s">
        <v>379</v>
      </c>
      <c r="C126" s="9" t="s">
        <v>16</v>
      </c>
      <c r="D126" s="9" t="s">
        <v>44</v>
      </c>
      <c r="E126" s="9" t="s">
        <v>616</v>
      </c>
      <c r="F126" s="9" t="s">
        <v>617</v>
      </c>
      <c r="G126" s="9" t="s">
        <v>622</v>
      </c>
      <c r="H126" s="10">
        <v>4</v>
      </c>
      <c r="I126" s="10">
        <v>4</v>
      </c>
      <c r="J126" s="10">
        <v>3</v>
      </c>
      <c r="K126" s="10">
        <f t="shared" si="9"/>
        <v>3.7199999999999998</v>
      </c>
      <c r="L126" s="11">
        <f t="shared" si="10"/>
        <v>0.92999999999999994</v>
      </c>
      <c r="M126" s="11">
        <f t="shared" si="11"/>
        <v>-7.0000000000000062E-2</v>
      </c>
    </row>
    <row r="127" spans="1:13" x14ac:dyDescent="0.3">
      <c r="A127" s="8" t="s">
        <v>89</v>
      </c>
      <c r="B127" s="9" t="s">
        <v>391</v>
      </c>
      <c r="C127" s="9" t="s">
        <v>16</v>
      </c>
      <c r="D127" s="9" t="s">
        <v>36</v>
      </c>
      <c r="E127" s="9" t="s">
        <v>616</v>
      </c>
      <c r="F127" s="9" t="s">
        <v>617</v>
      </c>
      <c r="G127" s="9" t="s">
        <v>622</v>
      </c>
      <c r="H127" s="10">
        <v>28</v>
      </c>
      <c r="I127" s="10">
        <v>25</v>
      </c>
      <c r="J127" s="10">
        <v>12</v>
      </c>
      <c r="K127" s="10">
        <f t="shared" si="9"/>
        <v>14.879999999999999</v>
      </c>
      <c r="L127" s="11">
        <f t="shared" si="10"/>
        <v>0.59519999999999995</v>
      </c>
      <c r="M127" s="11">
        <f t="shared" si="11"/>
        <v>-0.46857142857142858</v>
      </c>
    </row>
    <row r="128" spans="1:13" x14ac:dyDescent="0.3">
      <c r="A128" s="8" t="s">
        <v>46</v>
      </c>
      <c r="B128" s="9" t="s">
        <v>350</v>
      </c>
      <c r="C128" s="9" t="s">
        <v>16</v>
      </c>
      <c r="D128" s="9" t="s">
        <v>22</v>
      </c>
      <c r="E128" s="9" t="s">
        <v>616</v>
      </c>
      <c r="F128" s="9" t="s">
        <v>617</v>
      </c>
      <c r="G128" s="9" t="s">
        <v>618</v>
      </c>
      <c r="H128" s="10">
        <v>43</v>
      </c>
      <c r="I128" s="10">
        <v>42</v>
      </c>
      <c r="J128" s="10">
        <v>26</v>
      </c>
      <c r="K128" s="10">
        <f t="shared" si="9"/>
        <v>32.24</v>
      </c>
      <c r="L128" s="11">
        <f t="shared" si="10"/>
        <v>0.76761904761904765</v>
      </c>
      <c r="M128" s="11">
        <f t="shared" si="11"/>
        <v>-0.25023255813953482</v>
      </c>
    </row>
    <row r="129" spans="1:22" x14ac:dyDescent="0.3">
      <c r="A129" s="8" t="s">
        <v>82</v>
      </c>
      <c r="B129" s="9" t="s">
        <v>384</v>
      </c>
      <c r="C129" s="9" t="s">
        <v>16</v>
      </c>
      <c r="D129" s="9" t="s">
        <v>44</v>
      </c>
      <c r="E129" s="9" t="s">
        <v>616</v>
      </c>
      <c r="F129" s="9" t="s">
        <v>617</v>
      </c>
      <c r="G129" s="9" t="s">
        <v>622</v>
      </c>
      <c r="H129" s="10">
        <v>16</v>
      </c>
      <c r="I129" s="10">
        <v>17</v>
      </c>
      <c r="J129" s="10">
        <v>11</v>
      </c>
      <c r="K129" s="10">
        <f t="shared" si="9"/>
        <v>13.64</v>
      </c>
      <c r="L129" s="11">
        <f t="shared" si="10"/>
        <v>0.8023529411764706</v>
      </c>
      <c r="M129" s="11">
        <f t="shared" si="11"/>
        <v>-0.14749999999999996</v>
      </c>
    </row>
    <row r="130" spans="1:22" x14ac:dyDescent="0.3">
      <c r="A130" s="8" t="s">
        <v>143</v>
      </c>
      <c r="B130" s="9" t="s">
        <v>433</v>
      </c>
      <c r="C130" s="9" t="s">
        <v>16</v>
      </c>
      <c r="D130" s="9" t="s">
        <v>22</v>
      </c>
      <c r="E130" s="9" t="s">
        <v>616</v>
      </c>
      <c r="F130" s="9" t="s">
        <v>617</v>
      </c>
      <c r="G130" s="9" t="s">
        <v>618</v>
      </c>
      <c r="H130" s="10">
        <v>35</v>
      </c>
      <c r="I130" s="10">
        <v>31</v>
      </c>
      <c r="J130" s="10">
        <v>20</v>
      </c>
      <c r="K130" s="10">
        <f t="shared" si="9"/>
        <v>24.8</v>
      </c>
      <c r="L130" s="11">
        <f t="shared" si="10"/>
        <v>0.8</v>
      </c>
      <c r="M130" s="11">
        <f t="shared" si="11"/>
        <v>-0.29142857142857143</v>
      </c>
    </row>
    <row r="131" spans="1:22" x14ac:dyDescent="0.3">
      <c r="A131" s="8" t="s">
        <v>53</v>
      </c>
      <c r="B131" s="9" t="s">
        <v>357</v>
      </c>
      <c r="C131" s="9" t="s">
        <v>16</v>
      </c>
      <c r="D131" s="9" t="s">
        <v>44</v>
      </c>
      <c r="E131" s="9" t="s">
        <v>616</v>
      </c>
      <c r="F131" s="9" t="s">
        <v>617</v>
      </c>
      <c r="G131" s="9" t="s">
        <v>622</v>
      </c>
      <c r="H131" s="10">
        <v>41</v>
      </c>
      <c r="I131" s="10">
        <v>40</v>
      </c>
      <c r="J131" s="10">
        <v>22</v>
      </c>
      <c r="K131" s="10">
        <f t="shared" si="9"/>
        <v>27.28</v>
      </c>
      <c r="L131" s="11">
        <f t="shared" si="10"/>
        <v>0.68200000000000005</v>
      </c>
      <c r="M131" s="11">
        <f t="shared" si="11"/>
        <v>-0.33463414634146338</v>
      </c>
    </row>
    <row r="132" spans="1:22" x14ac:dyDescent="0.3">
      <c r="A132" s="8" t="s">
        <v>80</v>
      </c>
      <c r="B132" s="9" t="s">
        <v>382</v>
      </c>
      <c r="C132" s="9" t="s">
        <v>16</v>
      </c>
      <c r="D132" s="9" t="s">
        <v>44</v>
      </c>
      <c r="E132" s="9" t="s">
        <v>616</v>
      </c>
      <c r="F132" s="9" t="s">
        <v>617</v>
      </c>
      <c r="G132" s="9" t="s">
        <v>622</v>
      </c>
      <c r="H132" s="10">
        <v>10</v>
      </c>
      <c r="I132" s="10">
        <v>8</v>
      </c>
      <c r="J132" s="10">
        <v>4</v>
      </c>
      <c r="K132" s="10">
        <f t="shared" si="9"/>
        <v>4.96</v>
      </c>
      <c r="L132" s="11">
        <f t="shared" si="10"/>
        <v>0.62</v>
      </c>
      <c r="M132" s="11">
        <f t="shared" si="11"/>
        <v>-0.504</v>
      </c>
    </row>
    <row r="133" spans="1:22" x14ac:dyDescent="0.3">
      <c r="A133" s="8" t="s">
        <v>131</v>
      </c>
      <c r="B133" s="9" t="s">
        <v>427</v>
      </c>
      <c r="C133" s="9" t="s">
        <v>16</v>
      </c>
      <c r="D133" s="9" t="s">
        <v>36</v>
      </c>
      <c r="E133" s="9" t="s">
        <v>616</v>
      </c>
      <c r="F133" s="9" t="s">
        <v>617</v>
      </c>
      <c r="G133" s="9" t="s">
        <v>622</v>
      </c>
      <c r="H133" s="10">
        <v>32</v>
      </c>
      <c r="I133" s="10">
        <v>21</v>
      </c>
      <c r="J133" s="10">
        <v>17</v>
      </c>
      <c r="K133" s="10">
        <f t="shared" ref="K133:K139" si="12">IFERROR((J133/$A$1*$B$1),0)</f>
        <v>21.080000000000002</v>
      </c>
      <c r="L133" s="11">
        <f t="shared" ref="L133:L140" si="13">IFERROR((K133/I133),0)</f>
        <v>1.0038095238095239</v>
      </c>
      <c r="M133" s="11">
        <f t="shared" ref="M133:M140" si="14">IFERROR((K133-H133)/H133,0)</f>
        <v>-0.34124999999999994</v>
      </c>
    </row>
    <row r="134" spans="1:22" x14ac:dyDescent="0.3">
      <c r="A134" s="8" t="s">
        <v>151</v>
      </c>
      <c r="B134" s="9" t="s">
        <v>441</v>
      </c>
      <c r="C134" s="9" t="s">
        <v>16</v>
      </c>
      <c r="D134" s="9" t="s">
        <v>36</v>
      </c>
      <c r="E134" s="9" t="s">
        <v>616</v>
      </c>
      <c r="F134" s="9" t="s">
        <v>617</v>
      </c>
      <c r="G134" s="9" t="s">
        <v>622</v>
      </c>
      <c r="H134" s="10">
        <v>6</v>
      </c>
      <c r="I134" s="10">
        <v>5</v>
      </c>
      <c r="J134" s="10">
        <v>3</v>
      </c>
      <c r="K134" s="10">
        <f t="shared" si="12"/>
        <v>3.7199999999999998</v>
      </c>
      <c r="L134" s="11">
        <f t="shared" si="13"/>
        <v>0.74399999999999999</v>
      </c>
      <c r="M134" s="11">
        <f t="shared" si="14"/>
        <v>-0.38000000000000006</v>
      </c>
    </row>
    <row r="135" spans="1:22" x14ac:dyDescent="0.3">
      <c r="A135" s="8" t="s">
        <v>128</v>
      </c>
      <c r="B135" s="9" t="s">
        <v>426</v>
      </c>
      <c r="C135" s="9" t="s">
        <v>16</v>
      </c>
      <c r="D135" s="9" t="s">
        <v>42</v>
      </c>
      <c r="E135" s="9" t="s">
        <v>616</v>
      </c>
      <c r="F135" s="9" t="s">
        <v>617</v>
      </c>
      <c r="G135" s="9" t="s">
        <v>618</v>
      </c>
      <c r="H135" s="10">
        <v>41</v>
      </c>
      <c r="I135" s="10">
        <v>48</v>
      </c>
      <c r="J135" s="10">
        <v>55</v>
      </c>
      <c r="K135" s="10">
        <f t="shared" si="12"/>
        <v>68.2</v>
      </c>
      <c r="L135" s="11">
        <f t="shared" si="13"/>
        <v>1.4208333333333334</v>
      </c>
      <c r="M135" s="11">
        <f t="shared" si="14"/>
        <v>0.6634146341463415</v>
      </c>
    </row>
    <row r="136" spans="1:22" x14ac:dyDescent="0.3">
      <c r="A136" s="8" t="s">
        <v>63</v>
      </c>
      <c r="B136" s="9" t="s">
        <v>365</v>
      </c>
      <c r="C136" s="9" t="s">
        <v>16</v>
      </c>
      <c r="D136" s="9" t="s">
        <v>22</v>
      </c>
      <c r="E136" s="9" t="s">
        <v>616</v>
      </c>
      <c r="F136" s="9" t="s">
        <v>617</v>
      </c>
      <c r="G136" s="9" t="s">
        <v>618</v>
      </c>
      <c r="H136" s="10">
        <v>23</v>
      </c>
      <c r="I136" s="10">
        <v>22</v>
      </c>
      <c r="J136" s="10">
        <v>19</v>
      </c>
      <c r="K136" s="10">
        <f t="shared" si="12"/>
        <v>23.56</v>
      </c>
      <c r="L136" s="11">
        <f t="shared" si="13"/>
        <v>1.0709090909090908</v>
      </c>
      <c r="M136" s="11">
        <f t="shared" si="14"/>
        <v>2.4347826086956466E-2</v>
      </c>
    </row>
    <row r="137" spans="1:22" x14ac:dyDescent="0.3">
      <c r="A137" s="8" t="s">
        <v>71</v>
      </c>
      <c r="B137" s="9" t="s">
        <v>373</v>
      </c>
      <c r="C137" s="9" t="s">
        <v>16</v>
      </c>
      <c r="D137" s="9" t="s">
        <v>44</v>
      </c>
      <c r="E137" s="9" t="s">
        <v>616</v>
      </c>
      <c r="F137" s="9" t="s">
        <v>617</v>
      </c>
      <c r="G137" s="9" t="s">
        <v>622</v>
      </c>
      <c r="H137" s="10">
        <v>21</v>
      </c>
      <c r="I137" s="10">
        <v>15</v>
      </c>
      <c r="J137" s="10">
        <v>13</v>
      </c>
      <c r="K137" s="10">
        <f t="shared" si="12"/>
        <v>16.12</v>
      </c>
      <c r="L137" s="11">
        <f t="shared" si="13"/>
        <v>1.0746666666666667</v>
      </c>
      <c r="M137" s="11">
        <f t="shared" si="14"/>
        <v>-0.23238095238095233</v>
      </c>
    </row>
    <row r="138" spans="1:22" x14ac:dyDescent="0.3">
      <c r="A138" s="8" t="s">
        <v>263</v>
      </c>
      <c r="B138" s="9" t="s">
        <v>552</v>
      </c>
      <c r="C138" s="9" t="s">
        <v>16</v>
      </c>
      <c r="D138" s="9" t="s">
        <v>44</v>
      </c>
      <c r="E138" s="9" t="s">
        <v>630</v>
      </c>
      <c r="F138" s="9" t="s">
        <v>617</v>
      </c>
      <c r="G138" s="9" t="s">
        <v>622</v>
      </c>
      <c r="H138" s="10">
        <v>2</v>
      </c>
      <c r="I138" s="10">
        <v>3</v>
      </c>
      <c r="J138" s="10">
        <v>0</v>
      </c>
      <c r="K138" s="10">
        <f t="shared" si="12"/>
        <v>0</v>
      </c>
      <c r="L138" s="11">
        <f t="shared" si="13"/>
        <v>0</v>
      </c>
      <c r="M138" s="11">
        <f t="shared" si="14"/>
        <v>-1</v>
      </c>
    </row>
    <row r="139" spans="1:22" x14ac:dyDescent="0.3">
      <c r="A139" s="8" t="s">
        <v>264</v>
      </c>
      <c r="B139" s="9" t="s">
        <v>553</v>
      </c>
      <c r="C139" s="9" t="s">
        <v>16</v>
      </c>
      <c r="D139" s="9" t="s">
        <v>42</v>
      </c>
      <c r="E139" s="9" t="s">
        <v>630</v>
      </c>
      <c r="F139" s="9" t="s">
        <v>617</v>
      </c>
      <c r="G139" s="9" t="s">
        <v>618</v>
      </c>
      <c r="H139" s="10">
        <v>1</v>
      </c>
      <c r="I139" s="10">
        <v>3</v>
      </c>
      <c r="J139" s="10">
        <v>0</v>
      </c>
      <c r="K139" s="10">
        <f t="shared" si="12"/>
        <v>0</v>
      </c>
      <c r="L139" s="11">
        <f t="shared" si="13"/>
        <v>0</v>
      </c>
      <c r="M139" s="11">
        <f t="shared" si="14"/>
        <v>-1</v>
      </c>
    </row>
    <row r="140" spans="1:22" s="15" customFormat="1" ht="15.05" customHeight="1" x14ac:dyDescent="0.3">
      <c r="A140" s="4" t="s">
        <v>18</v>
      </c>
      <c r="B140" s="7"/>
      <c r="C140" s="7"/>
      <c r="D140" s="7"/>
      <c r="E140" s="7"/>
      <c r="F140" s="7"/>
      <c r="G140" s="7"/>
      <c r="H140" s="12">
        <f>SUM(H5:H139)</f>
        <v>4322</v>
      </c>
      <c r="I140" s="12">
        <f>SUM(I5:I139)</f>
        <v>4030</v>
      </c>
      <c r="J140" s="12">
        <f>SUM(J5:J139)</f>
        <v>3401</v>
      </c>
      <c r="K140" s="12">
        <f>SUM(K5:K139)</f>
        <v>4217.24</v>
      </c>
      <c r="L140" s="13">
        <f t="shared" si="13"/>
        <v>1.0464615384615383</v>
      </c>
      <c r="M140" s="14">
        <f t="shared" si="14"/>
        <v>-2.4238778343359607E-2</v>
      </c>
      <c r="P140"/>
      <c r="Q140"/>
      <c r="R140"/>
      <c r="S140"/>
      <c r="T140"/>
      <c r="U140"/>
      <c r="V140"/>
    </row>
    <row r="141" spans="1:22" ht="15.05" customHeight="1" x14ac:dyDescent="0.3"/>
  </sheetData>
  <autoFilter ref="A4:M140" xr:uid="{9C37F107-75DF-4C86-A97B-8DB1A6F13EC7}"/>
  <mergeCells count="2">
    <mergeCell ref="A3:M3"/>
    <mergeCell ref="P3:V3"/>
  </mergeCells>
  <conditionalFormatting sqref="A5:A139">
    <cfRule type="duplicateValues" dxfId="26" priority="5"/>
  </conditionalFormatting>
  <conditionalFormatting sqref="L5:L140">
    <cfRule type="cellIs" dxfId="25" priority="4" operator="lessThan">
      <formula>1</formula>
    </cfRule>
  </conditionalFormatting>
  <conditionalFormatting sqref="U5:U7 U11:U23">
    <cfRule type="cellIs" dxfId="24" priority="2" operator="lessThan">
      <formula>1</formula>
    </cfRule>
    <cfRule type="cellIs" dxfId="23" priority="3" operator="lessThan">
      <formula>0</formula>
    </cfRule>
  </conditionalFormatting>
  <conditionalFormatting sqref="V5:V8 L5:M140 V11:V24">
    <cfRule type="cellIs" dxfId="22" priority="1" operator="less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99F8B-9CB4-48B2-8AFA-3AB9086E117A}">
  <dimension ref="A1:V153"/>
  <sheetViews>
    <sheetView showGridLines="0" zoomScale="70" zoomScaleNormal="70" workbookViewId="0">
      <pane ySplit="4" topLeftCell="A5" activePane="bottomLeft" state="frozen"/>
      <selection activeCell="J6" sqref="J6"/>
      <selection pane="bottomLeft" activeCell="J6" sqref="J6"/>
    </sheetView>
  </sheetViews>
  <sheetFormatPr defaultRowHeight="15.05" x14ac:dyDescent="0.3"/>
  <cols>
    <col min="1" max="1" width="10.33203125" bestFit="1" customWidth="1"/>
    <col min="2" max="2" width="41.109375" customWidth="1"/>
    <col min="3" max="3" width="15.109375" bestFit="1" customWidth="1"/>
    <col min="4" max="4" width="23" bestFit="1" customWidth="1"/>
    <col min="5" max="6" width="23" customWidth="1"/>
    <col min="7" max="7" width="19.44140625" bestFit="1" customWidth="1"/>
    <col min="8" max="8" width="19.44140625" customWidth="1"/>
    <col min="9" max="13" width="18" customWidth="1"/>
    <col min="16" max="16" width="25.88671875" customWidth="1"/>
    <col min="17" max="22" width="15.109375" customWidth="1"/>
  </cols>
  <sheetData>
    <row r="1" spans="1:22" x14ac:dyDescent="0.3">
      <c r="A1" s="1">
        <v>25</v>
      </c>
      <c r="B1" s="1">
        <v>31</v>
      </c>
    </row>
    <row r="2" spans="1:22" x14ac:dyDescent="0.3">
      <c r="A2" s="16"/>
    </row>
    <row r="3" spans="1:22" s="3" customFormat="1" ht="23.5" customHeight="1" x14ac:dyDescent="0.3">
      <c r="A3" s="2" t="str">
        <f>"RACING OPPO (01 - "&amp;A1&amp;" MEI 2026)"</f>
        <v>RACING OPPO (01 - 25 MEI 2026)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P3" s="2" t="str">
        <f>A3</f>
        <v>RACING OPPO (01 - 25 MEI 2026)</v>
      </c>
      <c r="Q3" s="2"/>
      <c r="R3" s="2"/>
      <c r="S3" s="2"/>
      <c r="T3" s="2"/>
      <c r="U3" s="2"/>
      <c r="V3" s="2"/>
    </row>
    <row r="4" spans="1:22" s="3" customFormat="1" ht="29.45" customHeight="1" x14ac:dyDescent="0.3">
      <c r="A4" s="4" t="s">
        <v>0</v>
      </c>
      <c r="B4" s="5" t="s">
        <v>1</v>
      </c>
      <c r="C4" s="5" t="s">
        <v>2</v>
      </c>
      <c r="D4" s="5" t="s">
        <v>3</v>
      </c>
      <c r="E4" s="5" t="s">
        <v>4</v>
      </c>
      <c r="F4" s="5" t="s">
        <v>5</v>
      </c>
      <c r="G4" s="5" t="s">
        <v>6</v>
      </c>
      <c r="H4" s="6" t="s">
        <v>7</v>
      </c>
      <c r="I4" s="6" t="s">
        <v>8</v>
      </c>
      <c r="J4" s="6" t="s">
        <v>9</v>
      </c>
      <c r="K4" s="6" t="s">
        <v>10</v>
      </c>
      <c r="L4" s="6" t="s">
        <v>11</v>
      </c>
      <c r="M4" s="6" t="s">
        <v>12</v>
      </c>
      <c r="P4" s="7" t="s">
        <v>2</v>
      </c>
      <c r="Q4" s="6" t="s">
        <v>7</v>
      </c>
      <c r="R4" s="6" t="s">
        <v>8</v>
      </c>
      <c r="S4" s="6" t="s">
        <v>9</v>
      </c>
      <c r="T4" s="6" t="s">
        <v>10</v>
      </c>
      <c r="U4" s="6" t="s">
        <v>11</v>
      </c>
      <c r="V4" s="6" t="s">
        <v>12</v>
      </c>
    </row>
    <row r="5" spans="1:22" x14ac:dyDescent="0.3">
      <c r="A5" s="8" t="s">
        <v>20</v>
      </c>
      <c r="B5" s="9" t="s">
        <v>336</v>
      </c>
      <c r="C5" s="9" t="s">
        <v>14</v>
      </c>
      <c r="D5" s="9" t="s">
        <v>28</v>
      </c>
      <c r="E5" s="9" t="s">
        <v>616</v>
      </c>
      <c r="F5" s="9" t="s">
        <v>617</v>
      </c>
      <c r="G5" s="9" t="s">
        <v>620</v>
      </c>
      <c r="H5" s="10">
        <v>211851359</v>
      </c>
      <c r="I5" s="10">
        <v>275034540</v>
      </c>
      <c r="J5" s="10">
        <v>78340541</v>
      </c>
      <c r="K5" s="10">
        <f t="shared" ref="K5:K141" si="0">IFERROR((J5/$A$1*$B$1),0)</f>
        <v>97142270.840000004</v>
      </c>
      <c r="L5" s="11">
        <f t="shared" ref="L5:L141" si="1">IFERROR((K5/I5),0)</f>
        <v>0.35320025928379761</v>
      </c>
      <c r="M5" s="11">
        <f t="shared" ref="M5:M141" si="2">IFERROR((K5-H5)/H5,0)</f>
        <v>-0.54146024222577682</v>
      </c>
      <c r="P5" s="9" t="s">
        <v>14</v>
      </c>
      <c r="Q5" s="10">
        <f t="shared" ref="Q5:T7" si="3">SUMIF($C:$C,$P5,H:H)</f>
        <v>6992145787</v>
      </c>
      <c r="R5" s="10">
        <f t="shared" si="3"/>
        <v>9549496271</v>
      </c>
      <c r="S5" s="10">
        <f t="shared" si="3"/>
        <v>4331629782</v>
      </c>
      <c r="T5" s="10">
        <f t="shared" si="3"/>
        <v>5371220929.6799984</v>
      </c>
      <c r="U5" s="11">
        <f>IFERROR((T5/R5),0)</f>
        <v>0.56246117881540758</v>
      </c>
      <c r="V5" s="11">
        <f>IFERROR((T5-Q5)/Q5,0)</f>
        <v>-0.23182080389880771</v>
      </c>
    </row>
    <row r="6" spans="1:22" x14ac:dyDescent="0.3">
      <c r="A6" s="8" t="s">
        <v>127</v>
      </c>
      <c r="B6" s="9" t="s">
        <v>425</v>
      </c>
      <c r="C6" s="9" t="s">
        <v>14</v>
      </c>
      <c r="D6" s="9" t="s">
        <v>28</v>
      </c>
      <c r="E6" s="9" t="s">
        <v>616</v>
      </c>
      <c r="F6" s="9" t="s">
        <v>617</v>
      </c>
      <c r="G6" s="9" t="s">
        <v>620</v>
      </c>
      <c r="H6" s="10">
        <v>92428826</v>
      </c>
      <c r="I6" s="10">
        <v>99667418</v>
      </c>
      <c r="J6" s="10">
        <v>90790991</v>
      </c>
      <c r="K6" s="10">
        <f t="shared" si="0"/>
        <v>112580828.84</v>
      </c>
      <c r="L6" s="11">
        <f t="shared" si="1"/>
        <v>1.1295650183292598</v>
      </c>
      <c r="M6" s="11">
        <f t="shared" si="2"/>
        <v>0.21802725093576331</v>
      </c>
      <c r="P6" s="9" t="s">
        <v>16</v>
      </c>
      <c r="Q6" s="10">
        <f t="shared" si="3"/>
        <v>8063204473</v>
      </c>
      <c r="R6" s="10">
        <f t="shared" si="3"/>
        <v>12234488417</v>
      </c>
      <c r="S6" s="10">
        <f t="shared" si="3"/>
        <v>5186066816</v>
      </c>
      <c r="T6" s="10">
        <f t="shared" si="3"/>
        <v>6430722851.8399992</v>
      </c>
      <c r="U6" s="11">
        <f>IFERROR((T6/R6),0)</f>
        <v>0.52562253791539137</v>
      </c>
      <c r="V6" s="11">
        <f>IFERROR((T6-Q6)/Q6,0)</f>
        <v>-0.20246065030676555</v>
      </c>
    </row>
    <row r="7" spans="1:22" x14ac:dyDescent="0.3">
      <c r="A7" s="8" t="s">
        <v>259</v>
      </c>
      <c r="B7" s="9" t="s">
        <v>548</v>
      </c>
      <c r="C7" s="9" t="s">
        <v>14</v>
      </c>
      <c r="D7" s="9" t="s">
        <v>28</v>
      </c>
      <c r="E7" s="9" t="s">
        <v>630</v>
      </c>
      <c r="F7" s="9" t="s">
        <v>617</v>
      </c>
      <c r="G7" s="9" t="s">
        <v>620</v>
      </c>
      <c r="H7" s="10">
        <v>2251351</v>
      </c>
      <c r="I7" s="10">
        <v>71000000</v>
      </c>
      <c r="J7" s="10">
        <v>0</v>
      </c>
      <c r="K7" s="10">
        <f t="shared" si="0"/>
        <v>0</v>
      </c>
      <c r="L7" s="11">
        <f t="shared" si="1"/>
        <v>0</v>
      </c>
      <c r="M7" s="11">
        <f t="shared" si="2"/>
        <v>-1</v>
      </c>
      <c r="P7" s="9" t="s">
        <v>120</v>
      </c>
      <c r="Q7" s="10">
        <f t="shared" si="3"/>
        <v>486839642</v>
      </c>
      <c r="R7" s="10">
        <f t="shared" si="3"/>
        <v>147570947</v>
      </c>
      <c r="S7" s="10">
        <f t="shared" si="3"/>
        <v>411445024</v>
      </c>
      <c r="T7" s="10">
        <f t="shared" si="3"/>
        <v>510191829.76000005</v>
      </c>
      <c r="U7" s="11">
        <f>IFERROR((T7/R7),0)</f>
        <v>3.4572647267757932</v>
      </c>
      <c r="V7" s="11">
        <f>IFERROR((T7-Q7)/Q7,0)</f>
        <v>4.7966898636409828E-2</v>
      </c>
    </row>
    <row r="8" spans="1:22" x14ac:dyDescent="0.3">
      <c r="A8" s="8" t="s">
        <v>121</v>
      </c>
      <c r="B8" s="9" t="s">
        <v>419</v>
      </c>
      <c r="C8" s="9" t="s">
        <v>14</v>
      </c>
      <c r="D8" s="9" t="s">
        <v>28</v>
      </c>
      <c r="E8" s="9" t="s">
        <v>616</v>
      </c>
      <c r="F8" s="9" t="s">
        <v>617</v>
      </c>
      <c r="G8" s="9" t="s">
        <v>620</v>
      </c>
      <c r="H8" s="10">
        <v>109379281</v>
      </c>
      <c r="I8" s="10">
        <v>164770648</v>
      </c>
      <c r="J8" s="10">
        <v>53091893</v>
      </c>
      <c r="K8" s="10">
        <f t="shared" si="0"/>
        <v>65833947.320000008</v>
      </c>
      <c r="L8" s="11">
        <f t="shared" si="1"/>
        <v>0.39954899807154975</v>
      </c>
      <c r="M8" s="11">
        <f t="shared" si="2"/>
        <v>-0.39811318269682167</v>
      </c>
      <c r="P8" s="4" t="s">
        <v>18</v>
      </c>
      <c r="Q8" s="12">
        <f>SUM(Q5:Q7)</f>
        <v>15542189902</v>
      </c>
      <c r="R8" s="12">
        <f>SUM(R5:R7)</f>
        <v>21931555635</v>
      </c>
      <c r="S8" s="12">
        <f>SUM(S5:S7)</f>
        <v>9929141622</v>
      </c>
      <c r="T8" s="12">
        <f>SUM(T5:T7)</f>
        <v>12312135611.279997</v>
      </c>
      <c r="U8" s="13">
        <f>IFERROR((T8/R8),0)</f>
        <v>0.56138906953008749</v>
      </c>
      <c r="V8" s="14">
        <f>IFERROR((T8-Q8)/Q8,0)</f>
        <v>-0.20782491470551093</v>
      </c>
    </row>
    <row r="9" spans="1:22" x14ac:dyDescent="0.3">
      <c r="A9" s="8" t="s">
        <v>138</v>
      </c>
      <c r="B9" s="9" t="s">
        <v>429</v>
      </c>
      <c r="C9" s="9" t="s">
        <v>14</v>
      </c>
      <c r="D9" s="9" t="s">
        <v>28</v>
      </c>
      <c r="E9" s="9" t="s">
        <v>616</v>
      </c>
      <c r="F9" s="9" t="s">
        <v>617</v>
      </c>
      <c r="G9" s="9" t="s">
        <v>620</v>
      </c>
      <c r="H9" s="10">
        <v>51847745</v>
      </c>
      <c r="I9" s="10">
        <v>71000000</v>
      </c>
      <c r="J9" s="10">
        <v>0</v>
      </c>
      <c r="K9" s="10">
        <f t="shared" si="0"/>
        <v>0</v>
      </c>
      <c r="L9" s="11">
        <f t="shared" si="1"/>
        <v>0</v>
      </c>
      <c r="M9" s="11">
        <f t="shared" si="2"/>
        <v>-1</v>
      </c>
    </row>
    <row r="10" spans="1:22" x14ac:dyDescent="0.3">
      <c r="A10" s="8" t="s">
        <v>265</v>
      </c>
      <c r="B10" s="9" t="s">
        <v>554</v>
      </c>
      <c r="C10" s="9" t="s">
        <v>14</v>
      </c>
      <c r="D10" s="9" t="s">
        <v>28</v>
      </c>
      <c r="E10" s="9" t="s">
        <v>630</v>
      </c>
      <c r="F10" s="9" t="s">
        <v>617</v>
      </c>
      <c r="G10" s="9" t="s">
        <v>620</v>
      </c>
      <c r="H10" s="10">
        <v>2251351</v>
      </c>
      <c r="I10" s="10">
        <v>71000000</v>
      </c>
      <c r="J10" s="10">
        <v>4300901</v>
      </c>
      <c r="K10" s="10">
        <f t="shared" si="0"/>
        <v>5333117.24</v>
      </c>
      <c r="L10" s="11">
        <f t="shared" si="1"/>
        <v>7.5114327323943658E-2</v>
      </c>
      <c r="M10" s="11">
        <f t="shared" si="2"/>
        <v>1.3688519648868613</v>
      </c>
      <c r="P10" s="7" t="s">
        <v>3</v>
      </c>
      <c r="Q10" s="7" t="s">
        <v>7</v>
      </c>
      <c r="R10" s="7" t="s">
        <v>8</v>
      </c>
      <c r="S10" s="7" t="s">
        <v>9</v>
      </c>
      <c r="T10" s="7" t="s">
        <v>10</v>
      </c>
      <c r="U10" s="7" t="s">
        <v>11</v>
      </c>
      <c r="V10" s="7" t="s">
        <v>12</v>
      </c>
    </row>
    <row r="11" spans="1:22" x14ac:dyDescent="0.3">
      <c r="A11" s="8" t="s">
        <v>266</v>
      </c>
      <c r="B11" s="9" t="s">
        <v>555</v>
      </c>
      <c r="C11" s="9" t="s">
        <v>14</v>
      </c>
      <c r="D11" s="9" t="s">
        <v>28</v>
      </c>
      <c r="E11" s="9" t="s">
        <v>630</v>
      </c>
      <c r="F11" s="9" t="s">
        <v>617</v>
      </c>
      <c r="G11" s="9" t="s">
        <v>620</v>
      </c>
      <c r="H11" s="10">
        <v>2701802</v>
      </c>
      <c r="I11" s="10">
        <v>71000000</v>
      </c>
      <c r="J11" s="10">
        <v>0</v>
      </c>
      <c r="K11" s="10">
        <f t="shared" si="0"/>
        <v>0</v>
      </c>
      <c r="L11" s="11">
        <f t="shared" si="1"/>
        <v>0</v>
      </c>
      <c r="M11" s="11">
        <f t="shared" si="2"/>
        <v>-1</v>
      </c>
      <c r="P11" s="9" t="s">
        <v>22</v>
      </c>
      <c r="Q11" s="10">
        <f t="shared" ref="Q11:T23" si="4">SUMIF($D:$D,$P11,H:H)</f>
        <v>1048845916</v>
      </c>
      <c r="R11" s="10">
        <f t="shared" si="4"/>
        <v>1396724466</v>
      </c>
      <c r="S11" s="10">
        <f t="shared" si="4"/>
        <v>506100910</v>
      </c>
      <c r="T11" s="10">
        <f t="shared" si="4"/>
        <v>627565128.39999998</v>
      </c>
      <c r="U11" s="11">
        <f t="shared" ref="U11:U24" si="5">IFERROR((T11/R11),0)</f>
        <v>0.44931204663239571</v>
      </c>
      <c r="V11" s="11">
        <f t="shared" ref="V11:V24" si="6">IFERROR((T11-Q11)/Q11,0)</f>
        <v>-0.40166127471482665</v>
      </c>
    </row>
    <row r="12" spans="1:22" x14ac:dyDescent="0.3">
      <c r="A12" s="8" t="s">
        <v>57</v>
      </c>
      <c r="B12" s="9" t="s">
        <v>361</v>
      </c>
      <c r="C12" s="9" t="s">
        <v>14</v>
      </c>
      <c r="D12" s="9" t="s">
        <v>28</v>
      </c>
      <c r="E12" s="9" t="s">
        <v>616</v>
      </c>
      <c r="F12" s="9" t="s">
        <v>617</v>
      </c>
      <c r="G12" s="9" t="s">
        <v>620</v>
      </c>
      <c r="H12" s="10">
        <v>87454050</v>
      </c>
      <c r="I12" s="10">
        <v>201398657</v>
      </c>
      <c r="J12" s="10">
        <v>97409912</v>
      </c>
      <c r="K12" s="10">
        <f t="shared" si="0"/>
        <v>120788290.88</v>
      </c>
      <c r="L12" s="11">
        <f t="shared" si="1"/>
        <v>0.59974725094616688</v>
      </c>
      <c r="M12" s="11">
        <f t="shared" si="2"/>
        <v>0.38116291789802753</v>
      </c>
      <c r="P12" s="9" t="s">
        <v>44</v>
      </c>
      <c r="Q12" s="10">
        <f t="shared" si="4"/>
        <v>1186319791</v>
      </c>
      <c r="R12" s="10">
        <f t="shared" si="4"/>
        <v>1896463970</v>
      </c>
      <c r="S12" s="10">
        <f t="shared" si="4"/>
        <v>748565770</v>
      </c>
      <c r="T12" s="10">
        <f t="shared" si="4"/>
        <v>928221554.80000019</v>
      </c>
      <c r="U12" s="11">
        <f t="shared" si="5"/>
        <v>0.4894485576754723</v>
      </c>
      <c r="V12" s="11">
        <f t="shared" si="6"/>
        <v>-0.21756210943967957</v>
      </c>
    </row>
    <row r="13" spans="1:22" x14ac:dyDescent="0.3">
      <c r="A13" s="8" t="s">
        <v>91</v>
      </c>
      <c r="B13" s="9" t="s">
        <v>393</v>
      </c>
      <c r="C13" s="9" t="s">
        <v>14</v>
      </c>
      <c r="D13" s="9" t="s">
        <v>28</v>
      </c>
      <c r="E13" s="9" t="s">
        <v>616</v>
      </c>
      <c r="F13" s="9" t="s">
        <v>617</v>
      </c>
      <c r="G13" s="9" t="s">
        <v>620</v>
      </c>
      <c r="H13" s="10">
        <v>76211711</v>
      </c>
      <c r="I13" s="10">
        <v>83654655</v>
      </c>
      <c r="J13" s="10">
        <v>53238740</v>
      </c>
      <c r="K13" s="10">
        <f t="shared" si="0"/>
        <v>66016037.600000001</v>
      </c>
      <c r="L13" s="11">
        <f t="shared" si="1"/>
        <v>0.78914960082018148</v>
      </c>
      <c r="M13" s="11">
        <f t="shared" si="2"/>
        <v>-0.13378092771070313</v>
      </c>
      <c r="P13" s="9" t="s">
        <v>42</v>
      </c>
      <c r="Q13" s="10">
        <f t="shared" si="4"/>
        <v>839392779</v>
      </c>
      <c r="R13" s="10">
        <f t="shared" si="4"/>
        <v>1321454952</v>
      </c>
      <c r="S13" s="10">
        <f t="shared" si="4"/>
        <v>579092805</v>
      </c>
      <c r="T13" s="10">
        <f t="shared" si="4"/>
        <v>718075078.20000017</v>
      </c>
      <c r="U13" s="11">
        <f t="shared" si="5"/>
        <v>0.54339731907864552</v>
      </c>
      <c r="V13" s="11">
        <f t="shared" si="6"/>
        <v>-0.14453031266784322</v>
      </c>
    </row>
    <row r="14" spans="1:22" x14ac:dyDescent="0.3">
      <c r="A14" s="8" t="s">
        <v>156</v>
      </c>
      <c r="B14" s="9" t="s">
        <v>446</v>
      </c>
      <c r="C14" s="9" t="s">
        <v>14</v>
      </c>
      <c r="D14" s="9" t="s">
        <v>28</v>
      </c>
      <c r="E14" s="9" t="s">
        <v>616</v>
      </c>
      <c r="F14" s="9" t="s">
        <v>624</v>
      </c>
      <c r="G14" s="9" t="s">
        <v>620</v>
      </c>
      <c r="H14" s="10">
        <v>81491886</v>
      </c>
      <c r="I14" s="10">
        <v>71000000</v>
      </c>
      <c r="J14" s="10">
        <v>0</v>
      </c>
      <c r="K14" s="10">
        <f t="shared" si="0"/>
        <v>0</v>
      </c>
      <c r="L14" s="11">
        <f t="shared" si="1"/>
        <v>0</v>
      </c>
      <c r="M14" s="11">
        <f t="shared" si="2"/>
        <v>-1</v>
      </c>
      <c r="P14" s="9" t="s">
        <v>36</v>
      </c>
      <c r="Q14" s="10">
        <f t="shared" si="4"/>
        <v>921805409</v>
      </c>
      <c r="R14" s="10">
        <f t="shared" si="4"/>
        <v>1285452340</v>
      </c>
      <c r="S14" s="10">
        <f t="shared" si="4"/>
        <v>638094603</v>
      </c>
      <c r="T14" s="10">
        <f t="shared" si="4"/>
        <v>791237307.72000003</v>
      </c>
      <c r="U14" s="11">
        <f t="shared" si="5"/>
        <v>0.61553220068820291</v>
      </c>
      <c r="V14" s="11">
        <f t="shared" si="6"/>
        <v>-0.14164388709938669</v>
      </c>
    </row>
    <row r="15" spans="1:22" x14ac:dyDescent="0.3">
      <c r="A15" s="8" t="s">
        <v>66</v>
      </c>
      <c r="B15" s="9" t="s">
        <v>368</v>
      </c>
      <c r="C15" s="9" t="s">
        <v>14</v>
      </c>
      <c r="D15" s="9" t="s">
        <v>28</v>
      </c>
      <c r="E15" s="9" t="s">
        <v>616</v>
      </c>
      <c r="F15" s="9" t="s">
        <v>617</v>
      </c>
      <c r="G15" s="9" t="s">
        <v>620</v>
      </c>
      <c r="H15" s="10">
        <v>121220715</v>
      </c>
      <c r="I15" s="10">
        <v>106702703</v>
      </c>
      <c r="J15" s="10">
        <v>94657660</v>
      </c>
      <c r="K15" s="10">
        <f t="shared" si="0"/>
        <v>117375498.39999999</v>
      </c>
      <c r="L15" s="11">
        <f t="shared" si="1"/>
        <v>1.1000236648175632</v>
      </c>
      <c r="M15" s="11">
        <f t="shared" si="2"/>
        <v>-3.1720787985782865E-2</v>
      </c>
      <c r="P15" s="9" t="s">
        <v>32</v>
      </c>
      <c r="Q15" s="10">
        <f t="shared" si="4"/>
        <v>1455663033</v>
      </c>
      <c r="R15" s="10">
        <f t="shared" si="4"/>
        <v>2250385886</v>
      </c>
      <c r="S15" s="10">
        <f t="shared" si="4"/>
        <v>1088718041</v>
      </c>
      <c r="T15" s="10">
        <f t="shared" si="4"/>
        <v>1350010370.8399999</v>
      </c>
      <c r="U15" s="11">
        <f t="shared" si="5"/>
        <v>0.59990172318384327</v>
      </c>
      <c r="V15" s="11">
        <f t="shared" si="6"/>
        <v>-7.2580439129692517E-2</v>
      </c>
    </row>
    <row r="16" spans="1:22" x14ac:dyDescent="0.3">
      <c r="A16" s="8" t="s">
        <v>165</v>
      </c>
      <c r="B16" s="9" t="s">
        <v>455</v>
      </c>
      <c r="C16" s="9" t="s">
        <v>14</v>
      </c>
      <c r="D16" s="9" t="s">
        <v>28</v>
      </c>
      <c r="E16" s="9" t="s">
        <v>616</v>
      </c>
      <c r="F16" s="9" t="s">
        <v>617</v>
      </c>
      <c r="G16" s="9" t="s">
        <v>620</v>
      </c>
      <c r="H16" s="10">
        <v>52390088</v>
      </c>
      <c r="I16" s="10">
        <v>71000000</v>
      </c>
      <c r="J16" s="10">
        <v>2071171</v>
      </c>
      <c r="K16" s="10">
        <f t="shared" si="0"/>
        <v>2568252.04</v>
      </c>
      <c r="L16" s="11">
        <f t="shared" si="1"/>
        <v>3.6172563943661973E-2</v>
      </c>
      <c r="M16" s="11">
        <f t="shared" si="2"/>
        <v>-0.95097828352569291</v>
      </c>
      <c r="P16" s="9" t="s">
        <v>26</v>
      </c>
      <c r="Q16" s="10">
        <f t="shared" si="4"/>
        <v>1178383783</v>
      </c>
      <c r="R16" s="10">
        <f t="shared" si="4"/>
        <v>1697917414</v>
      </c>
      <c r="S16" s="10">
        <f t="shared" si="4"/>
        <v>723075683</v>
      </c>
      <c r="T16" s="10">
        <f t="shared" si="4"/>
        <v>896613846.91999996</v>
      </c>
      <c r="U16" s="11">
        <f t="shared" si="5"/>
        <v>0.52806681851959614</v>
      </c>
      <c r="V16" s="11">
        <f t="shared" si="6"/>
        <v>-0.23911559217375961</v>
      </c>
    </row>
    <row r="17" spans="1:22" x14ac:dyDescent="0.3">
      <c r="A17" s="8" t="s">
        <v>267</v>
      </c>
      <c r="B17" s="9" t="s">
        <v>556</v>
      </c>
      <c r="C17" s="9" t="s">
        <v>14</v>
      </c>
      <c r="D17" s="9" t="s">
        <v>28</v>
      </c>
      <c r="E17" s="9" t="s">
        <v>631</v>
      </c>
      <c r="F17" s="9" t="s">
        <v>617</v>
      </c>
      <c r="G17" s="9" t="s">
        <v>620</v>
      </c>
      <c r="H17" s="10">
        <v>11348648</v>
      </c>
      <c r="I17" s="10">
        <v>71000000</v>
      </c>
      <c r="J17" s="10">
        <v>7116216</v>
      </c>
      <c r="K17" s="10">
        <f t="shared" si="0"/>
        <v>8824107.8399999999</v>
      </c>
      <c r="L17" s="11">
        <f t="shared" si="1"/>
        <v>0.1242832090140845</v>
      </c>
      <c r="M17" s="11">
        <f t="shared" si="2"/>
        <v>-0.22245294417449551</v>
      </c>
      <c r="P17" s="9" t="s">
        <v>30</v>
      </c>
      <c r="Q17" s="10">
        <f t="shared" si="4"/>
        <v>1381614412</v>
      </c>
      <c r="R17" s="10">
        <f t="shared" si="4"/>
        <v>1693296175</v>
      </c>
      <c r="S17" s="10">
        <f t="shared" si="4"/>
        <v>853791899</v>
      </c>
      <c r="T17" s="10">
        <f t="shared" si="4"/>
        <v>1058701954.7600001</v>
      </c>
      <c r="U17" s="11">
        <f t="shared" si="5"/>
        <v>0.625231409832955</v>
      </c>
      <c r="V17" s="11">
        <f t="shared" si="6"/>
        <v>-0.23372111237067777</v>
      </c>
    </row>
    <row r="18" spans="1:22" x14ac:dyDescent="0.3">
      <c r="A18" s="8" t="s">
        <v>123</v>
      </c>
      <c r="B18" s="9" t="s">
        <v>421</v>
      </c>
      <c r="C18" s="9" t="s">
        <v>14</v>
      </c>
      <c r="D18" s="9" t="s">
        <v>30</v>
      </c>
      <c r="E18" s="9" t="s">
        <v>616</v>
      </c>
      <c r="F18" s="9" t="s">
        <v>617</v>
      </c>
      <c r="G18" s="9" t="s">
        <v>620</v>
      </c>
      <c r="H18" s="10">
        <v>189909005</v>
      </c>
      <c r="I18" s="10">
        <v>207182806</v>
      </c>
      <c r="J18" s="10">
        <v>122680180</v>
      </c>
      <c r="K18" s="10">
        <f t="shared" si="0"/>
        <v>152123423.20000002</v>
      </c>
      <c r="L18" s="11">
        <f t="shared" si="1"/>
        <v>0.73424733517703211</v>
      </c>
      <c r="M18" s="11">
        <f t="shared" si="2"/>
        <v>-0.19896677253403536</v>
      </c>
      <c r="P18" s="9" t="s">
        <v>28</v>
      </c>
      <c r="Q18" s="10">
        <f t="shared" si="4"/>
        <v>902828813</v>
      </c>
      <c r="R18" s="10">
        <f t="shared" si="4"/>
        <v>1428228621</v>
      </c>
      <c r="S18" s="10">
        <f t="shared" si="4"/>
        <v>481018025</v>
      </c>
      <c r="T18" s="10">
        <f t="shared" si="4"/>
        <v>596462351</v>
      </c>
      <c r="U18" s="11">
        <f t="shared" si="5"/>
        <v>0.41762386093507642</v>
      </c>
      <c r="V18" s="11">
        <f t="shared" si="6"/>
        <v>-0.33934058991978583</v>
      </c>
    </row>
    <row r="19" spans="1:22" x14ac:dyDescent="0.3">
      <c r="A19" s="8" t="s">
        <v>59</v>
      </c>
      <c r="B19" s="9" t="s">
        <v>363</v>
      </c>
      <c r="C19" s="9" t="s">
        <v>14</v>
      </c>
      <c r="D19" s="9" t="s">
        <v>30</v>
      </c>
      <c r="E19" s="9" t="s">
        <v>616</v>
      </c>
      <c r="F19" s="9" t="s">
        <v>617</v>
      </c>
      <c r="G19" s="9" t="s">
        <v>620</v>
      </c>
      <c r="H19" s="10">
        <v>158790092</v>
      </c>
      <c r="I19" s="10">
        <v>209784910</v>
      </c>
      <c r="J19" s="10">
        <v>59127930</v>
      </c>
      <c r="K19" s="10">
        <f t="shared" si="0"/>
        <v>73318633.200000003</v>
      </c>
      <c r="L19" s="11">
        <f t="shared" si="1"/>
        <v>0.34949431396185743</v>
      </c>
      <c r="M19" s="11">
        <f t="shared" si="2"/>
        <v>-0.53826695181963868</v>
      </c>
      <c r="P19" s="9" t="s">
        <v>40</v>
      </c>
      <c r="Q19" s="10">
        <f t="shared" si="4"/>
        <v>1842289199</v>
      </c>
      <c r="R19" s="10">
        <f t="shared" si="4"/>
        <v>2722603241</v>
      </c>
      <c r="S19" s="10">
        <f t="shared" si="4"/>
        <v>1071468475</v>
      </c>
      <c r="T19" s="10">
        <f t="shared" si="4"/>
        <v>1328620908.9999998</v>
      </c>
      <c r="U19" s="11">
        <f t="shared" si="5"/>
        <v>0.48799652075342542</v>
      </c>
      <c r="V19" s="11">
        <f t="shared" si="6"/>
        <v>-0.27882065979587833</v>
      </c>
    </row>
    <row r="20" spans="1:22" x14ac:dyDescent="0.3">
      <c r="A20" s="8" t="s">
        <v>122</v>
      </c>
      <c r="B20" s="9" t="s">
        <v>420</v>
      </c>
      <c r="C20" s="9" t="s">
        <v>14</v>
      </c>
      <c r="D20" s="9" t="s">
        <v>30</v>
      </c>
      <c r="E20" s="9" t="s">
        <v>616</v>
      </c>
      <c r="F20" s="9" t="s">
        <v>617</v>
      </c>
      <c r="G20" s="9" t="s">
        <v>620</v>
      </c>
      <c r="H20" s="10">
        <v>78718917</v>
      </c>
      <c r="I20" s="10">
        <v>122009010</v>
      </c>
      <c r="J20" s="10">
        <v>54584685</v>
      </c>
      <c r="K20" s="10">
        <f t="shared" si="0"/>
        <v>67685009.399999991</v>
      </c>
      <c r="L20" s="11">
        <f t="shared" si="1"/>
        <v>0.55475418905538199</v>
      </c>
      <c r="M20" s="11">
        <f t="shared" si="2"/>
        <v>-0.14016843753071462</v>
      </c>
      <c r="P20" s="9" t="s">
        <v>34</v>
      </c>
      <c r="Q20" s="10">
        <f t="shared" si="4"/>
        <v>981474765</v>
      </c>
      <c r="R20" s="10">
        <f t="shared" si="4"/>
        <v>1670530040</v>
      </c>
      <c r="S20" s="10">
        <f t="shared" si="4"/>
        <v>723728831</v>
      </c>
      <c r="T20" s="10">
        <f t="shared" si="4"/>
        <v>897423750.43999982</v>
      </c>
      <c r="U20" s="11">
        <f t="shared" si="5"/>
        <v>0.537208986939259</v>
      </c>
      <c r="V20" s="11">
        <f t="shared" si="6"/>
        <v>-8.5637468794218241E-2</v>
      </c>
    </row>
    <row r="21" spans="1:22" x14ac:dyDescent="0.3">
      <c r="A21" s="8" t="s">
        <v>256</v>
      </c>
      <c r="B21" s="9" t="s">
        <v>545</v>
      </c>
      <c r="C21" s="9" t="s">
        <v>14</v>
      </c>
      <c r="D21" s="9" t="s">
        <v>30</v>
      </c>
      <c r="E21" s="9" t="s">
        <v>631</v>
      </c>
      <c r="F21" s="9" t="s">
        <v>617</v>
      </c>
      <c r="G21" s="9" t="s">
        <v>620</v>
      </c>
      <c r="H21" s="10">
        <v>4323423</v>
      </c>
      <c r="I21" s="10">
        <v>71000000</v>
      </c>
      <c r="J21" s="10">
        <v>0</v>
      </c>
      <c r="K21" s="10">
        <f t="shared" si="0"/>
        <v>0</v>
      </c>
      <c r="L21" s="11">
        <f t="shared" si="1"/>
        <v>0</v>
      </c>
      <c r="M21" s="11">
        <f t="shared" si="2"/>
        <v>-1</v>
      </c>
      <c r="P21" s="9" t="s">
        <v>24</v>
      </c>
      <c r="Q21" s="10">
        <f t="shared" si="4"/>
        <v>2073655746</v>
      </c>
      <c r="R21" s="10">
        <f t="shared" si="4"/>
        <v>2479668175</v>
      </c>
      <c r="S21" s="10">
        <f t="shared" si="4"/>
        <v>1185026134</v>
      </c>
      <c r="T21" s="10">
        <f t="shared" si="4"/>
        <v>1469432406.1599998</v>
      </c>
      <c r="U21" s="11">
        <f t="shared" si="5"/>
        <v>0.5925923560961941</v>
      </c>
      <c r="V21" s="11">
        <f t="shared" si="6"/>
        <v>-0.2913807371380342</v>
      </c>
    </row>
    <row r="22" spans="1:22" x14ac:dyDescent="0.3">
      <c r="A22" s="8" t="s">
        <v>54</v>
      </c>
      <c r="B22" s="9" t="s">
        <v>358</v>
      </c>
      <c r="C22" s="9" t="s">
        <v>14</v>
      </c>
      <c r="D22" s="9" t="s">
        <v>30</v>
      </c>
      <c r="E22" s="9" t="s">
        <v>616</v>
      </c>
      <c r="F22" s="9" t="s">
        <v>617</v>
      </c>
      <c r="G22" s="9" t="s">
        <v>620</v>
      </c>
      <c r="H22" s="10">
        <v>110111710</v>
      </c>
      <c r="I22" s="10">
        <v>132192193</v>
      </c>
      <c r="J22" s="10">
        <v>59580182</v>
      </c>
      <c r="K22" s="10">
        <f t="shared" si="0"/>
        <v>73879425.679999992</v>
      </c>
      <c r="L22" s="11">
        <f t="shared" si="1"/>
        <v>0.55887888689462917</v>
      </c>
      <c r="M22" s="11">
        <f t="shared" si="2"/>
        <v>-0.32905023743614559</v>
      </c>
      <c r="P22" s="9" t="s">
        <v>38</v>
      </c>
      <c r="Q22" s="10">
        <f t="shared" si="4"/>
        <v>1243076614</v>
      </c>
      <c r="R22" s="10">
        <f t="shared" si="4"/>
        <v>1941259408</v>
      </c>
      <c r="S22" s="10">
        <f t="shared" si="4"/>
        <v>919015422</v>
      </c>
      <c r="T22" s="10">
        <f t="shared" si="4"/>
        <v>1139579123.28</v>
      </c>
      <c r="U22" s="11">
        <f t="shared" si="5"/>
        <v>0.58703083090479991</v>
      </c>
      <c r="V22" s="11">
        <f t="shared" si="6"/>
        <v>-8.3259140711338345E-2</v>
      </c>
    </row>
    <row r="23" spans="1:22" x14ac:dyDescent="0.3">
      <c r="A23" s="8" t="s">
        <v>148</v>
      </c>
      <c r="B23" s="9" t="s">
        <v>438</v>
      </c>
      <c r="C23" s="9" t="s">
        <v>14</v>
      </c>
      <c r="D23" s="9" t="s">
        <v>30</v>
      </c>
      <c r="E23" s="9" t="s">
        <v>616</v>
      </c>
      <c r="F23" s="9" t="s">
        <v>617</v>
      </c>
      <c r="G23" s="9" t="s">
        <v>620</v>
      </c>
      <c r="H23" s="10">
        <v>191062165</v>
      </c>
      <c r="I23" s="10">
        <v>262737613</v>
      </c>
      <c r="J23" s="10">
        <v>213059459</v>
      </c>
      <c r="K23" s="10">
        <f t="shared" si="0"/>
        <v>264193729.15999997</v>
      </c>
      <c r="L23" s="11">
        <f t="shared" si="1"/>
        <v>1.0055420925210277</v>
      </c>
      <c r="M23" s="11">
        <f t="shared" si="2"/>
        <v>0.3827631920741606</v>
      </c>
      <c r="P23" s="9" t="s">
        <v>129</v>
      </c>
      <c r="Q23" s="10">
        <f t="shared" si="4"/>
        <v>486839642</v>
      </c>
      <c r="R23" s="10">
        <f t="shared" si="4"/>
        <v>147570947</v>
      </c>
      <c r="S23" s="10">
        <f t="shared" si="4"/>
        <v>411445024</v>
      </c>
      <c r="T23" s="10">
        <f t="shared" si="4"/>
        <v>510191829.76000005</v>
      </c>
      <c r="U23" s="11">
        <f t="shared" si="5"/>
        <v>3.4572647267757932</v>
      </c>
      <c r="V23" s="11">
        <f t="shared" si="6"/>
        <v>4.7966898636409828E-2</v>
      </c>
    </row>
    <row r="24" spans="1:22" x14ac:dyDescent="0.3">
      <c r="A24" s="8" t="s">
        <v>21</v>
      </c>
      <c r="B24" s="9" t="s">
        <v>337</v>
      </c>
      <c r="C24" s="9" t="s">
        <v>14</v>
      </c>
      <c r="D24" s="9" t="s">
        <v>30</v>
      </c>
      <c r="E24" s="9" t="s">
        <v>616</v>
      </c>
      <c r="F24" s="9" t="s">
        <v>617</v>
      </c>
      <c r="G24" s="9" t="s">
        <v>620</v>
      </c>
      <c r="H24" s="10">
        <v>267014410</v>
      </c>
      <c r="I24" s="10">
        <v>271535660</v>
      </c>
      <c r="J24" s="10">
        <v>155674778</v>
      </c>
      <c r="K24" s="10">
        <f t="shared" si="0"/>
        <v>193036724.72</v>
      </c>
      <c r="L24" s="11">
        <f t="shared" si="1"/>
        <v>0.71090745399701827</v>
      </c>
      <c r="M24" s="11">
        <f t="shared" si="2"/>
        <v>-0.27705502965177048</v>
      </c>
      <c r="P24" s="4" t="s">
        <v>18</v>
      </c>
      <c r="Q24" s="12">
        <f>SUM(Q11:Q23)</f>
        <v>15542189902</v>
      </c>
      <c r="R24" s="12">
        <f>SUM(R11:R23)</f>
        <v>21931555635</v>
      </c>
      <c r="S24" s="12">
        <f>SUM(S11:S23)</f>
        <v>9929141622</v>
      </c>
      <c r="T24" s="12">
        <f>SUM(T11:T23)</f>
        <v>12312135611.280003</v>
      </c>
      <c r="U24" s="13">
        <f t="shared" si="5"/>
        <v>0.56138906953008771</v>
      </c>
      <c r="V24" s="14">
        <f t="shared" si="6"/>
        <v>-0.20782491470551054</v>
      </c>
    </row>
    <row r="25" spans="1:22" x14ac:dyDescent="0.3">
      <c r="A25" s="8" t="s">
        <v>93</v>
      </c>
      <c r="B25" s="9" t="s">
        <v>395</v>
      </c>
      <c r="C25" s="9" t="s">
        <v>14</v>
      </c>
      <c r="D25" s="9" t="s">
        <v>30</v>
      </c>
      <c r="E25" s="9" t="s">
        <v>616</v>
      </c>
      <c r="F25" s="9" t="s">
        <v>617</v>
      </c>
      <c r="G25" s="9" t="s">
        <v>620</v>
      </c>
      <c r="H25" s="10">
        <v>76105408</v>
      </c>
      <c r="I25" s="10">
        <v>93513890</v>
      </c>
      <c r="J25" s="10">
        <v>32881983</v>
      </c>
      <c r="K25" s="10">
        <f t="shared" si="0"/>
        <v>40773658.920000002</v>
      </c>
      <c r="L25" s="11">
        <f t="shared" si="1"/>
        <v>0.43601714055526941</v>
      </c>
      <c r="M25" s="11">
        <f t="shared" si="2"/>
        <v>-0.46424754834768112</v>
      </c>
    </row>
    <row r="26" spans="1:22" x14ac:dyDescent="0.3">
      <c r="A26" s="8" t="s">
        <v>72</v>
      </c>
      <c r="B26" s="9" t="s">
        <v>374</v>
      </c>
      <c r="C26" s="9" t="s">
        <v>14</v>
      </c>
      <c r="D26" s="9" t="s">
        <v>30</v>
      </c>
      <c r="E26" s="9" t="s">
        <v>616</v>
      </c>
      <c r="F26" s="9" t="s">
        <v>617</v>
      </c>
      <c r="G26" s="9" t="s">
        <v>620</v>
      </c>
      <c r="H26" s="10">
        <v>94752253</v>
      </c>
      <c r="I26" s="10">
        <v>96408786</v>
      </c>
      <c r="J26" s="10">
        <v>73181980</v>
      </c>
      <c r="K26" s="10">
        <f t="shared" si="0"/>
        <v>90745655.200000003</v>
      </c>
      <c r="L26" s="11">
        <f t="shared" si="1"/>
        <v>0.94125918357689931</v>
      </c>
      <c r="M26" s="11">
        <f t="shared" si="2"/>
        <v>-4.2284987144316208E-2</v>
      </c>
    </row>
    <row r="27" spans="1:22" x14ac:dyDescent="0.3">
      <c r="A27" s="8" t="s">
        <v>50</v>
      </c>
      <c r="B27" s="9" t="s">
        <v>354</v>
      </c>
      <c r="C27" s="9" t="s">
        <v>14</v>
      </c>
      <c r="D27" s="9" t="s">
        <v>30</v>
      </c>
      <c r="E27" s="9" t="s">
        <v>616</v>
      </c>
      <c r="F27" s="9" t="s">
        <v>617</v>
      </c>
      <c r="G27" s="9" t="s">
        <v>620</v>
      </c>
      <c r="H27" s="10">
        <v>156264865</v>
      </c>
      <c r="I27" s="10">
        <v>155931307</v>
      </c>
      <c r="J27" s="10">
        <v>59129730</v>
      </c>
      <c r="K27" s="10">
        <f t="shared" si="0"/>
        <v>73320865.200000003</v>
      </c>
      <c r="L27" s="11">
        <f t="shared" si="1"/>
        <v>0.47021259944932037</v>
      </c>
      <c r="M27" s="11">
        <f t="shared" si="2"/>
        <v>-0.5307911013777793</v>
      </c>
    </row>
    <row r="28" spans="1:22" x14ac:dyDescent="0.3">
      <c r="A28" s="8" t="s">
        <v>233</v>
      </c>
      <c r="B28" s="9" t="s">
        <v>523</v>
      </c>
      <c r="C28" s="9" t="s">
        <v>14</v>
      </c>
      <c r="D28" s="9" t="s">
        <v>30</v>
      </c>
      <c r="E28" s="9" t="s">
        <v>616</v>
      </c>
      <c r="F28" s="9" t="s">
        <v>617</v>
      </c>
      <c r="G28" s="9" t="s">
        <v>620</v>
      </c>
      <c r="H28" s="10">
        <v>54562164</v>
      </c>
      <c r="I28" s="10">
        <v>71000000</v>
      </c>
      <c r="J28" s="10">
        <v>23890992</v>
      </c>
      <c r="K28" s="10">
        <f t="shared" si="0"/>
        <v>29624830.080000002</v>
      </c>
      <c r="L28" s="11">
        <f t="shared" si="1"/>
        <v>0.41725112788732399</v>
      </c>
      <c r="M28" s="11">
        <f t="shared" si="2"/>
        <v>-0.45704444420496221</v>
      </c>
    </row>
    <row r="29" spans="1:22" x14ac:dyDescent="0.3">
      <c r="A29" s="8" t="s">
        <v>19</v>
      </c>
      <c r="B29" s="9" t="s">
        <v>335</v>
      </c>
      <c r="C29" s="9" t="s">
        <v>14</v>
      </c>
      <c r="D29" s="9" t="s">
        <v>26</v>
      </c>
      <c r="E29" s="9" t="s">
        <v>616</v>
      </c>
      <c r="F29" s="9" t="s">
        <v>617</v>
      </c>
      <c r="G29" s="9" t="s">
        <v>619</v>
      </c>
      <c r="H29" s="10">
        <v>246568459</v>
      </c>
      <c r="I29" s="10">
        <v>373815692</v>
      </c>
      <c r="J29" s="10">
        <v>197412615</v>
      </c>
      <c r="K29" s="10">
        <f t="shared" si="0"/>
        <v>244791642.59999999</v>
      </c>
      <c r="L29" s="11">
        <f t="shared" si="1"/>
        <v>0.65484581797598795</v>
      </c>
      <c r="M29" s="11">
        <f t="shared" si="2"/>
        <v>-7.206178791911118E-3</v>
      </c>
    </row>
    <row r="30" spans="1:22" x14ac:dyDescent="0.3">
      <c r="A30" s="8" t="s">
        <v>136</v>
      </c>
      <c r="B30" s="9" t="s">
        <v>428</v>
      </c>
      <c r="C30" s="9" t="s">
        <v>14</v>
      </c>
      <c r="D30" s="9" t="s">
        <v>26</v>
      </c>
      <c r="E30" s="9" t="s">
        <v>616</v>
      </c>
      <c r="F30" s="9" t="s">
        <v>617</v>
      </c>
      <c r="G30" s="9" t="s">
        <v>619</v>
      </c>
      <c r="H30" s="10">
        <v>208525230</v>
      </c>
      <c r="I30" s="10">
        <v>291115995</v>
      </c>
      <c r="J30" s="10">
        <v>140624325</v>
      </c>
      <c r="K30" s="10">
        <f t="shared" si="0"/>
        <v>174374163</v>
      </c>
      <c r="L30" s="11">
        <f t="shared" si="1"/>
        <v>0.59898516740723917</v>
      </c>
      <c r="M30" s="11">
        <f t="shared" si="2"/>
        <v>-0.1637742684662187</v>
      </c>
      <c r="V30" s="15"/>
    </row>
    <row r="31" spans="1:22" x14ac:dyDescent="0.3">
      <c r="A31" s="8" t="s">
        <v>25</v>
      </c>
      <c r="B31" s="9" t="s">
        <v>339</v>
      </c>
      <c r="C31" s="9" t="s">
        <v>14</v>
      </c>
      <c r="D31" s="9" t="s">
        <v>26</v>
      </c>
      <c r="E31" s="9" t="s">
        <v>616</v>
      </c>
      <c r="F31" s="9" t="s">
        <v>617</v>
      </c>
      <c r="G31" s="9" t="s">
        <v>619</v>
      </c>
      <c r="H31" s="10">
        <v>178284684</v>
      </c>
      <c r="I31" s="10">
        <v>220259759</v>
      </c>
      <c r="J31" s="10">
        <v>122929731</v>
      </c>
      <c r="K31" s="10">
        <f t="shared" si="0"/>
        <v>152432866.44</v>
      </c>
      <c r="L31" s="11">
        <f t="shared" si="1"/>
        <v>0.69205953521451002</v>
      </c>
      <c r="M31" s="11">
        <f t="shared" si="2"/>
        <v>-0.14500301977706623</v>
      </c>
    </row>
    <row r="32" spans="1:22" x14ac:dyDescent="0.3">
      <c r="A32" s="8" t="s">
        <v>140</v>
      </c>
      <c r="B32" s="9" t="s">
        <v>430</v>
      </c>
      <c r="C32" s="9" t="s">
        <v>14</v>
      </c>
      <c r="D32" s="9" t="s">
        <v>26</v>
      </c>
      <c r="E32" s="9" t="s">
        <v>616</v>
      </c>
      <c r="F32" s="9" t="s">
        <v>617</v>
      </c>
      <c r="G32" s="9" t="s">
        <v>619</v>
      </c>
      <c r="H32" s="10">
        <v>85327029</v>
      </c>
      <c r="I32" s="10">
        <v>114550301</v>
      </c>
      <c r="J32" s="10">
        <v>80682883</v>
      </c>
      <c r="K32" s="10">
        <f t="shared" si="0"/>
        <v>100046774.92</v>
      </c>
      <c r="L32" s="11">
        <f t="shared" si="1"/>
        <v>0.873387272199311</v>
      </c>
      <c r="M32" s="11">
        <f t="shared" si="2"/>
        <v>0.17250976733292803</v>
      </c>
    </row>
    <row r="33" spans="1:13" x14ac:dyDescent="0.3">
      <c r="A33" s="8" t="s">
        <v>145</v>
      </c>
      <c r="B33" s="9" t="s">
        <v>435</v>
      </c>
      <c r="C33" s="9" t="s">
        <v>14</v>
      </c>
      <c r="D33" s="9" t="s">
        <v>26</v>
      </c>
      <c r="E33" s="9" t="s">
        <v>616</v>
      </c>
      <c r="F33" s="9" t="s">
        <v>617</v>
      </c>
      <c r="G33" s="9" t="s">
        <v>619</v>
      </c>
      <c r="H33" s="10">
        <v>65275673</v>
      </c>
      <c r="I33" s="10">
        <v>119224100</v>
      </c>
      <c r="J33" s="10">
        <v>33821622</v>
      </c>
      <c r="K33" s="10">
        <f t="shared" si="0"/>
        <v>41938811.279999994</v>
      </c>
      <c r="L33" s="11">
        <f t="shared" si="1"/>
        <v>0.35176454492002868</v>
      </c>
      <c r="M33" s="11">
        <f t="shared" si="2"/>
        <v>-0.35751238780793582</v>
      </c>
    </row>
    <row r="34" spans="1:13" x14ac:dyDescent="0.3">
      <c r="A34" s="8" t="s">
        <v>73</v>
      </c>
      <c r="B34" s="9" t="s">
        <v>375</v>
      </c>
      <c r="C34" s="9" t="s">
        <v>14</v>
      </c>
      <c r="D34" s="9" t="s">
        <v>26</v>
      </c>
      <c r="E34" s="9" t="s">
        <v>616</v>
      </c>
      <c r="F34" s="9" t="s">
        <v>617</v>
      </c>
      <c r="G34" s="9" t="s">
        <v>619</v>
      </c>
      <c r="H34" s="10">
        <v>156381079</v>
      </c>
      <c r="I34" s="10">
        <v>157150523</v>
      </c>
      <c r="J34" s="10">
        <v>37901803</v>
      </c>
      <c r="K34" s="10">
        <f t="shared" si="0"/>
        <v>46998235.720000006</v>
      </c>
      <c r="L34" s="11">
        <f t="shared" si="1"/>
        <v>0.29906509264369424</v>
      </c>
      <c r="M34" s="11">
        <f t="shared" si="2"/>
        <v>-0.69946341321765659</v>
      </c>
    </row>
    <row r="35" spans="1:13" x14ac:dyDescent="0.3">
      <c r="A35" s="8" t="s">
        <v>65</v>
      </c>
      <c r="B35" s="9" t="s">
        <v>367</v>
      </c>
      <c r="C35" s="9" t="s">
        <v>14</v>
      </c>
      <c r="D35" s="9" t="s">
        <v>26</v>
      </c>
      <c r="E35" s="9" t="s">
        <v>616</v>
      </c>
      <c r="F35" s="9" t="s">
        <v>617</v>
      </c>
      <c r="G35" s="9" t="s">
        <v>619</v>
      </c>
      <c r="H35" s="10">
        <v>52054954</v>
      </c>
      <c r="I35" s="10">
        <v>142087837</v>
      </c>
      <c r="J35" s="10">
        <v>15940541</v>
      </c>
      <c r="K35" s="10">
        <f t="shared" si="0"/>
        <v>19766270.84</v>
      </c>
      <c r="L35" s="11">
        <f t="shared" si="1"/>
        <v>0.13911303921109025</v>
      </c>
      <c r="M35" s="11">
        <f t="shared" si="2"/>
        <v>-0.62028069720319035</v>
      </c>
    </row>
    <row r="36" spans="1:13" x14ac:dyDescent="0.3">
      <c r="A36" s="8" t="s">
        <v>103</v>
      </c>
      <c r="B36" s="9" t="s">
        <v>405</v>
      </c>
      <c r="C36" s="9" t="s">
        <v>14</v>
      </c>
      <c r="D36" s="9" t="s">
        <v>26</v>
      </c>
      <c r="E36" s="9" t="s">
        <v>616</v>
      </c>
      <c r="F36" s="9" t="s">
        <v>617</v>
      </c>
      <c r="G36" s="9" t="s">
        <v>619</v>
      </c>
      <c r="H36" s="10">
        <v>41786487</v>
      </c>
      <c r="I36" s="10">
        <v>87743619</v>
      </c>
      <c r="J36" s="10">
        <v>51339640</v>
      </c>
      <c r="K36" s="10">
        <f t="shared" si="0"/>
        <v>63661153.600000001</v>
      </c>
      <c r="L36" s="11">
        <f t="shared" si="1"/>
        <v>0.72553599139784741</v>
      </c>
      <c r="M36" s="11">
        <f t="shared" si="2"/>
        <v>0.52348661422531173</v>
      </c>
    </row>
    <row r="37" spans="1:13" x14ac:dyDescent="0.3">
      <c r="A37" s="8" t="s">
        <v>163</v>
      </c>
      <c r="B37" s="9" t="s">
        <v>453</v>
      </c>
      <c r="C37" s="9" t="s">
        <v>14</v>
      </c>
      <c r="D37" s="9" t="s">
        <v>26</v>
      </c>
      <c r="E37" s="9" t="s">
        <v>616</v>
      </c>
      <c r="F37" s="9" t="s">
        <v>617</v>
      </c>
      <c r="G37" s="9" t="s">
        <v>619</v>
      </c>
      <c r="H37" s="10">
        <v>144180188</v>
      </c>
      <c r="I37" s="10">
        <v>191969588</v>
      </c>
      <c r="J37" s="10">
        <v>42422523</v>
      </c>
      <c r="K37" s="10">
        <f t="shared" si="0"/>
        <v>52603928.519999996</v>
      </c>
      <c r="L37" s="11">
        <f t="shared" si="1"/>
        <v>0.2740221983494594</v>
      </c>
      <c r="M37" s="11">
        <f t="shared" si="2"/>
        <v>-0.63515147781607839</v>
      </c>
    </row>
    <row r="38" spans="1:13" x14ac:dyDescent="0.3">
      <c r="A38" s="8" t="s">
        <v>87</v>
      </c>
      <c r="B38" s="9" t="s">
        <v>389</v>
      </c>
      <c r="C38" s="9" t="s">
        <v>14</v>
      </c>
      <c r="D38" s="9" t="s">
        <v>32</v>
      </c>
      <c r="E38" s="9" t="s">
        <v>616</v>
      </c>
      <c r="F38" s="9" t="s">
        <v>617</v>
      </c>
      <c r="G38" s="9" t="s">
        <v>619</v>
      </c>
      <c r="H38" s="10">
        <v>35216217</v>
      </c>
      <c r="I38" s="10">
        <v>71000000</v>
      </c>
      <c r="J38" s="10">
        <v>1981081</v>
      </c>
      <c r="K38" s="10">
        <f t="shared" si="0"/>
        <v>2456540.44</v>
      </c>
      <c r="L38" s="11">
        <f t="shared" si="1"/>
        <v>3.4599161126760564E-2</v>
      </c>
      <c r="M38" s="11">
        <f t="shared" si="2"/>
        <v>-0.93024405659472165</v>
      </c>
    </row>
    <row r="39" spans="1:13" x14ac:dyDescent="0.3">
      <c r="A39" s="8" t="s">
        <v>149</v>
      </c>
      <c r="B39" s="9" t="s">
        <v>439</v>
      </c>
      <c r="C39" s="9" t="s">
        <v>14</v>
      </c>
      <c r="D39" s="9" t="s">
        <v>32</v>
      </c>
      <c r="E39" s="9" t="s">
        <v>616</v>
      </c>
      <c r="F39" s="9" t="s">
        <v>617</v>
      </c>
      <c r="G39" s="9" t="s">
        <v>619</v>
      </c>
      <c r="H39" s="10">
        <v>71694595</v>
      </c>
      <c r="I39" s="10">
        <v>87067568</v>
      </c>
      <c r="J39" s="10">
        <v>75431534</v>
      </c>
      <c r="K39" s="10">
        <f t="shared" si="0"/>
        <v>93535102.159999996</v>
      </c>
      <c r="L39" s="11">
        <f t="shared" si="1"/>
        <v>1.0742817826265687</v>
      </c>
      <c r="M39" s="11">
        <f t="shared" si="2"/>
        <v>0.30463254810212675</v>
      </c>
    </row>
    <row r="40" spans="1:13" x14ac:dyDescent="0.3">
      <c r="A40" s="8" t="s">
        <v>96</v>
      </c>
      <c r="B40" s="9" t="s">
        <v>398</v>
      </c>
      <c r="C40" s="9" t="s">
        <v>14</v>
      </c>
      <c r="D40" s="9" t="s">
        <v>32</v>
      </c>
      <c r="E40" s="9" t="s">
        <v>616</v>
      </c>
      <c r="F40" s="9" t="s">
        <v>617</v>
      </c>
      <c r="G40" s="9" t="s">
        <v>619</v>
      </c>
      <c r="H40" s="10">
        <v>41643241</v>
      </c>
      <c r="I40" s="10">
        <v>71000000</v>
      </c>
      <c r="J40" s="10">
        <v>45662164</v>
      </c>
      <c r="K40" s="10">
        <f t="shared" si="0"/>
        <v>56621083.359999999</v>
      </c>
      <c r="L40" s="11">
        <f t="shared" si="1"/>
        <v>0.79748004732394362</v>
      </c>
      <c r="M40" s="11">
        <f t="shared" si="2"/>
        <v>0.35967042910997249</v>
      </c>
    </row>
    <row r="41" spans="1:13" x14ac:dyDescent="0.3">
      <c r="A41" s="8" t="s">
        <v>112</v>
      </c>
      <c r="B41" s="9" t="s">
        <v>414</v>
      </c>
      <c r="C41" s="9" t="s">
        <v>14</v>
      </c>
      <c r="D41" s="9" t="s">
        <v>32</v>
      </c>
      <c r="E41" s="9" t="s">
        <v>616</v>
      </c>
      <c r="F41" s="9" t="s">
        <v>617</v>
      </c>
      <c r="G41" s="9" t="s">
        <v>619</v>
      </c>
      <c r="H41" s="10">
        <v>3422523</v>
      </c>
      <c r="I41" s="10">
        <v>71000000</v>
      </c>
      <c r="J41" s="10">
        <v>5945045</v>
      </c>
      <c r="K41" s="10">
        <f t="shared" si="0"/>
        <v>7371855.7999999998</v>
      </c>
      <c r="L41" s="11">
        <f t="shared" si="1"/>
        <v>0.10382895492957746</v>
      </c>
      <c r="M41" s="11">
        <f t="shared" si="2"/>
        <v>1.1539244002158642</v>
      </c>
    </row>
    <row r="42" spans="1:13" x14ac:dyDescent="0.3">
      <c r="A42" s="8" t="s">
        <v>94</v>
      </c>
      <c r="B42" s="9" t="s">
        <v>396</v>
      </c>
      <c r="C42" s="9" t="s">
        <v>14</v>
      </c>
      <c r="D42" s="9" t="s">
        <v>32</v>
      </c>
      <c r="E42" s="9" t="s">
        <v>616</v>
      </c>
      <c r="F42" s="9" t="s">
        <v>617</v>
      </c>
      <c r="G42" s="9" t="s">
        <v>619</v>
      </c>
      <c r="H42" s="10">
        <v>51902704</v>
      </c>
      <c r="I42" s="10">
        <v>100707959</v>
      </c>
      <c r="J42" s="10">
        <v>52914415</v>
      </c>
      <c r="K42" s="10">
        <f t="shared" si="0"/>
        <v>65613874.600000001</v>
      </c>
      <c r="L42" s="11">
        <f t="shared" si="1"/>
        <v>0.65152620757610624</v>
      </c>
      <c r="M42" s="11">
        <f t="shared" si="2"/>
        <v>0.26417064128296669</v>
      </c>
    </row>
    <row r="43" spans="1:13" x14ac:dyDescent="0.3">
      <c r="A43" s="8" t="s">
        <v>119</v>
      </c>
      <c r="B43" s="9" t="s">
        <v>418</v>
      </c>
      <c r="C43" s="9" t="s">
        <v>14</v>
      </c>
      <c r="D43" s="9" t="s">
        <v>32</v>
      </c>
      <c r="E43" s="9" t="s">
        <v>616</v>
      </c>
      <c r="F43" s="9" t="s">
        <v>617</v>
      </c>
      <c r="G43" s="9" t="s">
        <v>619</v>
      </c>
      <c r="H43" s="10">
        <v>374739627</v>
      </c>
      <c r="I43" s="10">
        <v>476965086</v>
      </c>
      <c r="J43" s="10">
        <v>162481084</v>
      </c>
      <c r="K43" s="10">
        <f t="shared" si="0"/>
        <v>201476544.16</v>
      </c>
      <c r="L43" s="11">
        <f t="shared" si="1"/>
        <v>0.42241361071028161</v>
      </c>
      <c r="M43" s="11">
        <f t="shared" si="2"/>
        <v>-0.46235591423054923</v>
      </c>
    </row>
    <row r="44" spans="1:13" x14ac:dyDescent="0.3">
      <c r="A44" s="8" t="s">
        <v>41</v>
      </c>
      <c r="B44" s="9" t="s">
        <v>347</v>
      </c>
      <c r="C44" s="9" t="s">
        <v>14</v>
      </c>
      <c r="D44" s="9" t="s">
        <v>32</v>
      </c>
      <c r="E44" s="9" t="s">
        <v>616</v>
      </c>
      <c r="F44" s="9" t="s">
        <v>617</v>
      </c>
      <c r="G44" s="9" t="s">
        <v>619</v>
      </c>
      <c r="H44" s="10">
        <v>189437829</v>
      </c>
      <c r="I44" s="10">
        <v>273818692</v>
      </c>
      <c r="J44" s="10">
        <v>182354962</v>
      </c>
      <c r="K44" s="10">
        <f t="shared" si="0"/>
        <v>226120152.88000003</v>
      </c>
      <c r="L44" s="11">
        <f t="shared" si="1"/>
        <v>0.82580247253536665</v>
      </c>
      <c r="M44" s="11">
        <f t="shared" si="2"/>
        <v>0.19363779702099534</v>
      </c>
    </row>
    <row r="45" spans="1:13" x14ac:dyDescent="0.3">
      <c r="A45" s="8" t="s">
        <v>268</v>
      </c>
      <c r="B45" s="9" t="s">
        <v>557</v>
      </c>
      <c r="C45" s="9" t="s">
        <v>14</v>
      </c>
      <c r="D45" s="9" t="s">
        <v>32</v>
      </c>
      <c r="E45" s="9" t="s">
        <v>631</v>
      </c>
      <c r="F45" s="9" t="s">
        <v>624</v>
      </c>
      <c r="G45" s="9" t="s">
        <v>619</v>
      </c>
      <c r="H45" s="10">
        <v>22066667</v>
      </c>
      <c r="I45" s="10">
        <v>71000000</v>
      </c>
      <c r="J45" s="10">
        <v>0</v>
      </c>
      <c r="K45" s="10">
        <f t="shared" si="0"/>
        <v>0</v>
      </c>
      <c r="L45" s="11">
        <f t="shared" si="1"/>
        <v>0</v>
      </c>
      <c r="M45" s="11">
        <f t="shared" si="2"/>
        <v>-1</v>
      </c>
    </row>
    <row r="46" spans="1:13" x14ac:dyDescent="0.3">
      <c r="A46" s="8" t="s">
        <v>260</v>
      </c>
      <c r="B46" s="9" t="s">
        <v>549</v>
      </c>
      <c r="C46" s="9" t="s">
        <v>14</v>
      </c>
      <c r="D46" s="9" t="s">
        <v>32</v>
      </c>
      <c r="E46" s="9" t="s">
        <v>630</v>
      </c>
      <c r="F46" s="9" t="s">
        <v>617</v>
      </c>
      <c r="G46" s="9" t="s">
        <v>619</v>
      </c>
      <c r="H46" s="10">
        <v>148254957</v>
      </c>
      <c r="I46" s="10">
        <v>192702702</v>
      </c>
      <c r="J46" s="10">
        <v>113681088</v>
      </c>
      <c r="K46" s="10">
        <f t="shared" si="0"/>
        <v>140964549.11999997</v>
      </c>
      <c r="L46" s="11">
        <f t="shared" si="1"/>
        <v>0.73151309066750902</v>
      </c>
      <c r="M46" s="11">
        <f t="shared" si="2"/>
        <v>-4.9174800138386099E-2</v>
      </c>
    </row>
    <row r="47" spans="1:13" x14ac:dyDescent="0.3">
      <c r="A47" s="8" t="s">
        <v>69</v>
      </c>
      <c r="B47" s="9" t="s">
        <v>371</v>
      </c>
      <c r="C47" s="9" t="s">
        <v>14</v>
      </c>
      <c r="D47" s="9" t="s">
        <v>32</v>
      </c>
      <c r="E47" s="9" t="s">
        <v>616</v>
      </c>
      <c r="F47" s="9" t="s">
        <v>617</v>
      </c>
      <c r="G47" s="9" t="s">
        <v>619</v>
      </c>
      <c r="H47" s="10">
        <v>140701796</v>
      </c>
      <c r="I47" s="10">
        <v>106585585</v>
      </c>
      <c r="J47" s="10">
        <v>41043243</v>
      </c>
      <c r="K47" s="10">
        <f t="shared" si="0"/>
        <v>50893621.32</v>
      </c>
      <c r="L47" s="11">
        <f t="shared" si="1"/>
        <v>0.47749065992366602</v>
      </c>
      <c r="M47" s="11">
        <f t="shared" si="2"/>
        <v>-0.63828733700030382</v>
      </c>
    </row>
    <row r="48" spans="1:13" x14ac:dyDescent="0.3">
      <c r="A48" s="8" t="s">
        <v>257</v>
      </c>
      <c r="B48" s="9" t="s">
        <v>546</v>
      </c>
      <c r="C48" s="9" t="s">
        <v>14</v>
      </c>
      <c r="D48" s="9" t="s">
        <v>32</v>
      </c>
      <c r="E48" s="9" t="s">
        <v>630</v>
      </c>
      <c r="F48" s="9" t="s">
        <v>617</v>
      </c>
      <c r="G48" s="9" t="s">
        <v>619</v>
      </c>
      <c r="H48" s="10">
        <v>11989189</v>
      </c>
      <c r="I48" s="10">
        <v>71000000</v>
      </c>
      <c r="J48" s="10">
        <v>26637838</v>
      </c>
      <c r="K48" s="10">
        <f t="shared" si="0"/>
        <v>33030919.120000001</v>
      </c>
      <c r="L48" s="11">
        <f t="shared" si="1"/>
        <v>0.46522421295774652</v>
      </c>
      <c r="M48" s="11">
        <f t="shared" si="2"/>
        <v>1.7550586716082297</v>
      </c>
    </row>
    <row r="49" spans="1:13" x14ac:dyDescent="0.3">
      <c r="A49" s="8" t="s">
        <v>83</v>
      </c>
      <c r="B49" s="9" t="s">
        <v>385</v>
      </c>
      <c r="C49" s="9" t="s">
        <v>14</v>
      </c>
      <c r="D49" s="9" t="s">
        <v>32</v>
      </c>
      <c r="E49" s="9" t="s">
        <v>616</v>
      </c>
      <c r="F49" s="9" t="s">
        <v>617</v>
      </c>
      <c r="G49" s="9" t="s">
        <v>619</v>
      </c>
      <c r="H49" s="10">
        <v>34031530</v>
      </c>
      <c r="I49" s="10">
        <v>71000000</v>
      </c>
      <c r="J49" s="10">
        <v>26840541</v>
      </c>
      <c r="K49" s="10">
        <f t="shared" si="0"/>
        <v>33282270.839999996</v>
      </c>
      <c r="L49" s="11">
        <f t="shared" si="1"/>
        <v>0.46876437802816895</v>
      </c>
      <c r="M49" s="11">
        <f t="shared" si="2"/>
        <v>-2.201661694317017E-2</v>
      </c>
    </row>
    <row r="50" spans="1:13" x14ac:dyDescent="0.3">
      <c r="A50" s="8" t="s">
        <v>64</v>
      </c>
      <c r="B50" s="9" t="s">
        <v>366</v>
      </c>
      <c r="C50" s="9" t="s">
        <v>14</v>
      </c>
      <c r="D50" s="9" t="s">
        <v>32</v>
      </c>
      <c r="E50" s="9" t="s">
        <v>616</v>
      </c>
      <c r="F50" s="9" t="s">
        <v>617</v>
      </c>
      <c r="G50" s="9" t="s">
        <v>619</v>
      </c>
      <c r="H50" s="10">
        <v>67850450</v>
      </c>
      <c r="I50" s="10">
        <v>81570195</v>
      </c>
      <c r="J50" s="10">
        <v>13870271</v>
      </c>
      <c r="K50" s="10">
        <f t="shared" si="0"/>
        <v>17199136.039999999</v>
      </c>
      <c r="L50" s="11">
        <f t="shared" si="1"/>
        <v>0.21085074076382923</v>
      </c>
      <c r="M50" s="11">
        <f t="shared" si="2"/>
        <v>-0.74651404611170602</v>
      </c>
    </row>
    <row r="51" spans="1:13" x14ac:dyDescent="0.3">
      <c r="A51" s="8" t="s">
        <v>31</v>
      </c>
      <c r="B51" s="9" t="s">
        <v>342</v>
      </c>
      <c r="C51" s="9" t="s">
        <v>14</v>
      </c>
      <c r="D51" s="9" t="s">
        <v>32</v>
      </c>
      <c r="E51" s="9" t="s">
        <v>616</v>
      </c>
      <c r="F51" s="9" t="s">
        <v>617</v>
      </c>
      <c r="G51" s="9" t="s">
        <v>619</v>
      </c>
      <c r="H51" s="10">
        <v>95453153</v>
      </c>
      <c r="I51" s="10">
        <v>113272525</v>
      </c>
      <c r="J51" s="10">
        <v>44806306</v>
      </c>
      <c r="K51" s="10">
        <f t="shared" si="0"/>
        <v>55559819.439999998</v>
      </c>
      <c r="L51" s="11">
        <f t="shared" si="1"/>
        <v>0.49049687415372789</v>
      </c>
      <c r="M51" s="11">
        <f t="shared" si="2"/>
        <v>-0.41793625779967691</v>
      </c>
    </row>
    <row r="52" spans="1:13" x14ac:dyDescent="0.3">
      <c r="A52" s="8" t="s">
        <v>105</v>
      </c>
      <c r="B52" s="9" t="s">
        <v>407</v>
      </c>
      <c r="C52" s="9" t="s">
        <v>14</v>
      </c>
      <c r="D52" s="9" t="s">
        <v>32</v>
      </c>
      <c r="E52" s="9" t="s">
        <v>616</v>
      </c>
      <c r="F52" s="9" t="s">
        <v>617</v>
      </c>
      <c r="G52" s="9" t="s">
        <v>619</v>
      </c>
      <c r="H52" s="10">
        <v>35621621</v>
      </c>
      <c r="I52" s="10">
        <v>71000000</v>
      </c>
      <c r="J52" s="10">
        <v>47127928</v>
      </c>
      <c r="K52" s="10">
        <f t="shared" si="0"/>
        <v>58438630.720000006</v>
      </c>
      <c r="L52" s="11">
        <f t="shared" si="1"/>
        <v>0.82307930591549305</v>
      </c>
      <c r="M52" s="11">
        <f t="shared" si="2"/>
        <v>0.64053822031288266</v>
      </c>
    </row>
    <row r="53" spans="1:13" x14ac:dyDescent="0.3">
      <c r="A53" s="8" t="s">
        <v>110</v>
      </c>
      <c r="B53" s="9" t="s">
        <v>412</v>
      </c>
      <c r="C53" s="9" t="s">
        <v>14</v>
      </c>
      <c r="D53" s="9" t="s">
        <v>32</v>
      </c>
      <c r="E53" s="9" t="s">
        <v>616</v>
      </c>
      <c r="F53" s="9" t="s">
        <v>617</v>
      </c>
      <c r="G53" s="9" t="s">
        <v>619</v>
      </c>
      <c r="H53" s="10">
        <v>15468468</v>
      </c>
      <c r="I53" s="10">
        <v>71000000</v>
      </c>
      <c r="J53" s="10">
        <v>8286486</v>
      </c>
      <c r="K53" s="10">
        <f t="shared" si="0"/>
        <v>10275242.640000001</v>
      </c>
      <c r="L53" s="11">
        <f t="shared" si="1"/>
        <v>0.14472172732394367</v>
      </c>
      <c r="M53" s="11">
        <f t="shared" si="2"/>
        <v>-0.33572978009199095</v>
      </c>
    </row>
    <row r="54" spans="1:13" x14ac:dyDescent="0.3">
      <c r="A54" s="8" t="s">
        <v>23</v>
      </c>
      <c r="B54" s="9" t="s">
        <v>338</v>
      </c>
      <c r="C54" s="9" t="s">
        <v>14</v>
      </c>
      <c r="D54" s="9" t="s">
        <v>32</v>
      </c>
      <c r="E54" s="9" t="s">
        <v>616</v>
      </c>
      <c r="F54" s="9" t="s">
        <v>617</v>
      </c>
      <c r="G54" s="9" t="s">
        <v>619</v>
      </c>
      <c r="H54" s="10">
        <v>116168466</v>
      </c>
      <c r="I54" s="10">
        <v>249695574</v>
      </c>
      <c r="J54" s="10">
        <v>239654055</v>
      </c>
      <c r="K54" s="10">
        <f t="shared" si="0"/>
        <v>297171028.19999999</v>
      </c>
      <c r="L54" s="11">
        <f t="shared" si="1"/>
        <v>1.1901333429322218</v>
      </c>
      <c r="M54" s="11">
        <f t="shared" si="2"/>
        <v>1.5581040916904247</v>
      </c>
    </row>
    <row r="55" spans="1:13" x14ac:dyDescent="0.3">
      <c r="A55" s="8" t="s">
        <v>17</v>
      </c>
      <c r="B55" s="9" t="s">
        <v>334</v>
      </c>
      <c r="C55" s="9" t="s">
        <v>14</v>
      </c>
      <c r="D55" s="9" t="s">
        <v>24</v>
      </c>
      <c r="E55" s="9" t="s">
        <v>616</v>
      </c>
      <c r="F55" s="9" t="s">
        <v>617</v>
      </c>
      <c r="G55" s="9" t="s">
        <v>619</v>
      </c>
      <c r="H55" s="10">
        <v>271327018</v>
      </c>
      <c r="I55" s="10">
        <v>335899028</v>
      </c>
      <c r="J55" s="10">
        <v>168436037</v>
      </c>
      <c r="K55" s="10">
        <f t="shared" si="0"/>
        <v>208860685.88000003</v>
      </c>
      <c r="L55" s="11">
        <f t="shared" si="1"/>
        <v>0.62179604127940502</v>
      </c>
      <c r="M55" s="11">
        <f t="shared" si="2"/>
        <v>-0.23022525578341033</v>
      </c>
    </row>
    <row r="56" spans="1:13" x14ac:dyDescent="0.3">
      <c r="A56" s="8" t="s">
        <v>154</v>
      </c>
      <c r="B56" s="9" t="s">
        <v>444</v>
      </c>
      <c r="C56" s="9" t="s">
        <v>14</v>
      </c>
      <c r="D56" s="9" t="s">
        <v>24</v>
      </c>
      <c r="E56" s="9" t="s">
        <v>616</v>
      </c>
      <c r="F56" s="9" t="s">
        <v>617</v>
      </c>
      <c r="G56" s="9" t="s">
        <v>619</v>
      </c>
      <c r="H56" s="10">
        <v>154163055</v>
      </c>
      <c r="I56" s="10">
        <v>193001126</v>
      </c>
      <c r="J56" s="10">
        <v>42060361</v>
      </c>
      <c r="K56" s="10">
        <f t="shared" si="0"/>
        <v>52154847.640000001</v>
      </c>
      <c r="L56" s="11">
        <f t="shared" si="1"/>
        <v>0.27023079461204802</v>
      </c>
      <c r="M56" s="11">
        <f t="shared" si="2"/>
        <v>-0.66169035998929837</v>
      </c>
    </row>
    <row r="57" spans="1:13" x14ac:dyDescent="0.3">
      <c r="A57" s="8" t="s">
        <v>67</v>
      </c>
      <c r="B57" s="9" t="s">
        <v>369</v>
      </c>
      <c r="C57" s="9" t="s">
        <v>14</v>
      </c>
      <c r="D57" s="9" t="s">
        <v>24</v>
      </c>
      <c r="E57" s="9" t="s">
        <v>616</v>
      </c>
      <c r="F57" s="9" t="s">
        <v>617</v>
      </c>
      <c r="G57" s="9" t="s">
        <v>619</v>
      </c>
      <c r="H57" s="10">
        <v>135091891</v>
      </c>
      <c r="I57" s="10">
        <v>170971849</v>
      </c>
      <c r="J57" s="10">
        <v>58203607</v>
      </c>
      <c r="K57" s="10">
        <f t="shared" si="0"/>
        <v>72172472.679999992</v>
      </c>
      <c r="L57" s="11">
        <f t="shared" si="1"/>
        <v>0.42213073732389705</v>
      </c>
      <c r="M57" s="11">
        <f t="shared" si="2"/>
        <v>-0.46575273951861407</v>
      </c>
    </row>
    <row r="58" spans="1:13" x14ac:dyDescent="0.3">
      <c r="A58" s="8" t="s">
        <v>15</v>
      </c>
      <c r="B58" s="9" t="s">
        <v>333</v>
      </c>
      <c r="C58" s="9" t="s">
        <v>14</v>
      </c>
      <c r="D58" s="9" t="s">
        <v>24</v>
      </c>
      <c r="E58" s="9" t="s">
        <v>616</v>
      </c>
      <c r="F58" s="9" t="s">
        <v>617</v>
      </c>
      <c r="G58" s="9" t="s">
        <v>619</v>
      </c>
      <c r="H58" s="10">
        <v>286633319</v>
      </c>
      <c r="I58" s="10">
        <v>305062689</v>
      </c>
      <c r="J58" s="10">
        <v>235863967</v>
      </c>
      <c r="K58" s="10">
        <f t="shared" si="0"/>
        <v>292471319.07999998</v>
      </c>
      <c r="L58" s="11">
        <f t="shared" si="1"/>
        <v>0.95872530344082818</v>
      </c>
      <c r="M58" s="11">
        <f t="shared" si="2"/>
        <v>2.0367485888826427E-2</v>
      </c>
    </row>
    <row r="59" spans="1:13" x14ac:dyDescent="0.3">
      <c r="A59" s="8" t="s">
        <v>258</v>
      </c>
      <c r="B59" s="9" t="s">
        <v>547</v>
      </c>
      <c r="C59" s="9" t="s">
        <v>14</v>
      </c>
      <c r="D59" s="9" t="s">
        <v>24</v>
      </c>
      <c r="E59" s="9" t="s">
        <v>630</v>
      </c>
      <c r="F59" s="9" t="s">
        <v>617</v>
      </c>
      <c r="G59" s="9" t="s">
        <v>619</v>
      </c>
      <c r="H59" s="10">
        <v>60114407</v>
      </c>
      <c r="I59" s="10">
        <v>71000000</v>
      </c>
      <c r="J59" s="10">
        <v>17700901</v>
      </c>
      <c r="K59" s="10">
        <f t="shared" si="0"/>
        <v>21949117.240000002</v>
      </c>
      <c r="L59" s="11">
        <f t="shared" si="1"/>
        <v>0.30914249633802821</v>
      </c>
      <c r="M59" s="11">
        <f t="shared" si="2"/>
        <v>-0.63487758866189925</v>
      </c>
    </row>
    <row r="60" spans="1:13" x14ac:dyDescent="0.3">
      <c r="A60" s="8" t="s">
        <v>168</v>
      </c>
      <c r="B60" s="9" t="s">
        <v>458</v>
      </c>
      <c r="C60" s="9" t="s">
        <v>14</v>
      </c>
      <c r="D60" s="9" t="s">
        <v>24</v>
      </c>
      <c r="E60" s="9" t="s">
        <v>616</v>
      </c>
      <c r="F60" s="9" t="s">
        <v>617</v>
      </c>
      <c r="G60" s="9" t="s">
        <v>619</v>
      </c>
      <c r="H60" s="10">
        <v>536700875</v>
      </c>
      <c r="I60" s="10">
        <v>703063058</v>
      </c>
      <c r="J60" s="10">
        <v>357381080</v>
      </c>
      <c r="K60" s="10">
        <f t="shared" si="0"/>
        <v>443152539.19999999</v>
      </c>
      <c r="L60" s="11">
        <f t="shared" si="1"/>
        <v>0.63031691703534221</v>
      </c>
      <c r="M60" s="11">
        <f t="shared" si="2"/>
        <v>-0.17430255875770653</v>
      </c>
    </row>
    <row r="61" spans="1:13" x14ac:dyDescent="0.3">
      <c r="A61" s="8" t="s">
        <v>27</v>
      </c>
      <c r="B61" s="9" t="s">
        <v>340</v>
      </c>
      <c r="C61" s="9" t="s">
        <v>14</v>
      </c>
      <c r="D61" s="9" t="s">
        <v>24</v>
      </c>
      <c r="E61" s="9" t="s">
        <v>616</v>
      </c>
      <c r="F61" s="9" t="s">
        <v>617</v>
      </c>
      <c r="G61" s="9" t="s">
        <v>619</v>
      </c>
      <c r="H61" s="10">
        <v>129962154</v>
      </c>
      <c r="I61" s="10">
        <v>172381384</v>
      </c>
      <c r="J61" s="10">
        <v>118175675</v>
      </c>
      <c r="K61" s="10">
        <f t="shared" si="0"/>
        <v>146537837</v>
      </c>
      <c r="L61" s="11">
        <f t="shared" si="1"/>
        <v>0.85007924637616317</v>
      </c>
      <c r="M61" s="11">
        <f t="shared" si="2"/>
        <v>0.12754238437753193</v>
      </c>
    </row>
    <row r="62" spans="1:13" x14ac:dyDescent="0.3">
      <c r="A62" s="8" t="s">
        <v>155</v>
      </c>
      <c r="B62" s="9" t="s">
        <v>445</v>
      </c>
      <c r="C62" s="9" t="s">
        <v>14</v>
      </c>
      <c r="D62" s="9" t="s">
        <v>24</v>
      </c>
      <c r="E62" s="9" t="s">
        <v>616</v>
      </c>
      <c r="F62" s="9" t="s">
        <v>624</v>
      </c>
      <c r="G62" s="9" t="s">
        <v>619</v>
      </c>
      <c r="H62" s="10">
        <v>144700887</v>
      </c>
      <c r="I62" s="10">
        <v>126597974</v>
      </c>
      <c r="J62" s="10">
        <v>0</v>
      </c>
      <c r="K62" s="10">
        <f t="shared" si="0"/>
        <v>0</v>
      </c>
      <c r="L62" s="11">
        <f t="shared" si="1"/>
        <v>0</v>
      </c>
      <c r="M62" s="11">
        <f t="shared" si="2"/>
        <v>-1</v>
      </c>
    </row>
    <row r="63" spans="1:13" x14ac:dyDescent="0.3">
      <c r="A63" s="8" t="s">
        <v>113</v>
      </c>
      <c r="B63" s="9" t="s">
        <v>415</v>
      </c>
      <c r="C63" s="9" t="s">
        <v>14</v>
      </c>
      <c r="D63" s="9" t="s">
        <v>24</v>
      </c>
      <c r="E63" s="9" t="s">
        <v>616</v>
      </c>
      <c r="F63" s="9" t="s">
        <v>617</v>
      </c>
      <c r="G63" s="9" t="s">
        <v>619</v>
      </c>
      <c r="H63" s="10">
        <v>94090986</v>
      </c>
      <c r="I63" s="10">
        <v>109807811</v>
      </c>
      <c r="J63" s="10">
        <v>60341443</v>
      </c>
      <c r="K63" s="10">
        <f t="shared" si="0"/>
        <v>74823389.320000008</v>
      </c>
      <c r="L63" s="11">
        <f t="shared" si="1"/>
        <v>0.68140315919784622</v>
      </c>
      <c r="M63" s="11">
        <f t="shared" si="2"/>
        <v>-0.20477622245344515</v>
      </c>
    </row>
    <row r="64" spans="1:13" x14ac:dyDescent="0.3">
      <c r="A64" s="8" t="s">
        <v>108</v>
      </c>
      <c r="B64" s="9" t="s">
        <v>410</v>
      </c>
      <c r="C64" s="9" t="s">
        <v>14</v>
      </c>
      <c r="D64" s="9" t="s">
        <v>24</v>
      </c>
      <c r="E64" s="9" t="s">
        <v>616</v>
      </c>
      <c r="F64" s="9" t="s">
        <v>617</v>
      </c>
      <c r="G64" s="9" t="s">
        <v>619</v>
      </c>
      <c r="H64" s="10">
        <v>98935128</v>
      </c>
      <c r="I64" s="10">
        <v>103365990</v>
      </c>
      <c r="J64" s="10">
        <v>29899099</v>
      </c>
      <c r="K64" s="10">
        <f t="shared" si="0"/>
        <v>37074882.759999998</v>
      </c>
      <c r="L64" s="11">
        <f t="shared" si="1"/>
        <v>0.35867583486599408</v>
      </c>
      <c r="M64" s="11">
        <f t="shared" si="2"/>
        <v>-0.62526067829012155</v>
      </c>
    </row>
    <row r="65" spans="1:13" x14ac:dyDescent="0.3">
      <c r="A65" s="8" t="s">
        <v>231</v>
      </c>
      <c r="B65" s="9" t="s">
        <v>521</v>
      </c>
      <c r="C65" s="9" t="s">
        <v>14</v>
      </c>
      <c r="D65" s="9" t="s">
        <v>24</v>
      </c>
      <c r="E65" s="9" t="s">
        <v>616</v>
      </c>
      <c r="F65" s="9" t="s">
        <v>617</v>
      </c>
      <c r="G65" s="9" t="s">
        <v>619</v>
      </c>
      <c r="H65" s="10">
        <v>161936026</v>
      </c>
      <c r="I65" s="10">
        <v>188517266</v>
      </c>
      <c r="J65" s="10">
        <v>96963964</v>
      </c>
      <c r="K65" s="10">
        <f t="shared" si="0"/>
        <v>120235315.36</v>
      </c>
      <c r="L65" s="11">
        <f t="shared" si="1"/>
        <v>0.63779471191779324</v>
      </c>
      <c r="M65" s="11">
        <f t="shared" si="2"/>
        <v>-0.25751348646779809</v>
      </c>
    </row>
    <row r="66" spans="1:13" x14ac:dyDescent="0.3">
      <c r="A66" s="8" t="s">
        <v>51</v>
      </c>
      <c r="B66" s="9" t="s">
        <v>355</v>
      </c>
      <c r="C66" s="9" t="s">
        <v>16</v>
      </c>
      <c r="D66" s="9" t="s">
        <v>44</v>
      </c>
      <c r="E66" s="9" t="s">
        <v>616</v>
      </c>
      <c r="F66" s="9" t="s">
        <v>617</v>
      </c>
      <c r="G66" s="9" t="s">
        <v>622</v>
      </c>
      <c r="H66" s="10">
        <v>63414416</v>
      </c>
      <c r="I66" s="10">
        <v>145353232</v>
      </c>
      <c r="J66" s="10">
        <v>130231531</v>
      </c>
      <c r="K66" s="10">
        <f t="shared" si="0"/>
        <v>161487098.44</v>
      </c>
      <c r="L66" s="11">
        <f t="shared" si="1"/>
        <v>1.1109976449646473</v>
      </c>
      <c r="M66" s="11">
        <f t="shared" si="2"/>
        <v>1.546536081637967</v>
      </c>
    </row>
    <row r="67" spans="1:13" x14ac:dyDescent="0.3">
      <c r="A67" s="8" t="s">
        <v>49</v>
      </c>
      <c r="B67" s="9" t="s">
        <v>353</v>
      </c>
      <c r="C67" s="9" t="s">
        <v>16</v>
      </c>
      <c r="D67" s="9" t="s">
        <v>44</v>
      </c>
      <c r="E67" s="9" t="s">
        <v>616</v>
      </c>
      <c r="F67" s="9" t="s">
        <v>617</v>
      </c>
      <c r="G67" s="9" t="s">
        <v>622</v>
      </c>
      <c r="H67" s="10">
        <v>61269372</v>
      </c>
      <c r="I67" s="10">
        <v>107206459</v>
      </c>
      <c r="J67" s="10">
        <v>63541443</v>
      </c>
      <c r="K67" s="10">
        <f t="shared" si="0"/>
        <v>78791389.320000008</v>
      </c>
      <c r="L67" s="11">
        <f t="shared" si="1"/>
        <v>0.73495002124825337</v>
      </c>
      <c r="M67" s="11">
        <f t="shared" si="2"/>
        <v>0.28598330206485562</v>
      </c>
    </row>
    <row r="68" spans="1:13" x14ac:dyDescent="0.3">
      <c r="A68" s="8" t="s">
        <v>167</v>
      </c>
      <c r="B68" s="9" t="s">
        <v>457</v>
      </c>
      <c r="C68" s="9" t="s">
        <v>16</v>
      </c>
      <c r="D68" s="9" t="s">
        <v>44</v>
      </c>
      <c r="E68" s="9" t="s">
        <v>616</v>
      </c>
      <c r="F68" s="9" t="s">
        <v>617</v>
      </c>
      <c r="G68" s="9" t="s">
        <v>622</v>
      </c>
      <c r="H68" s="10">
        <v>456582864</v>
      </c>
      <c r="I68" s="10">
        <v>596983479</v>
      </c>
      <c r="J68" s="10">
        <v>245683785</v>
      </c>
      <c r="K68" s="10">
        <f t="shared" si="0"/>
        <v>304647893.40000004</v>
      </c>
      <c r="L68" s="11">
        <f t="shared" si="1"/>
        <v>0.51031210094844193</v>
      </c>
      <c r="M68" s="11">
        <f t="shared" si="2"/>
        <v>-0.33276538078748386</v>
      </c>
    </row>
    <row r="69" spans="1:13" x14ac:dyDescent="0.3">
      <c r="A69" s="8" t="s">
        <v>61</v>
      </c>
      <c r="B69" s="9" t="s">
        <v>364</v>
      </c>
      <c r="C69" s="9" t="s">
        <v>16</v>
      </c>
      <c r="D69" s="9" t="s">
        <v>44</v>
      </c>
      <c r="E69" s="9" t="s">
        <v>616</v>
      </c>
      <c r="F69" s="9" t="s">
        <v>617</v>
      </c>
      <c r="G69" s="9" t="s">
        <v>622</v>
      </c>
      <c r="H69" s="10">
        <v>53318918</v>
      </c>
      <c r="I69" s="10">
        <v>71845721</v>
      </c>
      <c r="J69" s="10">
        <v>12609009</v>
      </c>
      <c r="K69" s="10">
        <f t="shared" si="0"/>
        <v>15635171.16</v>
      </c>
      <c r="L69" s="11">
        <f t="shared" si="1"/>
        <v>0.21762146641969116</v>
      </c>
      <c r="M69" s="11">
        <f t="shared" si="2"/>
        <v>-0.70676128199000599</v>
      </c>
    </row>
    <row r="70" spans="1:13" x14ac:dyDescent="0.3">
      <c r="A70" s="8" t="s">
        <v>263</v>
      </c>
      <c r="B70" s="9" t="s">
        <v>552</v>
      </c>
      <c r="C70" s="9" t="s">
        <v>16</v>
      </c>
      <c r="D70" s="9" t="s">
        <v>44</v>
      </c>
      <c r="E70" s="9" t="s">
        <v>630</v>
      </c>
      <c r="F70" s="9" t="s">
        <v>617</v>
      </c>
      <c r="G70" s="9" t="s">
        <v>622</v>
      </c>
      <c r="H70" s="10">
        <v>0</v>
      </c>
      <c r="I70" s="10">
        <v>71000000</v>
      </c>
      <c r="J70" s="10">
        <v>2071171</v>
      </c>
      <c r="K70" s="10">
        <f t="shared" si="0"/>
        <v>2568252.04</v>
      </c>
      <c r="L70" s="11">
        <f t="shared" si="1"/>
        <v>3.6172563943661973E-2</v>
      </c>
      <c r="M70" s="11">
        <f t="shared" si="2"/>
        <v>0</v>
      </c>
    </row>
    <row r="71" spans="1:13" x14ac:dyDescent="0.3">
      <c r="A71" s="8" t="s">
        <v>77</v>
      </c>
      <c r="B71" s="9" t="s">
        <v>379</v>
      </c>
      <c r="C71" s="9" t="s">
        <v>16</v>
      </c>
      <c r="D71" s="9" t="s">
        <v>44</v>
      </c>
      <c r="E71" s="9" t="s">
        <v>616</v>
      </c>
      <c r="F71" s="9" t="s">
        <v>617</v>
      </c>
      <c r="G71" s="9" t="s">
        <v>622</v>
      </c>
      <c r="H71" s="10">
        <v>3849549</v>
      </c>
      <c r="I71" s="10">
        <v>71000000</v>
      </c>
      <c r="J71" s="10">
        <v>29408108</v>
      </c>
      <c r="K71" s="10">
        <f t="shared" si="0"/>
        <v>36466053.920000002</v>
      </c>
      <c r="L71" s="11">
        <f t="shared" si="1"/>
        <v>0.51360639323943669</v>
      </c>
      <c r="M71" s="11">
        <f t="shared" si="2"/>
        <v>8.4728119891447022</v>
      </c>
    </row>
    <row r="72" spans="1:13" x14ac:dyDescent="0.3">
      <c r="A72" s="8" t="s">
        <v>97</v>
      </c>
      <c r="B72" s="9" t="s">
        <v>399</v>
      </c>
      <c r="C72" s="9" t="s">
        <v>16</v>
      </c>
      <c r="D72" s="9" t="s">
        <v>44</v>
      </c>
      <c r="E72" s="9" t="s">
        <v>616</v>
      </c>
      <c r="F72" s="9" t="s">
        <v>617</v>
      </c>
      <c r="G72" s="9" t="s">
        <v>622</v>
      </c>
      <c r="H72" s="10">
        <v>44427927</v>
      </c>
      <c r="I72" s="10">
        <v>71000000</v>
      </c>
      <c r="J72" s="10">
        <v>6673874</v>
      </c>
      <c r="K72" s="10">
        <f t="shared" si="0"/>
        <v>8275603.7600000007</v>
      </c>
      <c r="L72" s="11">
        <f t="shared" si="1"/>
        <v>0.11655779943661973</v>
      </c>
      <c r="M72" s="11">
        <f t="shared" si="2"/>
        <v>-0.81372968943610635</v>
      </c>
    </row>
    <row r="73" spans="1:13" x14ac:dyDescent="0.3">
      <c r="A73" s="8" t="s">
        <v>53</v>
      </c>
      <c r="B73" s="9" t="s">
        <v>357</v>
      </c>
      <c r="C73" s="9" t="s">
        <v>16</v>
      </c>
      <c r="D73" s="9" t="s">
        <v>44</v>
      </c>
      <c r="E73" s="9" t="s">
        <v>616</v>
      </c>
      <c r="F73" s="9" t="s">
        <v>617</v>
      </c>
      <c r="G73" s="9" t="s">
        <v>622</v>
      </c>
      <c r="H73" s="10">
        <v>83818019</v>
      </c>
      <c r="I73" s="10">
        <v>118896024</v>
      </c>
      <c r="J73" s="10">
        <v>44402704</v>
      </c>
      <c r="K73" s="10">
        <f t="shared" si="0"/>
        <v>55059352.960000001</v>
      </c>
      <c r="L73" s="11">
        <f t="shared" si="1"/>
        <v>0.4630882607142523</v>
      </c>
      <c r="M73" s="11">
        <f t="shared" si="2"/>
        <v>-0.34310839582118968</v>
      </c>
    </row>
    <row r="74" spans="1:13" x14ac:dyDescent="0.3">
      <c r="A74" s="8" t="s">
        <v>71</v>
      </c>
      <c r="B74" s="9" t="s">
        <v>373</v>
      </c>
      <c r="C74" s="9" t="s">
        <v>16</v>
      </c>
      <c r="D74" s="9" t="s">
        <v>44</v>
      </c>
      <c r="E74" s="9" t="s">
        <v>616</v>
      </c>
      <c r="F74" s="9" t="s">
        <v>617</v>
      </c>
      <c r="G74" s="9" t="s">
        <v>622</v>
      </c>
      <c r="H74" s="10">
        <v>70300002</v>
      </c>
      <c r="I74" s="10">
        <v>88107358</v>
      </c>
      <c r="J74" s="10">
        <v>32652253</v>
      </c>
      <c r="K74" s="10">
        <f t="shared" si="0"/>
        <v>40488793.720000006</v>
      </c>
      <c r="L74" s="11">
        <f t="shared" si="1"/>
        <v>0.45953930113305641</v>
      </c>
      <c r="M74" s="11">
        <f t="shared" si="2"/>
        <v>-0.4240570047209955</v>
      </c>
    </row>
    <row r="75" spans="1:13" x14ac:dyDescent="0.3">
      <c r="A75" s="8" t="s">
        <v>80</v>
      </c>
      <c r="B75" s="9" t="s">
        <v>382</v>
      </c>
      <c r="C75" s="9" t="s">
        <v>16</v>
      </c>
      <c r="D75" s="9" t="s">
        <v>44</v>
      </c>
      <c r="E75" s="9" t="s">
        <v>616</v>
      </c>
      <c r="F75" s="9" t="s">
        <v>617</v>
      </c>
      <c r="G75" s="9" t="s">
        <v>622</v>
      </c>
      <c r="H75" s="10">
        <v>58366668</v>
      </c>
      <c r="I75" s="10">
        <v>72494748</v>
      </c>
      <c r="J75" s="10">
        <v>35181081</v>
      </c>
      <c r="K75" s="10">
        <f t="shared" si="0"/>
        <v>43624540.439999998</v>
      </c>
      <c r="L75" s="11">
        <f t="shared" si="1"/>
        <v>0.60176139159763675</v>
      </c>
      <c r="M75" s="11">
        <f t="shared" si="2"/>
        <v>-0.25257785076920963</v>
      </c>
    </row>
    <row r="76" spans="1:13" x14ac:dyDescent="0.3">
      <c r="A76" s="8" t="s">
        <v>82</v>
      </c>
      <c r="B76" s="9" t="s">
        <v>384</v>
      </c>
      <c r="C76" s="9" t="s">
        <v>16</v>
      </c>
      <c r="D76" s="9" t="s">
        <v>44</v>
      </c>
      <c r="E76" s="9" t="s">
        <v>616</v>
      </c>
      <c r="F76" s="9" t="s">
        <v>617</v>
      </c>
      <c r="G76" s="9" t="s">
        <v>622</v>
      </c>
      <c r="H76" s="10">
        <v>73857658</v>
      </c>
      <c r="I76" s="10">
        <v>113937314</v>
      </c>
      <c r="J76" s="10">
        <v>21730631</v>
      </c>
      <c r="K76" s="10">
        <f t="shared" si="0"/>
        <v>26945982.440000001</v>
      </c>
      <c r="L76" s="11">
        <f t="shared" si="1"/>
        <v>0.23649831204551655</v>
      </c>
      <c r="M76" s="11">
        <f t="shared" si="2"/>
        <v>-0.63516332402524867</v>
      </c>
    </row>
    <row r="77" spans="1:13" x14ac:dyDescent="0.3">
      <c r="A77" s="8" t="s">
        <v>84</v>
      </c>
      <c r="B77" s="9" t="s">
        <v>386</v>
      </c>
      <c r="C77" s="9" t="s">
        <v>16</v>
      </c>
      <c r="D77" s="9" t="s">
        <v>44</v>
      </c>
      <c r="E77" s="9" t="s">
        <v>616</v>
      </c>
      <c r="F77" s="9" t="s">
        <v>617</v>
      </c>
      <c r="G77" s="9" t="s">
        <v>622</v>
      </c>
      <c r="H77" s="10">
        <v>5044144</v>
      </c>
      <c r="I77" s="10">
        <v>71000000</v>
      </c>
      <c r="J77" s="10">
        <v>6372072</v>
      </c>
      <c r="K77" s="10">
        <f t="shared" si="0"/>
        <v>7901369.2800000003</v>
      </c>
      <c r="L77" s="11">
        <f t="shared" si="1"/>
        <v>0.11128689126760563</v>
      </c>
      <c r="M77" s="11">
        <f t="shared" si="2"/>
        <v>0.56644403490463402</v>
      </c>
    </row>
    <row r="78" spans="1:13" x14ac:dyDescent="0.3">
      <c r="A78" s="8" t="s">
        <v>100</v>
      </c>
      <c r="B78" s="9" t="s">
        <v>402</v>
      </c>
      <c r="C78" s="9" t="s">
        <v>16</v>
      </c>
      <c r="D78" s="9" t="s">
        <v>44</v>
      </c>
      <c r="E78" s="9" t="s">
        <v>616</v>
      </c>
      <c r="F78" s="9" t="s">
        <v>617</v>
      </c>
      <c r="G78" s="9" t="s">
        <v>622</v>
      </c>
      <c r="H78" s="10">
        <v>2251351</v>
      </c>
      <c r="I78" s="10">
        <v>71000000</v>
      </c>
      <c r="J78" s="10">
        <v>0</v>
      </c>
      <c r="K78" s="10">
        <f t="shared" si="0"/>
        <v>0</v>
      </c>
      <c r="L78" s="11">
        <f t="shared" si="1"/>
        <v>0</v>
      </c>
      <c r="M78" s="11">
        <f t="shared" si="2"/>
        <v>-1</v>
      </c>
    </row>
    <row r="79" spans="1:13" x14ac:dyDescent="0.3">
      <c r="A79" s="8" t="s">
        <v>56</v>
      </c>
      <c r="B79" s="9" t="s">
        <v>360</v>
      </c>
      <c r="C79" s="9" t="s">
        <v>16</v>
      </c>
      <c r="D79" s="9" t="s">
        <v>44</v>
      </c>
      <c r="E79" s="9" t="s">
        <v>616</v>
      </c>
      <c r="F79" s="9" t="s">
        <v>617</v>
      </c>
      <c r="G79" s="9" t="s">
        <v>622</v>
      </c>
      <c r="H79" s="10">
        <v>209818903</v>
      </c>
      <c r="I79" s="10">
        <v>226639635</v>
      </c>
      <c r="J79" s="10">
        <v>118008108</v>
      </c>
      <c r="K79" s="10">
        <f t="shared" si="0"/>
        <v>146330053.92000002</v>
      </c>
      <c r="L79" s="11">
        <f t="shared" si="1"/>
        <v>0.64565076589538284</v>
      </c>
      <c r="M79" s="11">
        <f t="shared" si="2"/>
        <v>-0.30258879525263738</v>
      </c>
    </row>
    <row r="80" spans="1:13" x14ac:dyDescent="0.3">
      <c r="A80" s="8" t="s">
        <v>124</v>
      </c>
      <c r="B80" s="9" t="s">
        <v>422</v>
      </c>
      <c r="C80" s="9" t="s">
        <v>16</v>
      </c>
      <c r="D80" s="9" t="s">
        <v>38</v>
      </c>
      <c r="E80" s="9" t="s">
        <v>616</v>
      </c>
      <c r="F80" s="9" t="s">
        <v>617</v>
      </c>
      <c r="G80" s="9" t="s">
        <v>621</v>
      </c>
      <c r="H80" s="10">
        <v>125740544</v>
      </c>
      <c r="I80" s="10">
        <v>233166294</v>
      </c>
      <c r="J80" s="10">
        <v>72506307</v>
      </c>
      <c r="K80" s="10">
        <f t="shared" si="0"/>
        <v>89907820.679999992</v>
      </c>
      <c r="L80" s="11">
        <f t="shared" si="1"/>
        <v>0.38559527253111459</v>
      </c>
      <c r="M80" s="11">
        <f t="shared" si="2"/>
        <v>-0.28497350321627374</v>
      </c>
    </row>
    <row r="81" spans="1:13" x14ac:dyDescent="0.3">
      <c r="A81" s="8" t="s">
        <v>68</v>
      </c>
      <c r="B81" s="9" t="s">
        <v>370</v>
      </c>
      <c r="C81" s="9" t="s">
        <v>16</v>
      </c>
      <c r="D81" s="9" t="s">
        <v>38</v>
      </c>
      <c r="E81" s="9" t="s">
        <v>616</v>
      </c>
      <c r="F81" s="9" t="s">
        <v>617</v>
      </c>
      <c r="G81" s="9" t="s">
        <v>622</v>
      </c>
      <c r="H81" s="10">
        <v>44285587</v>
      </c>
      <c r="I81" s="10">
        <v>71000000</v>
      </c>
      <c r="J81" s="10">
        <v>22009099</v>
      </c>
      <c r="K81" s="10">
        <f t="shared" si="0"/>
        <v>27291282.759999998</v>
      </c>
      <c r="L81" s="11">
        <f t="shared" si="1"/>
        <v>0.3843842642253521</v>
      </c>
      <c r="M81" s="11">
        <f t="shared" si="2"/>
        <v>-0.38374345675941929</v>
      </c>
    </row>
    <row r="82" spans="1:13" x14ac:dyDescent="0.3">
      <c r="A82" s="8" t="s">
        <v>78</v>
      </c>
      <c r="B82" s="9" t="s">
        <v>380</v>
      </c>
      <c r="C82" s="9" t="s">
        <v>16</v>
      </c>
      <c r="D82" s="9" t="s">
        <v>38</v>
      </c>
      <c r="E82" s="9" t="s">
        <v>616</v>
      </c>
      <c r="F82" s="9" t="s">
        <v>617</v>
      </c>
      <c r="G82" s="9" t="s">
        <v>621</v>
      </c>
      <c r="H82" s="10">
        <v>35400900</v>
      </c>
      <c r="I82" s="10">
        <v>140165915</v>
      </c>
      <c r="J82" s="10">
        <v>100871180</v>
      </c>
      <c r="K82" s="10">
        <f t="shared" si="0"/>
        <v>125080263.2</v>
      </c>
      <c r="L82" s="11">
        <f t="shared" si="1"/>
        <v>0.89237289393787356</v>
      </c>
      <c r="M82" s="11">
        <f t="shared" si="2"/>
        <v>2.5332509399478544</v>
      </c>
    </row>
    <row r="83" spans="1:13" x14ac:dyDescent="0.3">
      <c r="A83" s="8" t="s">
        <v>114</v>
      </c>
      <c r="B83" s="9" t="s">
        <v>416</v>
      </c>
      <c r="C83" s="9" t="s">
        <v>16</v>
      </c>
      <c r="D83" s="9" t="s">
        <v>38</v>
      </c>
      <c r="E83" s="9" t="s">
        <v>616</v>
      </c>
      <c r="F83" s="9" t="s">
        <v>617</v>
      </c>
      <c r="G83" s="9" t="s">
        <v>621</v>
      </c>
      <c r="H83" s="10">
        <v>72904510</v>
      </c>
      <c r="I83" s="10">
        <v>96014269</v>
      </c>
      <c r="J83" s="10">
        <v>8444144</v>
      </c>
      <c r="K83" s="10">
        <f t="shared" si="0"/>
        <v>10470738.560000001</v>
      </c>
      <c r="L83" s="11">
        <f t="shared" si="1"/>
        <v>0.10905398404897505</v>
      </c>
      <c r="M83" s="11">
        <f t="shared" si="2"/>
        <v>-0.85637735498119383</v>
      </c>
    </row>
    <row r="84" spans="1:13" x14ac:dyDescent="0.3">
      <c r="A84" s="8" t="s">
        <v>109</v>
      </c>
      <c r="B84" s="9" t="s">
        <v>411</v>
      </c>
      <c r="C84" s="9" t="s">
        <v>16</v>
      </c>
      <c r="D84" s="9" t="s">
        <v>38</v>
      </c>
      <c r="E84" s="9" t="s">
        <v>616</v>
      </c>
      <c r="F84" s="9" t="s">
        <v>617</v>
      </c>
      <c r="G84" s="9" t="s">
        <v>621</v>
      </c>
      <c r="H84" s="10">
        <v>59528831</v>
      </c>
      <c r="I84" s="10">
        <v>91137766</v>
      </c>
      <c r="J84" s="10">
        <v>46980180</v>
      </c>
      <c r="K84" s="10">
        <f t="shared" si="0"/>
        <v>58255423.199999996</v>
      </c>
      <c r="L84" s="11">
        <f t="shared" si="1"/>
        <v>0.63920179039718827</v>
      </c>
      <c r="M84" s="11">
        <f t="shared" si="2"/>
        <v>-2.13914464404652E-2</v>
      </c>
    </row>
    <row r="85" spans="1:13" x14ac:dyDescent="0.3">
      <c r="A85" s="8" t="s">
        <v>95</v>
      </c>
      <c r="B85" s="9" t="s">
        <v>397</v>
      </c>
      <c r="C85" s="9" t="s">
        <v>16</v>
      </c>
      <c r="D85" s="9" t="s">
        <v>38</v>
      </c>
      <c r="E85" s="9" t="s">
        <v>616</v>
      </c>
      <c r="F85" s="9" t="s">
        <v>617</v>
      </c>
      <c r="G85" s="9" t="s">
        <v>621</v>
      </c>
      <c r="H85" s="10">
        <v>37849550</v>
      </c>
      <c r="I85" s="10">
        <v>81820573</v>
      </c>
      <c r="J85" s="10">
        <v>2611712</v>
      </c>
      <c r="K85" s="10">
        <f t="shared" si="0"/>
        <v>3238522.8799999999</v>
      </c>
      <c r="L85" s="11">
        <f t="shared" si="1"/>
        <v>3.9580789540547459E-2</v>
      </c>
      <c r="M85" s="11">
        <f t="shared" si="2"/>
        <v>-0.91443695156217175</v>
      </c>
    </row>
    <row r="86" spans="1:13" x14ac:dyDescent="0.3">
      <c r="A86" s="8" t="s">
        <v>142</v>
      </c>
      <c r="B86" s="9" t="s">
        <v>432</v>
      </c>
      <c r="C86" s="9" t="s">
        <v>16</v>
      </c>
      <c r="D86" s="9" t="s">
        <v>38</v>
      </c>
      <c r="E86" s="9" t="s">
        <v>616</v>
      </c>
      <c r="F86" s="9" t="s">
        <v>624</v>
      </c>
      <c r="G86" s="9" t="s">
        <v>621</v>
      </c>
      <c r="H86" s="10">
        <v>0</v>
      </c>
      <c r="I86" s="10">
        <v>71000000</v>
      </c>
      <c r="J86" s="10">
        <v>0</v>
      </c>
      <c r="K86" s="10">
        <f t="shared" si="0"/>
        <v>0</v>
      </c>
      <c r="L86" s="11">
        <f t="shared" si="1"/>
        <v>0</v>
      </c>
      <c r="M86" s="11">
        <f t="shared" si="2"/>
        <v>0</v>
      </c>
    </row>
    <row r="87" spans="1:13" x14ac:dyDescent="0.3">
      <c r="A87" s="8" t="s">
        <v>261</v>
      </c>
      <c r="B87" s="9" t="s">
        <v>550</v>
      </c>
      <c r="C87" s="9" t="s">
        <v>16</v>
      </c>
      <c r="D87" s="9" t="s">
        <v>38</v>
      </c>
      <c r="E87" s="9" t="s">
        <v>630</v>
      </c>
      <c r="F87" s="9" t="s">
        <v>617</v>
      </c>
      <c r="G87" s="9" t="s">
        <v>621</v>
      </c>
      <c r="H87" s="10">
        <v>45650458</v>
      </c>
      <c r="I87" s="10">
        <v>71000000</v>
      </c>
      <c r="J87" s="10">
        <v>2071171</v>
      </c>
      <c r="K87" s="10">
        <f t="shared" si="0"/>
        <v>2568252.04</v>
      </c>
      <c r="L87" s="11">
        <f t="shared" si="1"/>
        <v>3.6172563943661973E-2</v>
      </c>
      <c r="M87" s="11">
        <f t="shared" si="2"/>
        <v>-0.94374093596169395</v>
      </c>
    </row>
    <row r="88" spans="1:13" x14ac:dyDescent="0.3">
      <c r="A88" s="8" t="s">
        <v>269</v>
      </c>
      <c r="B88" s="9" t="s">
        <v>558</v>
      </c>
      <c r="C88" s="9" t="s">
        <v>16</v>
      </c>
      <c r="D88" s="9" t="s">
        <v>38</v>
      </c>
      <c r="E88" s="9" t="s">
        <v>631</v>
      </c>
      <c r="F88" s="9" t="s">
        <v>624</v>
      </c>
      <c r="G88" s="9" t="s">
        <v>621</v>
      </c>
      <c r="H88" s="10">
        <v>0</v>
      </c>
      <c r="I88" s="10">
        <v>71000000</v>
      </c>
      <c r="J88" s="10">
        <v>0</v>
      </c>
      <c r="K88" s="10">
        <f t="shared" si="0"/>
        <v>0</v>
      </c>
      <c r="L88" s="11">
        <f t="shared" si="1"/>
        <v>0</v>
      </c>
      <c r="M88" s="11">
        <f t="shared" si="2"/>
        <v>0</v>
      </c>
    </row>
    <row r="89" spans="1:13" x14ac:dyDescent="0.3">
      <c r="A89" s="8" t="s">
        <v>37</v>
      </c>
      <c r="B89" s="9" t="s">
        <v>345</v>
      </c>
      <c r="C89" s="9" t="s">
        <v>16</v>
      </c>
      <c r="D89" s="9" t="s">
        <v>38</v>
      </c>
      <c r="E89" s="9" t="s">
        <v>616</v>
      </c>
      <c r="F89" s="9" t="s">
        <v>617</v>
      </c>
      <c r="G89" s="9" t="s">
        <v>621</v>
      </c>
      <c r="H89" s="10">
        <v>536431539</v>
      </c>
      <c r="I89" s="10">
        <v>586192575</v>
      </c>
      <c r="J89" s="10">
        <v>381690995</v>
      </c>
      <c r="K89" s="10">
        <f t="shared" si="0"/>
        <v>473296833.80000001</v>
      </c>
      <c r="L89" s="11">
        <f t="shared" si="1"/>
        <v>0.80740844218301466</v>
      </c>
      <c r="M89" s="11">
        <f t="shared" si="2"/>
        <v>-0.11769387258194001</v>
      </c>
    </row>
    <row r="90" spans="1:13" x14ac:dyDescent="0.3">
      <c r="A90" s="8" t="s">
        <v>39</v>
      </c>
      <c r="B90" s="9" t="s">
        <v>346</v>
      </c>
      <c r="C90" s="9" t="s">
        <v>16</v>
      </c>
      <c r="D90" s="9" t="s">
        <v>38</v>
      </c>
      <c r="E90" s="9" t="s">
        <v>616</v>
      </c>
      <c r="F90" s="9" t="s">
        <v>617</v>
      </c>
      <c r="G90" s="9" t="s">
        <v>621</v>
      </c>
      <c r="H90" s="10">
        <v>244577486</v>
      </c>
      <c r="I90" s="10">
        <v>357762016</v>
      </c>
      <c r="J90" s="10">
        <v>280119823</v>
      </c>
      <c r="K90" s="10">
        <f t="shared" si="0"/>
        <v>347348580.51999998</v>
      </c>
      <c r="L90" s="11">
        <f t="shared" si="1"/>
        <v>0.97089284212888594</v>
      </c>
      <c r="M90" s="11">
        <f t="shared" si="2"/>
        <v>0.42019850723300012</v>
      </c>
    </row>
    <row r="91" spans="1:13" x14ac:dyDescent="0.3">
      <c r="A91" s="8" t="s">
        <v>204</v>
      </c>
      <c r="B91" s="9" t="s">
        <v>494</v>
      </c>
      <c r="C91" s="9" t="s">
        <v>16</v>
      </c>
      <c r="D91" s="9" t="s">
        <v>38</v>
      </c>
      <c r="E91" s="9" t="s">
        <v>616</v>
      </c>
      <c r="F91" s="9" t="s">
        <v>617</v>
      </c>
      <c r="G91" s="9" t="s">
        <v>621</v>
      </c>
      <c r="H91" s="10">
        <v>40707209</v>
      </c>
      <c r="I91" s="10">
        <v>71000000</v>
      </c>
      <c r="J91" s="10">
        <v>1710811</v>
      </c>
      <c r="K91" s="10">
        <f t="shared" si="0"/>
        <v>2121405.64</v>
      </c>
      <c r="L91" s="11">
        <f t="shared" si="1"/>
        <v>2.987895267605634E-2</v>
      </c>
      <c r="M91" s="11">
        <f t="shared" si="2"/>
        <v>-0.94788624196760818</v>
      </c>
    </row>
    <row r="92" spans="1:13" x14ac:dyDescent="0.3">
      <c r="A92" s="8" t="s">
        <v>45</v>
      </c>
      <c r="B92" s="9" t="s">
        <v>349</v>
      </c>
      <c r="C92" s="9" t="s">
        <v>16</v>
      </c>
      <c r="D92" s="9" t="s">
        <v>34</v>
      </c>
      <c r="E92" s="9" t="s">
        <v>616</v>
      </c>
      <c r="F92" s="9" t="s">
        <v>617</v>
      </c>
      <c r="G92" s="9" t="s">
        <v>621</v>
      </c>
      <c r="H92" s="10">
        <v>192704507</v>
      </c>
      <c r="I92" s="10">
        <v>240131383</v>
      </c>
      <c r="J92" s="10">
        <v>197498199</v>
      </c>
      <c r="K92" s="10">
        <f t="shared" si="0"/>
        <v>244897766.75999999</v>
      </c>
      <c r="L92" s="11">
        <f t="shared" si="1"/>
        <v>1.0198490663754682</v>
      </c>
      <c r="M92" s="11">
        <f t="shared" si="2"/>
        <v>0.2708460770977193</v>
      </c>
    </row>
    <row r="93" spans="1:13" x14ac:dyDescent="0.3">
      <c r="A93" s="8" t="s">
        <v>164</v>
      </c>
      <c r="B93" s="9" t="s">
        <v>454</v>
      </c>
      <c r="C93" s="9" t="s">
        <v>16</v>
      </c>
      <c r="D93" s="9" t="s">
        <v>34</v>
      </c>
      <c r="E93" s="9" t="s">
        <v>616</v>
      </c>
      <c r="F93" s="9" t="s">
        <v>617</v>
      </c>
      <c r="G93" s="9" t="s">
        <v>621</v>
      </c>
      <c r="H93" s="10">
        <v>2611712</v>
      </c>
      <c r="I93" s="10">
        <v>71000000</v>
      </c>
      <c r="J93" s="10">
        <v>22111712</v>
      </c>
      <c r="K93" s="10">
        <f t="shared" si="0"/>
        <v>27418522.879999999</v>
      </c>
      <c r="L93" s="11">
        <f t="shared" si="1"/>
        <v>0.3861763785915493</v>
      </c>
      <c r="M93" s="11">
        <f t="shared" si="2"/>
        <v>9.4982949421682026</v>
      </c>
    </row>
    <row r="94" spans="1:13" x14ac:dyDescent="0.3">
      <c r="A94" s="8" t="s">
        <v>29</v>
      </c>
      <c r="B94" s="9" t="s">
        <v>341</v>
      </c>
      <c r="C94" s="9" t="s">
        <v>16</v>
      </c>
      <c r="D94" s="9" t="s">
        <v>34</v>
      </c>
      <c r="E94" s="9" t="s">
        <v>616</v>
      </c>
      <c r="F94" s="9" t="s">
        <v>617</v>
      </c>
      <c r="G94" s="9" t="s">
        <v>621</v>
      </c>
      <c r="H94" s="10">
        <v>261999991</v>
      </c>
      <c r="I94" s="10">
        <v>284307059</v>
      </c>
      <c r="J94" s="10">
        <v>133407209</v>
      </c>
      <c r="K94" s="10">
        <f t="shared" si="0"/>
        <v>165424939.16</v>
      </c>
      <c r="L94" s="11">
        <f t="shared" si="1"/>
        <v>0.58185308427392934</v>
      </c>
      <c r="M94" s="11">
        <f t="shared" si="2"/>
        <v>-0.36860708075367837</v>
      </c>
    </row>
    <row r="95" spans="1:13" x14ac:dyDescent="0.3">
      <c r="A95" s="8" t="s">
        <v>262</v>
      </c>
      <c r="B95" s="9" t="s">
        <v>551</v>
      </c>
      <c r="C95" s="9" t="s">
        <v>16</v>
      </c>
      <c r="D95" s="9" t="s">
        <v>34</v>
      </c>
      <c r="E95" s="9" t="s">
        <v>631</v>
      </c>
      <c r="F95" s="9" t="s">
        <v>624</v>
      </c>
      <c r="G95" s="9" t="s">
        <v>621</v>
      </c>
      <c r="H95" s="10">
        <v>11889190</v>
      </c>
      <c r="I95" s="10">
        <v>73517268</v>
      </c>
      <c r="J95" s="10">
        <v>0</v>
      </c>
      <c r="K95" s="10">
        <f t="shared" si="0"/>
        <v>0</v>
      </c>
      <c r="L95" s="11">
        <f t="shared" si="1"/>
        <v>0</v>
      </c>
      <c r="M95" s="11">
        <f t="shared" si="2"/>
        <v>-1</v>
      </c>
    </row>
    <row r="96" spans="1:13" x14ac:dyDescent="0.3">
      <c r="A96" s="8" t="s">
        <v>74</v>
      </c>
      <c r="B96" s="9" t="s">
        <v>376</v>
      </c>
      <c r="C96" s="9" t="s">
        <v>16</v>
      </c>
      <c r="D96" s="9" t="s">
        <v>34</v>
      </c>
      <c r="E96" s="9" t="s">
        <v>616</v>
      </c>
      <c r="F96" s="9" t="s">
        <v>617</v>
      </c>
      <c r="G96" s="9" t="s">
        <v>621</v>
      </c>
      <c r="H96" s="10">
        <v>60094596</v>
      </c>
      <c r="I96" s="10">
        <v>97604733</v>
      </c>
      <c r="J96" s="10">
        <v>47565766</v>
      </c>
      <c r="K96" s="10">
        <f t="shared" si="0"/>
        <v>58981549.839999996</v>
      </c>
      <c r="L96" s="11">
        <f t="shared" si="1"/>
        <v>0.60428985385370604</v>
      </c>
      <c r="M96" s="11">
        <f t="shared" si="2"/>
        <v>-1.852156822886377E-2</v>
      </c>
    </row>
    <row r="97" spans="1:13" x14ac:dyDescent="0.3">
      <c r="A97" s="8" t="s">
        <v>92</v>
      </c>
      <c r="B97" s="9" t="s">
        <v>394</v>
      </c>
      <c r="C97" s="9" t="s">
        <v>16</v>
      </c>
      <c r="D97" s="9" t="s">
        <v>34</v>
      </c>
      <c r="E97" s="9" t="s">
        <v>616</v>
      </c>
      <c r="F97" s="9" t="s">
        <v>617</v>
      </c>
      <c r="G97" s="9" t="s">
        <v>621</v>
      </c>
      <c r="H97" s="10">
        <v>48090092</v>
      </c>
      <c r="I97" s="10">
        <v>94836715</v>
      </c>
      <c r="J97" s="10">
        <v>54851352</v>
      </c>
      <c r="K97" s="10">
        <f t="shared" si="0"/>
        <v>68015676.480000004</v>
      </c>
      <c r="L97" s="11">
        <f t="shared" si="1"/>
        <v>0.71718718304403528</v>
      </c>
      <c r="M97" s="11">
        <f t="shared" si="2"/>
        <v>0.41433866418887294</v>
      </c>
    </row>
    <row r="98" spans="1:13" x14ac:dyDescent="0.3">
      <c r="A98" s="8" t="s">
        <v>88</v>
      </c>
      <c r="B98" s="9" t="s">
        <v>390</v>
      </c>
      <c r="C98" s="9" t="s">
        <v>16</v>
      </c>
      <c r="D98" s="9" t="s">
        <v>34</v>
      </c>
      <c r="E98" s="9" t="s">
        <v>616</v>
      </c>
      <c r="F98" s="9" t="s">
        <v>617</v>
      </c>
      <c r="G98" s="9" t="s">
        <v>621</v>
      </c>
      <c r="H98" s="10">
        <v>79479279</v>
      </c>
      <c r="I98" s="10">
        <v>109988738</v>
      </c>
      <c r="J98" s="10">
        <v>59847747</v>
      </c>
      <c r="K98" s="10">
        <f t="shared" si="0"/>
        <v>74211206.280000001</v>
      </c>
      <c r="L98" s="11">
        <f t="shared" si="1"/>
        <v>0.67471640851084225</v>
      </c>
      <c r="M98" s="11">
        <f t="shared" si="2"/>
        <v>-6.6282341589938162E-2</v>
      </c>
    </row>
    <row r="99" spans="1:13" x14ac:dyDescent="0.3">
      <c r="A99" s="8" t="s">
        <v>85</v>
      </c>
      <c r="B99" s="9" t="s">
        <v>387</v>
      </c>
      <c r="C99" s="9" t="s">
        <v>16</v>
      </c>
      <c r="D99" s="9" t="s">
        <v>34</v>
      </c>
      <c r="E99" s="9" t="s">
        <v>616</v>
      </c>
      <c r="F99" s="9" t="s">
        <v>617</v>
      </c>
      <c r="G99" s="9" t="s">
        <v>621</v>
      </c>
      <c r="H99" s="10">
        <v>27364866</v>
      </c>
      <c r="I99" s="10">
        <v>83417794</v>
      </c>
      <c r="J99" s="10">
        <v>23698197</v>
      </c>
      <c r="K99" s="10">
        <f t="shared" si="0"/>
        <v>29385764.280000001</v>
      </c>
      <c r="L99" s="11">
        <f t="shared" si="1"/>
        <v>0.3522721336888866</v>
      </c>
      <c r="M99" s="11">
        <f t="shared" si="2"/>
        <v>7.3850106921773392E-2</v>
      </c>
    </row>
    <row r="100" spans="1:13" x14ac:dyDescent="0.3">
      <c r="A100" s="8" t="s">
        <v>107</v>
      </c>
      <c r="B100" s="9" t="s">
        <v>409</v>
      </c>
      <c r="C100" s="9" t="s">
        <v>16</v>
      </c>
      <c r="D100" s="9" t="s">
        <v>34</v>
      </c>
      <c r="E100" s="9" t="s">
        <v>616</v>
      </c>
      <c r="F100" s="9" t="s">
        <v>617</v>
      </c>
      <c r="G100" s="9" t="s">
        <v>621</v>
      </c>
      <c r="H100" s="10">
        <v>16934235</v>
      </c>
      <c r="I100" s="10">
        <v>71000000</v>
      </c>
      <c r="J100" s="10">
        <v>4772973</v>
      </c>
      <c r="K100" s="10">
        <f t="shared" si="0"/>
        <v>5918486.5200000005</v>
      </c>
      <c r="L100" s="11">
        <f t="shared" si="1"/>
        <v>8.3358965070422536E-2</v>
      </c>
      <c r="M100" s="11">
        <f t="shared" si="2"/>
        <v>-0.65050168962459776</v>
      </c>
    </row>
    <row r="101" spans="1:13" x14ac:dyDescent="0.3">
      <c r="A101" s="8" t="s">
        <v>111</v>
      </c>
      <c r="B101" s="9" t="s">
        <v>413</v>
      </c>
      <c r="C101" s="9" t="s">
        <v>16</v>
      </c>
      <c r="D101" s="9" t="s">
        <v>34</v>
      </c>
      <c r="E101" s="9" t="s">
        <v>616</v>
      </c>
      <c r="F101" s="9" t="s">
        <v>617</v>
      </c>
      <c r="G101" s="9" t="s">
        <v>621</v>
      </c>
      <c r="H101" s="10">
        <v>99473875</v>
      </c>
      <c r="I101" s="10">
        <v>144860736</v>
      </c>
      <c r="J101" s="10">
        <v>26478379</v>
      </c>
      <c r="K101" s="10">
        <f t="shared" si="0"/>
        <v>32833189.959999997</v>
      </c>
      <c r="L101" s="11">
        <f t="shared" si="1"/>
        <v>0.22665348020874337</v>
      </c>
      <c r="M101" s="11">
        <f t="shared" si="2"/>
        <v>-0.66993152764984787</v>
      </c>
    </row>
    <row r="102" spans="1:13" x14ac:dyDescent="0.3">
      <c r="A102" s="8" t="s">
        <v>90</v>
      </c>
      <c r="B102" s="9" t="s">
        <v>392</v>
      </c>
      <c r="C102" s="9" t="s">
        <v>16</v>
      </c>
      <c r="D102" s="9" t="s">
        <v>34</v>
      </c>
      <c r="E102" s="9" t="s">
        <v>616</v>
      </c>
      <c r="F102" s="9" t="s">
        <v>617</v>
      </c>
      <c r="G102" s="9" t="s">
        <v>621</v>
      </c>
      <c r="H102" s="10">
        <v>34990989</v>
      </c>
      <c r="I102" s="10">
        <v>83228228</v>
      </c>
      <c r="J102" s="10">
        <v>37447746</v>
      </c>
      <c r="K102" s="10">
        <f t="shared" si="0"/>
        <v>46435205.039999999</v>
      </c>
      <c r="L102" s="11">
        <f t="shared" si="1"/>
        <v>0.55792615265099721</v>
      </c>
      <c r="M102" s="11">
        <f t="shared" si="2"/>
        <v>0.32706180554084935</v>
      </c>
    </row>
    <row r="103" spans="1:13" x14ac:dyDescent="0.3">
      <c r="A103" s="8" t="s">
        <v>35</v>
      </c>
      <c r="B103" s="9" t="s">
        <v>344</v>
      </c>
      <c r="C103" s="9" t="s">
        <v>16</v>
      </c>
      <c r="D103" s="9" t="s">
        <v>34</v>
      </c>
      <c r="E103" s="9" t="s">
        <v>616</v>
      </c>
      <c r="F103" s="9" t="s">
        <v>617</v>
      </c>
      <c r="G103" s="9" t="s">
        <v>621</v>
      </c>
      <c r="H103" s="10">
        <v>87828820</v>
      </c>
      <c r="I103" s="10">
        <v>103637386</v>
      </c>
      <c r="J103" s="10">
        <v>60791894</v>
      </c>
      <c r="K103" s="10">
        <f t="shared" si="0"/>
        <v>75381948.559999987</v>
      </c>
      <c r="L103" s="11">
        <f t="shared" si="1"/>
        <v>0.72736250372042366</v>
      </c>
      <c r="M103" s="11">
        <f t="shared" si="2"/>
        <v>-0.14171739344784562</v>
      </c>
    </row>
    <row r="104" spans="1:13" x14ac:dyDescent="0.3">
      <c r="A104" s="8" t="s">
        <v>106</v>
      </c>
      <c r="B104" s="9" t="s">
        <v>408</v>
      </c>
      <c r="C104" s="9" t="s">
        <v>16</v>
      </c>
      <c r="D104" s="9" t="s">
        <v>34</v>
      </c>
      <c r="E104" s="9" t="s">
        <v>616</v>
      </c>
      <c r="F104" s="9" t="s">
        <v>617</v>
      </c>
      <c r="G104" s="9" t="s">
        <v>621</v>
      </c>
      <c r="H104" s="10">
        <v>20265766</v>
      </c>
      <c r="I104" s="10">
        <v>71000000</v>
      </c>
      <c r="J104" s="10">
        <v>27922523</v>
      </c>
      <c r="K104" s="10">
        <f t="shared" si="0"/>
        <v>34623928.519999996</v>
      </c>
      <c r="L104" s="11">
        <f t="shared" si="1"/>
        <v>0.4876609650704225</v>
      </c>
      <c r="M104" s="11">
        <f t="shared" si="2"/>
        <v>0.70849345245573225</v>
      </c>
    </row>
    <row r="105" spans="1:13" x14ac:dyDescent="0.3">
      <c r="A105" s="8" t="s">
        <v>115</v>
      </c>
      <c r="B105" s="9" t="s">
        <v>417</v>
      </c>
      <c r="C105" s="9" t="s">
        <v>16</v>
      </c>
      <c r="D105" s="9" t="s">
        <v>34</v>
      </c>
      <c r="E105" s="9" t="s">
        <v>616</v>
      </c>
      <c r="F105" s="9" t="s">
        <v>617</v>
      </c>
      <c r="G105" s="9" t="s">
        <v>621</v>
      </c>
      <c r="H105" s="10">
        <v>13509910</v>
      </c>
      <c r="I105" s="10">
        <v>71000000</v>
      </c>
      <c r="J105" s="10">
        <v>12204504</v>
      </c>
      <c r="K105" s="10">
        <f t="shared" si="0"/>
        <v>15133584.959999999</v>
      </c>
      <c r="L105" s="11">
        <f t="shared" si="1"/>
        <v>0.21314908394366197</v>
      </c>
      <c r="M105" s="11">
        <f t="shared" si="2"/>
        <v>0.12018399530418775</v>
      </c>
    </row>
    <row r="106" spans="1:13" x14ac:dyDescent="0.3">
      <c r="A106" s="8" t="s">
        <v>166</v>
      </c>
      <c r="B106" s="9" t="s">
        <v>456</v>
      </c>
      <c r="C106" s="9" t="s">
        <v>16</v>
      </c>
      <c r="D106" s="9" t="s">
        <v>34</v>
      </c>
      <c r="E106" s="9" t="s">
        <v>616</v>
      </c>
      <c r="F106" s="9" t="s">
        <v>617</v>
      </c>
      <c r="G106" s="9" t="s">
        <v>621</v>
      </c>
      <c r="H106" s="10">
        <v>24236937</v>
      </c>
      <c r="I106" s="10">
        <v>71000000</v>
      </c>
      <c r="J106" s="10">
        <v>15130630</v>
      </c>
      <c r="K106" s="10">
        <f t="shared" si="0"/>
        <v>18761981.199999999</v>
      </c>
      <c r="L106" s="11">
        <f t="shared" si="1"/>
        <v>0.26425325633802815</v>
      </c>
      <c r="M106" s="11">
        <f t="shared" si="2"/>
        <v>-0.22589305736116741</v>
      </c>
    </row>
    <row r="107" spans="1:13" x14ac:dyDescent="0.3">
      <c r="A107" s="8" t="s">
        <v>13</v>
      </c>
      <c r="B107" s="9" t="s">
        <v>332</v>
      </c>
      <c r="C107" s="9" t="s">
        <v>16</v>
      </c>
      <c r="D107" s="9" t="s">
        <v>22</v>
      </c>
      <c r="E107" s="9" t="s">
        <v>616</v>
      </c>
      <c r="F107" s="9" t="s">
        <v>617</v>
      </c>
      <c r="G107" s="9" t="s">
        <v>618</v>
      </c>
      <c r="H107" s="10">
        <v>402278367</v>
      </c>
      <c r="I107" s="10">
        <v>608775893</v>
      </c>
      <c r="J107" s="10">
        <v>269386493</v>
      </c>
      <c r="K107" s="10">
        <f t="shared" si="0"/>
        <v>334039251.31999999</v>
      </c>
      <c r="L107" s="11">
        <f t="shared" si="1"/>
        <v>0.54870643723075285</v>
      </c>
      <c r="M107" s="11">
        <f t="shared" si="2"/>
        <v>-0.16963158170521261</v>
      </c>
    </row>
    <row r="108" spans="1:13" x14ac:dyDescent="0.3">
      <c r="A108" s="8" t="s">
        <v>270</v>
      </c>
      <c r="B108" s="9" t="s">
        <v>559</v>
      </c>
      <c r="C108" s="9" t="s">
        <v>16</v>
      </c>
      <c r="D108" s="9" t="s">
        <v>22</v>
      </c>
      <c r="E108" s="9" t="s">
        <v>631</v>
      </c>
      <c r="F108" s="9" t="s">
        <v>624</v>
      </c>
      <c r="G108" s="9" t="s">
        <v>618</v>
      </c>
      <c r="H108" s="10">
        <v>4413514</v>
      </c>
      <c r="I108" s="10">
        <v>71000000</v>
      </c>
      <c r="J108" s="10">
        <v>0</v>
      </c>
      <c r="K108" s="10">
        <f t="shared" si="0"/>
        <v>0</v>
      </c>
      <c r="L108" s="11">
        <f t="shared" si="1"/>
        <v>0</v>
      </c>
      <c r="M108" s="11">
        <f t="shared" si="2"/>
        <v>-1</v>
      </c>
    </row>
    <row r="109" spans="1:13" x14ac:dyDescent="0.3">
      <c r="A109" s="8" t="s">
        <v>46</v>
      </c>
      <c r="B109" s="9" t="s">
        <v>350</v>
      </c>
      <c r="C109" s="9" t="s">
        <v>16</v>
      </c>
      <c r="D109" s="9" t="s">
        <v>22</v>
      </c>
      <c r="E109" s="9" t="s">
        <v>616</v>
      </c>
      <c r="F109" s="9" t="s">
        <v>617</v>
      </c>
      <c r="G109" s="9" t="s">
        <v>618</v>
      </c>
      <c r="H109" s="10">
        <v>271940522</v>
      </c>
      <c r="I109" s="10">
        <v>223737608</v>
      </c>
      <c r="J109" s="10">
        <v>83491895</v>
      </c>
      <c r="K109" s="10">
        <f t="shared" si="0"/>
        <v>103529949.8</v>
      </c>
      <c r="L109" s="11">
        <f t="shared" si="1"/>
        <v>0.46272931370572262</v>
      </c>
      <c r="M109" s="11">
        <f t="shared" si="2"/>
        <v>-0.6192919354622699</v>
      </c>
    </row>
    <row r="110" spans="1:13" x14ac:dyDescent="0.3">
      <c r="A110" s="8" t="s">
        <v>98</v>
      </c>
      <c r="B110" s="9" t="s">
        <v>400</v>
      </c>
      <c r="C110" s="9" t="s">
        <v>16</v>
      </c>
      <c r="D110" s="9" t="s">
        <v>22</v>
      </c>
      <c r="E110" s="9" t="s">
        <v>616</v>
      </c>
      <c r="F110" s="9" t="s">
        <v>617</v>
      </c>
      <c r="G110" s="9" t="s">
        <v>618</v>
      </c>
      <c r="H110" s="10">
        <v>97248652</v>
      </c>
      <c r="I110" s="10">
        <v>112536040</v>
      </c>
      <c r="J110" s="10">
        <v>61045946</v>
      </c>
      <c r="K110" s="10">
        <f t="shared" si="0"/>
        <v>75696973.039999992</v>
      </c>
      <c r="L110" s="11">
        <f t="shared" si="1"/>
        <v>0.67264649653568753</v>
      </c>
      <c r="M110" s="11">
        <f t="shared" si="2"/>
        <v>-0.22161416653878152</v>
      </c>
    </row>
    <row r="111" spans="1:13" x14ac:dyDescent="0.3">
      <c r="A111" s="8" t="s">
        <v>63</v>
      </c>
      <c r="B111" s="9" t="s">
        <v>365</v>
      </c>
      <c r="C111" s="9" t="s">
        <v>16</v>
      </c>
      <c r="D111" s="9" t="s">
        <v>22</v>
      </c>
      <c r="E111" s="9" t="s">
        <v>616</v>
      </c>
      <c r="F111" s="9" t="s">
        <v>617</v>
      </c>
      <c r="G111" s="9" t="s">
        <v>618</v>
      </c>
      <c r="H111" s="10">
        <v>66969372</v>
      </c>
      <c r="I111" s="10">
        <v>124161037</v>
      </c>
      <c r="J111" s="10">
        <v>31077477</v>
      </c>
      <c r="K111" s="10">
        <f t="shared" si="0"/>
        <v>38536071.480000004</v>
      </c>
      <c r="L111" s="11">
        <f t="shared" si="1"/>
        <v>0.31037169478537785</v>
      </c>
      <c r="M111" s="11">
        <f t="shared" si="2"/>
        <v>-0.42457170600315614</v>
      </c>
    </row>
    <row r="112" spans="1:13" x14ac:dyDescent="0.3">
      <c r="A112" s="8" t="s">
        <v>143</v>
      </c>
      <c r="B112" s="9" t="s">
        <v>433</v>
      </c>
      <c r="C112" s="9" t="s">
        <v>16</v>
      </c>
      <c r="D112" s="9" t="s">
        <v>22</v>
      </c>
      <c r="E112" s="9" t="s">
        <v>616</v>
      </c>
      <c r="F112" s="9" t="s">
        <v>617</v>
      </c>
      <c r="G112" s="9" t="s">
        <v>618</v>
      </c>
      <c r="H112" s="10">
        <v>96461262</v>
      </c>
      <c r="I112" s="10">
        <v>140966968</v>
      </c>
      <c r="J112" s="10">
        <v>36365766</v>
      </c>
      <c r="K112" s="10">
        <f t="shared" si="0"/>
        <v>45093549.839999996</v>
      </c>
      <c r="L112" s="11">
        <f t="shared" si="1"/>
        <v>0.31988735006345598</v>
      </c>
      <c r="M112" s="11">
        <f t="shared" si="2"/>
        <v>-0.53252166823195823</v>
      </c>
    </row>
    <row r="113" spans="1:13" x14ac:dyDescent="0.3">
      <c r="A113" s="8" t="s">
        <v>76</v>
      </c>
      <c r="B113" s="9" t="s">
        <v>378</v>
      </c>
      <c r="C113" s="9" t="s">
        <v>16</v>
      </c>
      <c r="D113" s="9" t="s">
        <v>22</v>
      </c>
      <c r="E113" s="9" t="s">
        <v>616</v>
      </c>
      <c r="F113" s="9" t="s">
        <v>617</v>
      </c>
      <c r="G113" s="9" t="s">
        <v>618</v>
      </c>
      <c r="H113" s="10">
        <v>109534227</v>
      </c>
      <c r="I113" s="10">
        <v>115546920</v>
      </c>
      <c r="J113" s="10">
        <v>24733333</v>
      </c>
      <c r="K113" s="10">
        <f t="shared" si="0"/>
        <v>30669332.919999998</v>
      </c>
      <c r="L113" s="11">
        <f t="shared" si="1"/>
        <v>0.26542752433383771</v>
      </c>
      <c r="M113" s="11">
        <f t="shared" si="2"/>
        <v>-0.72000228823452594</v>
      </c>
    </row>
    <row r="114" spans="1:13" x14ac:dyDescent="0.3">
      <c r="A114" s="8" t="s">
        <v>52</v>
      </c>
      <c r="B114" s="9" t="s">
        <v>356</v>
      </c>
      <c r="C114" s="9" t="s">
        <v>16</v>
      </c>
      <c r="D114" s="9" t="s">
        <v>40</v>
      </c>
      <c r="E114" s="9" t="s">
        <v>616</v>
      </c>
      <c r="F114" s="9" t="s">
        <v>617</v>
      </c>
      <c r="G114" s="9" t="s">
        <v>623</v>
      </c>
      <c r="H114" s="10">
        <v>92321622</v>
      </c>
      <c r="I114" s="10">
        <v>170906532</v>
      </c>
      <c r="J114" s="10">
        <v>51605408</v>
      </c>
      <c r="K114" s="10">
        <f t="shared" si="0"/>
        <v>63990705.920000002</v>
      </c>
      <c r="L114" s="11">
        <f t="shared" si="1"/>
        <v>0.37441931078444679</v>
      </c>
      <c r="M114" s="11">
        <f t="shared" si="2"/>
        <v>-0.30687194902186615</v>
      </c>
    </row>
    <row r="115" spans="1:13" x14ac:dyDescent="0.3">
      <c r="A115" s="8" t="s">
        <v>55</v>
      </c>
      <c r="B115" s="9" t="s">
        <v>359</v>
      </c>
      <c r="C115" s="9" t="s">
        <v>16</v>
      </c>
      <c r="D115" s="9" t="s">
        <v>40</v>
      </c>
      <c r="E115" s="9" t="s">
        <v>616</v>
      </c>
      <c r="F115" s="9" t="s">
        <v>617</v>
      </c>
      <c r="G115" s="9" t="s">
        <v>623</v>
      </c>
      <c r="H115" s="10">
        <v>215245943</v>
      </c>
      <c r="I115" s="10">
        <v>296141891</v>
      </c>
      <c r="J115" s="10">
        <v>67547748</v>
      </c>
      <c r="K115" s="10">
        <f t="shared" si="0"/>
        <v>83759207.519999996</v>
      </c>
      <c r="L115" s="11">
        <f t="shared" si="1"/>
        <v>0.28283471560597279</v>
      </c>
      <c r="M115" s="11">
        <f t="shared" si="2"/>
        <v>-0.61086742749897038</v>
      </c>
    </row>
    <row r="116" spans="1:13" x14ac:dyDescent="0.3">
      <c r="A116" s="8" t="s">
        <v>43</v>
      </c>
      <c r="B116" s="9" t="s">
        <v>348</v>
      </c>
      <c r="C116" s="9" t="s">
        <v>16</v>
      </c>
      <c r="D116" s="9" t="s">
        <v>40</v>
      </c>
      <c r="E116" s="9" t="s">
        <v>616</v>
      </c>
      <c r="F116" s="9" t="s">
        <v>617</v>
      </c>
      <c r="G116" s="9" t="s">
        <v>623</v>
      </c>
      <c r="H116" s="10">
        <v>213714417</v>
      </c>
      <c r="I116" s="10">
        <v>255603606</v>
      </c>
      <c r="J116" s="10">
        <v>79618920</v>
      </c>
      <c r="K116" s="10">
        <f t="shared" si="0"/>
        <v>98727460.799999997</v>
      </c>
      <c r="L116" s="11">
        <f t="shared" si="1"/>
        <v>0.38625222212240617</v>
      </c>
      <c r="M116" s="11">
        <f t="shared" si="2"/>
        <v>-0.53804023993383654</v>
      </c>
    </row>
    <row r="117" spans="1:13" x14ac:dyDescent="0.3">
      <c r="A117" s="8" t="s">
        <v>47</v>
      </c>
      <c r="B117" s="9" t="s">
        <v>351</v>
      </c>
      <c r="C117" s="9" t="s">
        <v>16</v>
      </c>
      <c r="D117" s="9" t="s">
        <v>40</v>
      </c>
      <c r="E117" s="9" t="s">
        <v>616</v>
      </c>
      <c r="F117" s="9" t="s">
        <v>617</v>
      </c>
      <c r="G117" s="9" t="s">
        <v>623</v>
      </c>
      <c r="H117" s="10">
        <v>226409909</v>
      </c>
      <c r="I117" s="10">
        <v>346465088</v>
      </c>
      <c r="J117" s="10">
        <v>170778374</v>
      </c>
      <c r="K117" s="10">
        <f t="shared" si="0"/>
        <v>211765183.75999999</v>
      </c>
      <c r="L117" s="11">
        <f t="shared" si="1"/>
        <v>0.61121651529864962</v>
      </c>
      <c r="M117" s="11">
        <f t="shared" si="2"/>
        <v>-6.4682351159816104E-2</v>
      </c>
    </row>
    <row r="118" spans="1:13" x14ac:dyDescent="0.3">
      <c r="A118" s="8" t="s">
        <v>144</v>
      </c>
      <c r="B118" s="9" t="s">
        <v>434</v>
      </c>
      <c r="C118" s="9" t="s">
        <v>16</v>
      </c>
      <c r="D118" s="9" t="s">
        <v>40</v>
      </c>
      <c r="E118" s="9" t="s">
        <v>616</v>
      </c>
      <c r="F118" s="9" t="s">
        <v>617</v>
      </c>
      <c r="G118" s="9" t="s">
        <v>623</v>
      </c>
      <c r="H118" s="10">
        <v>161678378</v>
      </c>
      <c r="I118" s="10">
        <v>226764264</v>
      </c>
      <c r="J118" s="10">
        <v>90754052</v>
      </c>
      <c r="K118" s="10">
        <f t="shared" si="0"/>
        <v>112535024.48</v>
      </c>
      <c r="L118" s="11">
        <f t="shared" si="1"/>
        <v>0.49626436941580887</v>
      </c>
      <c r="M118" s="11">
        <f t="shared" si="2"/>
        <v>-0.30395748725287186</v>
      </c>
    </row>
    <row r="119" spans="1:13" x14ac:dyDescent="0.3">
      <c r="A119" s="8" t="s">
        <v>146</v>
      </c>
      <c r="B119" s="9" t="s">
        <v>436</v>
      </c>
      <c r="C119" s="9" t="s">
        <v>16</v>
      </c>
      <c r="D119" s="9" t="s">
        <v>40</v>
      </c>
      <c r="E119" s="9" t="s">
        <v>616</v>
      </c>
      <c r="F119" s="9" t="s">
        <v>617</v>
      </c>
      <c r="G119" s="9" t="s">
        <v>623</v>
      </c>
      <c r="H119" s="10">
        <v>84187388</v>
      </c>
      <c r="I119" s="10">
        <v>120662163</v>
      </c>
      <c r="J119" s="10">
        <v>111182884</v>
      </c>
      <c r="K119" s="10">
        <f t="shared" si="0"/>
        <v>137866776.16</v>
      </c>
      <c r="L119" s="11">
        <f t="shared" si="1"/>
        <v>1.1425849888005073</v>
      </c>
      <c r="M119" s="11">
        <f t="shared" si="2"/>
        <v>0.6376179310848793</v>
      </c>
    </row>
    <row r="120" spans="1:13" x14ac:dyDescent="0.3">
      <c r="A120" s="8" t="s">
        <v>153</v>
      </c>
      <c r="B120" s="9" t="s">
        <v>443</v>
      </c>
      <c r="C120" s="9" t="s">
        <v>16</v>
      </c>
      <c r="D120" s="9" t="s">
        <v>40</v>
      </c>
      <c r="E120" s="9" t="s">
        <v>616</v>
      </c>
      <c r="F120" s="9" t="s">
        <v>617</v>
      </c>
      <c r="G120" s="9" t="s">
        <v>623</v>
      </c>
      <c r="H120" s="10">
        <v>110771170</v>
      </c>
      <c r="I120" s="10">
        <v>166658035</v>
      </c>
      <c r="J120" s="10">
        <v>96172072</v>
      </c>
      <c r="K120" s="10">
        <f t="shared" si="0"/>
        <v>119253369.28</v>
      </c>
      <c r="L120" s="11">
        <f t="shared" si="1"/>
        <v>0.71555727439124073</v>
      </c>
      <c r="M120" s="11">
        <f t="shared" si="2"/>
        <v>7.6574069588684499E-2</v>
      </c>
    </row>
    <row r="121" spans="1:13" x14ac:dyDescent="0.3">
      <c r="A121" s="8" t="s">
        <v>152</v>
      </c>
      <c r="B121" s="9" t="s">
        <v>442</v>
      </c>
      <c r="C121" s="9" t="s">
        <v>16</v>
      </c>
      <c r="D121" s="9" t="s">
        <v>40</v>
      </c>
      <c r="E121" s="9" t="s">
        <v>616</v>
      </c>
      <c r="F121" s="9" t="s">
        <v>617</v>
      </c>
      <c r="G121" s="9" t="s">
        <v>623</v>
      </c>
      <c r="H121" s="10">
        <v>44312611</v>
      </c>
      <c r="I121" s="10">
        <v>120298425</v>
      </c>
      <c r="J121" s="10">
        <v>19725225</v>
      </c>
      <c r="K121" s="10">
        <f t="shared" si="0"/>
        <v>24459279</v>
      </c>
      <c r="L121" s="11">
        <f t="shared" si="1"/>
        <v>0.20332168937373868</v>
      </c>
      <c r="M121" s="11">
        <f t="shared" si="2"/>
        <v>-0.44802893695431306</v>
      </c>
    </row>
    <row r="122" spans="1:13" x14ac:dyDescent="0.3">
      <c r="A122" s="8" t="s">
        <v>81</v>
      </c>
      <c r="B122" s="9" t="s">
        <v>383</v>
      </c>
      <c r="C122" s="9" t="s">
        <v>16</v>
      </c>
      <c r="D122" s="9" t="s">
        <v>40</v>
      </c>
      <c r="E122" s="9" t="s">
        <v>616</v>
      </c>
      <c r="F122" s="9" t="s">
        <v>617</v>
      </c>
      <c r="G122" s="9" t="s">
        <v>623</v>
      </c>
      <c r="H122" s="10">
        <v>165707210</v>
      </c>
      <c r="I122" s="10">
        <v>249366368</v>
      </c>
      <c r="J122" s="10">
        <v>94461263</v>
      </c>
      <c r="K122" s="10">
        <f t="shared" si="0"/>
        <v>117131966.12</v>
      </c>
      <c r="L122" s="11">
        <f t="shared" si="1"/>
        <v>0.46971837886334378</v>
      </c>
      <c r="M122" s="11">
        <f t="shared" si="2"/>
        <v>-0.29313898821904005</v>
      </c>
    </row>
    <row r="123" spans="1:13" x14ac:dyDescent="0.3">
      <c r="A123" s="8" t="s">
        <v>158</v>
      </c>
      <c r="B123" s="9" t="s">
        <v>448</v>
      </c>
      <c r="C123" s="9" t="s">
        <v>16</v>
      </c>
      <c r="D123" s="9" t="s">
        <v>40</v>
      </c>
      <c r="E123" s="9" t="s">
        <v>616</v>
      </c>
      <c r="F123" s="9" t="s">
        <v>617</v>
      </c>
      <c r="G123" s="9" t="s">
        <v>623</v>
      </c>
      <c r="H123" s="10">
        <v>126137840</v>
      </c>
      <c r="I123" s="10">
        <v>184341972</v>
      </c>
      <c r="J123" s="10">
        <v>71250452</v>
      </c>
      <c r="K123" s="10">
        <f t="shared" si="0"/>
        <v>88350560.480000004</v>
      </c>
      <c r="L123" s="11">
        <f t="shared" si="1"/>
        <v>0.47927533551610269</v>
      </c>
      <c r="M123" s="11">
        <f t="shared" si="2"/>
        <v>-0.29957132229313577</v>
      </c>
    </row>
    <row r="124" spans="1:13" x14ac:dyDescent="0.3">
      <c r="A124" s="8" t="s">
        <v>159</v>
      </c>
      <c r="B124" s="9" t="s">
        <v>449</v>
      </c>
      <c r="C124" s="9" t="s">
        <v>16</v>
      </c>
      <c r="D124" s="9" t="s">
        <v>40</v>
      </c>
      <c r="E124" s="9" t="s">
        <v>616</v>
      </c>
      <c r="F124" s="9" t="s">
        <v>617</v>
      </c>
      <c r="G124" s="9" t="s">
        <v>623</v>
      </c>
      <c r="H124" s="10">
        <v>149029735</v>
      </c>
      <c r="I124" s="10">
        <v>243231232</v>
      </c>
      <c r="J124" s="10">
        <v>79935138</v>
      </c>
      <c r="K124" s="10">
        <f t="shared" si="0"/>
        <v>99119571.120000005</v>
      </c>
      <c r="L124" s="11">
        <f t="shared" si="1"/>
        <v>0.40751169290627942</v>
      </c>
      <c r="M124" s="11">
        <f t="shared" si="2"/>
        <v>-0.3349007087746616</v>
      </c>
    </row>
    <row r="125" spans="1:13" x14ac:dyDescent="0.3">
      <c r="A125" s="8" t="s">
        <v>160</v>
      </c>
      <c r="B125" s="9" t="s">
        <v>450</v>
      </c>
      <c r="C125" s="9" t="s">
        <v>16</v>
      </c>
      <c r="D125" s="9" t="s">
        <v>40</v>
      </c>
      <c r="E125" s="9" t="s">
        <v>616</v>
      </c>
      <c r="F125" s="9" t="s">
        <v>617</v>
      </c>
      <c r="G125" s="9" t="s">
        <v>623</v>
      </c>
      <c r="H125" s="10">
        <v>130010812</v>
      </c>
      <c r="I125" s="10">
        <v>180471474</v>
      </c>
      <c r="J125" s="10">
        <v>82099100</v>
      </c>
      <c r="K125" s="10">
        <f t="shared" si="0"/>
        <v>101802884</v>
      </c>
      <c r="L125" s="11">
        <f t="shared" si="1"/>
        <v>0.56409404624245496</v>
      </c>
      <c r="M125" s="11">
        <f t="shared" si="2"/>
        <v>-0.21696601664175438</v>
      </c>
    </row>
    <row r="126" spans="1:13" x14ac:dyDescent="0.3">
      <c r="A126" s="8" t="s">
        <v>162</v>
      </c>
      <c r="B126" s="9" t="s">
        <v>452</v>
      </c>
      <c r="C126" s="9" t="s">
        <v>16</v>
      </c>
      <c r="D126" s="9" t="s">
        <v>40</v>
      </c>
      <c r="E126" s="9" t="s">
        <v>616</v>
      </c>
      <c r="F126" s="9" t="s">
        <v>617</v>
      </c>
      <c r="G126" s="9" t="s">
        <v>623</v>
      </c>
      <c r="H126" s="10">
        <v>122762164</v>
      </c>
      <c r="I126" s="10">
        <v>161692191</v>
      </c>
      <c r="J126" s="10">
        <v>56337839</v>
      </c>
      <c r="K126" s="10">
        <f t="shared" si="0"/>
        <v>69858920.359999999</v>
      </c>
      <c r="L126" s="11">
        <f t="shared" si="1"/>
        <v>0.43204882021791641</v>
      </c>
      <c r="M126" s="11">
        <f t="shared" si="2"/>
        <v>-0.43094095050328374</v>
      </c>
    </row>
    <row r="127" spans="1:13" x14ac:dyDescent="0.3">
      <c r="A127" s="8" t="s">
        <v>131</v>
      </c>
      <c r="B127" s="9" t="s">
        <v>427</v>
      </c>
      <c r="C127" s="9" t="s">
        <v>16</v>
      </c>
      <c r="D127" s="9" t="s">
        <v>36</v>
      </c>
      <c r="E127" s="9" t="s">
        <v>616</v>
      </c>
      <c r="F127" s="9" t="s">
        <v>617</v>
      </c>
      <c r="G127" s="9" t="s">
        <v>622</v>
      </c>
      <c r="H127" s="10">
        <v>108083785</v>
      </c>
      <c r="I127" s="10">
        <v>141125754</v>
      </c>
      <c r="J127" s="10">
        <v>59151352</v>
      </c>
      <c r="K127" s="10">
        <f t="shared" si="0"/>
        <v>73347676.480000004</v>
      </c>
      <c r="L127" s="11">
        <f t="shared" si="1"/>
        <v>0.51973275182643142</v>
      </c>
      <c r="M127" s="11">
        <f t="shared" si="2"/>
        <v>-0.32138131098943284</v>
      </c>
    </row>
    <row r="128" spans="1:13" x14ac:dyDescent="0.3">
      <c r="A128" s="8" t="s">
        <v>86</v>
      </c>
      <c r="B128" s="9" t="s">
        <v>388</v>
      </c>
      <c r="C128" s="9" t="s">
        <v>16</v>
      </c>
      <c r="D128" s="9" t="s">
        <v>36</v>
      </c>
      <c r="E128" s="9" t="s">
        <v>616</v>
      </c>
      <c r="F128" s="9" t="s">
        <v>617</v>
      </c>
      <c r="G128" s="9" t="s">
        <v>622</v>
      </c>
      <c r="H128" s="10">
        <v>41297298</v>
      </c>
      <c r="I128" s="10">
        <v>71000000</v>
      </c>
      <c r="J128" s="10">
        <v>72843243</v>
      </c>
      <c r="K128" s="10">
        <f t="shared" si="0"/>
        <v>90325621.320000008</v>
      </c>
      <c r="L128" s="11">
        <f t="shared" si="1"/>
        <v>1.2721918495774649</v>
      </c>
      <c r="M128" s="11">
        <f t="shared" si="2"/>
        <v>1.1872041439611862</v>
      </c>
    </row>
    <row r="129" spans="1:13" x14ac:dyDescent="0.3">
      <c r="A129" s="8" t="s">
        <v>151</v>
      </c>
      <c r="B129" s="9" t="s">
        <v>441</v>
      </c>
      <c r="C129" s="9" t="s">
        <v>16</v>
      </c>
      <c r="D129" s="9" t="s">
        <v>36</v>
      </c>
      <c r="E129" s="9" t="s">
        <v>616</v>
      </c>
      <c r="F129" s="9" t="s">
        <v>617</v>
      </c>
      <c r="G129" s="9" t="s">
        <v>622</v>
      </c>
      <c r="H129" s="10">
        <v>37873876</v>
      </c>
      <c r="I129" s="10">
        <v>71000000</v>
      </c>
      <c r="J129" s="10">
        <v>34763062</v>
      </c>
      <c r="K129" s="10">
        <f t="shared" si="0"/>
        <v>43106196.880000003</v>
      </c>
      <c r="L129" s="11">
        <f t="shared" si="1"/>
        <v>0.60712953352112675</v>
      </c>
      <c r="M129" s="11">
        <f t="shared" si="2"/>
        <v>0.13815118579360619</v>
      </c>
    </row>
    <row r="130" spans="1:13" x14ac:dyDescent="0.3">
      <c r="A130" s="8" t="s">
        <v>104</v>
      </c>
      <c r="B130" s="9" t="s">
        <v>406</v>
      </c>
      <c r="C130" s="9" t="s">
        <v>16</v>
      </c>
      <c r="D130" s="9" t="s">
        <v>36</v>
      </c>
      <c r="E130" s="9" t="s">
        <v>616</v>
      </c>
      <c r="F130" s="9" t="s">
        <v>617</v>
      </c>
      <c r="G130" s="9" t="s">
        <v>622</v>
      </c>
      <c r="H130" s="10">
        <v>3602703</v>
      </c>
      <c r="I130" s="10">
        <v>71000000</v>
      </c>
      <c r="J130" s="10">
        <v>7745045</v>
      </c>
      <c r="K130" s="10">
        <f t="shared" si="0"/>
        <v>9603855.7999999989</v>
      </c>
      <c r="L130" s="11">
        <f t="shared" si="1"/>
        <v>0.1352655746478873</v>
      </c>
      <c r="M130" s="11">
        <f t="shared" si="2"/>
        <v>1.6657361986264199</v>
      </c>
    </row>
    <row r="131" spans="1:13" x14ac:dyDescent="0.3">
      <c r="A131" s="8" t="s">
        <v>125</v>
      </c>
      <c r="B131" s="9" t="s">
        <v>423</v>
      </c>
      <c r="C131" s="9" t="s">
        <v>16</v>
      </c>
      <c r="D131" s="9" t="s">
        <v>36</v>
      </c>
      <c r="E131" s="9" t="s">
        <v>616</v>
      </c>
      <c r="F131" s="9" t="s">
        <v>617</v>
      </c>
      <c r="G131" s="9" t="s">
        <v>622</v>
      </c>
      <c r="H131" s="10">
        <v>122748648</v>
      </c>
      <c r="I131" s="10">
        <v>132399025</v>
      </c>
      <c r="J131" s="10">
        <v>71829733</v>
      </c>
      <c r="K131" s="10">
        <f t="shared" si="0"/>
        <v>89068868.920000002</v>
      </c>
      <c r="L131" s="11">
        <f t="shared" si="1"/>
        <v>0.67273055009279714</v>
      </c>
      <c r="M131" s="11">
        <f t="shared" si="2"/>
        <v>-0.27438004107385361</v>
      </c>
    </row>
    <row r="132" spans="1:13" x14ac:dyDescent="0.3">
      <c r="A132" s="8" t="s">
        <v>33</v>
      </c>
      <c r="B132" s="9" t="s">
        <v>343</v>
      </c>
      <c r="C132" s="9" t="s">
        <v>16</v>
      </c>
      <c r="D132" s="9" t="s">
        <v>36</v>
      </c>
      <c r="E132" s="9" t="s">
        <v>616</v>
      </c>
      <c r="F132" s="9" t="s">
        <v>617</v>
      </c>
      <c r="G132" s="9" t="s">
        <v>622</v>
      </c>
      <c r="H132" s="10">
        <v>119993693</v>
      </c>
      <c r="I132" s="10">
        <v>133128378</v>
      </c>
      <c r="J132" s="10">
        <v>76781082</v>
      </c>
      <c r="K132" s="10">
        <f t="shared" si="0"/>
        <v>95208541.679999992</v>
      </c>
      <c r="L132" s="11">
        <f t="shared" si="1"/>
        <v>0.71516338672735869</v>
      </c>
      <c r="M132" s="11">
        <f t="shared" si="2"/>
        <v>-0.20655378378928638</v>
      </c>
    </row>
    <row r="133" spans="1:13" x14ac:dyDescent="0.3">
      <c r="A133" s="8" t="s">
        <v>89</v>
      </c>
      <c r="B133" s="9" t="s">
        <v>391</v>
      </c>
      <c r="C133" s="9" t="s">
        <v>16</v>
      </c>
      <c r="D133" s="9" t="s">
        <v>36</v>
      </c>
      <c r="E133" s="9" t="s">
        <v>616</v>
      </c>
      <c r="F133" s="9" t="s">
        <v>617</v>
      </c>
      <c r="G133" s="9" t="s">
        <v>622</v>
      </c>
      <c r="H133" s="10">
        <v>59533333</v>
      </c>
      <c r="I133" s="10">
        <v>77528906</v>
      </c>
      <c r="J133" s="10">
        <v>48453154</v>
      </c>
      <c r="K133" s="10">
        <f t="shared" si="0"/>
        <v>60081910.960000001</v>
      </c>
      <c r="L133" s="11">
        <f t="shared" si="1"/>
        <v>0.77496141839019372</v>
      </c>
      <c r="M133" s="11">
        <f t="shared" si="2"/>
        <v>9.2146354379319048E-3</v>
      </c>
    </row>
    <row r="134" spans="1:13" x14ac:dyDescent="0.3">
      <c r="A134" s="8" t="s">
        <v>161</v>
      </c>
      <c r="B134" s="9" t="s">
        <v>451</v>
      </c>
      <c r="C134" s="9" t="s">
        <v>16</v>
      </c>
      <c r="D134" s="9" t="s">
        <v>36</v>
      </c>
      <c r="E134" s="9" t="s">
        <v>616</v>
      </c>
      <c r="F134" s="9" t="s">
        <v>617</v>
      </c>
      <c r="G134" s="9" t="s">
        <v>622</v>
      </c>
      <c r="H134" s="10">
        <v>96201805</v>
      </c>
      <c r="I134" s="10">
        <v>135930186</v>
      </c>
      <c r="J134" s="10">
        <v>23425224</v>
      </c>
      <c r="K134" s="10">
        <f t="shared" si="0"/>
        <v>29047277.759999998</v>
      </c>
      <c r="L134" s="11">
        <f t="shared" si="1"/>
        <v>0.21369262129899533</v>
      </c>
      <c r="M134" s="11">
        <f t="shared" si="2"/>
        <v>-0.6980589110568145</v>
      </c>
    </row>
    <row r="135" spans="1:13" x14ac:dyDescent="0.3">
      <c r="A135" s="8" t="s">
        <v>141</v>
      </c>
      <c r="B135" s="9" t="s">
        <v>431</v>
      </c>
      <c r="C135" s="9" t="s">
        <v>16</v>
      </c>
      <c r="D135" s="9" t="s">
        <v>36</v>
      </c>
      <c r="E135" s="9" t="s">
        <v>616</v>
      </c>
      <c r="F135" s="9" t="s">
        <v>624</v>
      </c>
      <c r="G135" s="9" t="s">
        <v>622</v>
      </c>
      <c r="H135" s="10">
        <v>6258558</v>
      </c>
      <c r="I135" s="10">
        <v>71000000</v>
      </c>
      <c r="J135" s="10">
        <v>0</v>
      </c>
      <c r="K135" s="10">
        <f t="shared" si="0"/>
        <v>0</v>
      </c>
      <c r="L135" s="11">
        <f t="shared" si="1"/>
        <v>0</v>
      </c>
      <c r="M135" s="11">
        <f t="shared" si="2"/>
        <v>-1</v>
      </c>
    </row>
    <row r="136" spans="1:13" x14ac:dyDescent="0.3">
      <c r="A136" s="8" t="s">
        <v>58</v>
      </c>
      <c r="B136" s="9" t="s">
        <v>362</v>
      </c>
      <c r="C136" s="9" t="s">
        <v>16</v>
      </c>
      <c r="D136" s="9" t="s">
        <v>36</v>
      </c>
      <c r="E136" s="9" t="s">
        <v>616</v>
      </c>
      <c r="F136" s="9" t="s">
        <v>617</v>
      </c>
      <c r="G136" s="9" t="s">
        <v>622</v>
      </c>
      <c r="H136" s="10">
        <v>165223423</v>
      </c>
      <c r="I136" s="10">
        <v>167846473</v>
      </c>
      <c r="J136" s="10">
        <v>107182887</v>
      </c>
      <c r="K136" s="10">
        <f t="shared" si="0"/>
        <v>132906779.88000001</v>
      </c>
      <c r="L136" s="11">
        <f t="shared" si="1"/>
        <v>0.79183540472727132</v>
      </c>
      <c r="M136" s="11">
        <f t="shared" si="2"/>
        <v>-0.19559359401481466</v>
      </c>
    </row>
    <row r="137" spans="1:13" x14ac:dyDescent="0.3">
      <c r="A137" s="8" t="s">
        <v>126</v>
      </c>
      <c r="B137" s="9" t="s">
        <v>424</v>
      </c>
      <c r="C137" s="9" t="s">
        <v>16</v>
      </c>
      <c r="D137" s="9" t="s">
        <v>36</v>
      </c>
      <c r="E137" s="9" t="s">
        <v>616</v>
      </c>
      <c r="F137" s="9" t="s">
        <v>617</v>
      </c>
      <c r="G137" s="9" t="s">
        <v>621</v>
      </c>
      <c r="H137" s="10">
        <v>160988287</v>
      </c>
      <c r="I137" s="10">
        <v>213493618</v>
      </c>
      <c r="J137" s="10">
        <v>135919821</v>
      </c>
      <c r="K137" s="10">
        <f t="shared" si="0"/>
        <v>168540578.03999999</v>
      </c>
      <c r="L137" s="11">
        <f t="shared" si="1"/>
        <v>0.78944082553324846</v>
      </c>
      <c r="M137" s="11">
        <f t="shared" si="2"/>
        <v>4.6912052924695025E-2</v>
      </c>
    </row>
    <row r="138" spans="1:13" x14ac:dyDescent="0.3">
      <c r="A138" s="8" t="s">
        <v>128</v>
      </c>
      <c r="B138" s="9" t="s">
        <v>426</v>
      </c>
      <c r="C138" s="9" t="s">
        <v>16</v>
      </c>
      <c r="D138" s="9" t="s">
        <v>42</v>
      </c>
      <c r="E138" s="9" t="s">
        <v>616</v>
      </c>
      <c r="F138" s="9" t="s">
        <v>617</v>
      </c>
      <c r="G138" s="9" t="s">
        <v>618</v>
      </c>
      <c r="H138" s="10">
        <v>202045044</v>
      </c>
      <c r="I138" s="10">
        <v>346590465</v>
      </c>
      <c r="J138" s="10">
        <v>239458560</v>
      </c>
      <c r="K138" s="10">
        <f t="shared" si="0"/>
        <v>296928614.40000004</v>
      </c>
      <c r="L138" s="11">
        <f t="shared" si="1"/>
        <v>0.85671316549345933</v>
      </c>
      <c r="M138" s="11">
        <f t="shared" si="2"/>
        <v>0.46961592584275436</v>
      </c>
    </row>
    <row r="139" spans="1:13" x14ac:dyDescent="0.3">
      <c r="A139" s="8" t="s">
        <v>264</v>
      </c>
      <c r="B139" s="9" t="s">
        <v>553</v>
      </c>
      <c r="C139" s="9" t="s">
        <v>16</v>
      </c>
      <c r="D139" s="9" t="s">
        <v>42</v>
      </c>
      <c r="E139" s="9" t="s">
        <v>630</v>
      </c>
      <c r="F139" s="9" t="s">
        <v>617</v>
      </c>
      <c r="G139" s="9" t="s">
        <v>618</v>
      </c>
      <c r="H139" s="10">
        <v>4862163</v>
      </c>
      <c r="I139" s="10">
        <v>71000000</v>
      </c>
      <c r="J139" s="10">
        <v>10583784</v>
      </c>
      <c r="K139" s="10">
        <f t="shared" si="0"/>
        <v>13123892.16</v>
      </c>
      <c r="L139" s="11">
        <f t="shared" si="1"/>
        <v>0.18484355154929577</v>
      </c>
      <c r="M139" s="11">
        <f t="shared" si="2"/>
        <v>1.6991880280443088</v>
      </c>
    </row>
    <row r="140" spans="1:13" x14ac:dyDescent="0.3">
      <c r="A140" s="8" t="s">
        <v>101</v>
      </c>
      <c r="B140" s="9" t="s">
        <v>403</v>
      </c>
      <c r="C140" s="9" t="s">
        <v>16</v>
      </c>
      <c r="D140" s="9" t="s">
        <v>42</v>
      </c>
      <c r="E140" s="9" t="s">
        <v>616</v>
      </c>
      <c r="F140" s="9" t="s">
        <v>617</v>
      </c>
      <c r="G140" s="9" t="s">
        <v>618</v>
      </c>
      <c r="H140" s="10">
        <v>122183775</v>
      </c>
      <c r="I140" s="10">
        <v>94439186</v>
      </c>
      <c r="J140" s="10">
        <v>21433333</v>
      </c>
      <c r="K140" s="10">
        <f t="shared" si="0"/>
        <v>26577332.919999998</v>
      </c>
      <c r="L140" s="11">
        <f t="shared" si="1"/>
        <v>0.28142272340212671</v>
      </c>
      <c r="M140" s="11">
        <f t="shared" si="2"/>
        <v>-0.78248066963064444</v>
      </c>
    </row>
    <row r="141" spans="1:13" x14ac:dyDescent="0.3">
      <c r="A141" s="8" t="s">
        <v>150</v>
      </c>
      <c r="B141" s="9" t="s">
        <v>440</v>
      </c>
      <c r="C141" s="9" t="s">
        <v>16</v>
      </c>
      <c r="D141" s="9" t="s">
        <v>42</v>
      </c>
      <c r="E141" s="9" t="s">
        <v>616</v>
      </c>
      <c r="F141" s="9" t="s">
        <v>624</v>
      </c>
      <c r="G141" s="9" t="s">
        <v>618</v>
      </c>
      <c r="H141" s="10">
        <v>35368471</v>
      </c>
      <c r="I141" s="10">
        <v>71000000</v>
      </c>
      <c r="J141" s="10">
        <v>0</v>
      </c>
      <c r="K141" s="10">
        <f t="shared" si="0"/>
        <v>0</v>
      </c>
      <c r="L141" s="11">
        <f t="shared" si="1"/>
        <v>0</v>
      </c>
      <c r="M141" s="11">
        <f t="shared" si="2"/>
        <v>-1</v>
      </c>
    </row>
    <row r="142" spans="1:13" x14ac:dyDescent="0.3">
      <c r="A142" s="8" t="s">
        <v>70</v>
      </c>
      <c r="B142" s="9" t="s">
        <v>372</v>
      </c>
      <c r="C142" s="9" t="s">
        <v>16</v>
      </c>
      <c r="D142" s="9" t="s">
        <v>42</v>
      </c>
      <c r="E142" s="9" t="s">
        <v>616</v>
      </c>
      <c r="F142" s="9" t="s">
        <v>617</v>
      </c>
      <c r="G142" s="9" t="s">
        <v>618</v>
      </c>
      <c r="H142" s="10">
        <v>66956759</v>
      </c>
      <c r="I142" s="10">
        <v>74845723</v>
      </c>
      <c r="J142" s="10">
        <v>10178378</v>
      </c>
      <c r="K142" s="10">
        <f t="shared" ref="K142:K151" si="7">IFERROR((J142/$A$1*$B$1),0)</f>
        <v>12621188.720000001</v>
      </c>
      <c r="L142" s="11">
        <f t="shared" ref="L142:L151" si="8">IFERROR((K142/I142),0)</f>
        <v>0.16862939142160469</v>
      </c>
      <c r="M142" s="11">
        <f t="shared" ref="M142:M151" si="9">IFERROR((K142-H142)/H142,0)</f>
        <v>-0.81150239485157882</v>
      </c>
    </row>
    <row r="143" spans="1:13" x14ac:dyDescent="0.3">
      <c r="A143" s="8" t="s">
        <v>79</v>
      </c>
      <c r="B143" s="9" t="s">
        <v>381</v>
      </c>
      <c r="C143" s="9" t="s">
        <v>16</v>
      </c>
      <c r="D143" s="9" t="s">
        <v>42</v>
      </c>
      <c r="E143" s="9" t="s">
        <v>616</v>
      </c>
      <c r="F143" s="9" t="s">
        <v>617</v>
      </c>
      <c r="G143" s="9" t="s">
        <v>618</v>
      </c>
      <c r="H143" s="10">
        <v>50319822</v>
      </c>
      <c r="I143" s="10">
        <v>78085587</v>
      </c>
      <c r="J143" s="10">
        <v>55234235</v>
      </c>
      <c r="K143" s="10">
        <f t="shared" si="7"/>
        <v>68490451.399999991</v>
      </c>
      <c r="L143" s="11">
        <f t="shared" si="8"/>
        <v>0.87712027316897789</v>
      </c>
      <c r="M143" s="11">
        <f t="shared" si="9"/>
        <v>0.36110281550677964</v>
      </c>
    </row>
    <row r="144" spans="1:13" x14ac:dyDescent="0.3">
      <c r="A144" s="8" t="s">
        <v>157</v>
      </c>
      <c r="B144" s="9" t="s">
        <v>447</v>
      </c>
      <c r="C144" s="9" t="s">
        <v>16</v>
      </c>
      <c r="D144" s="9" t="s">
        <v>42</v>
      </c>
      <c r="E144" s="9" t="s">
        <v>616</v>
      </c>
      <c r="F144" s="9" t="s">
        <v>624</v>
      </c>
      <c r="G144" s="9" t="s">
        <v>618</v>
      </c>
      <c r="H144" s="10">
        <v>26228829</v>
      </c>
      <c r="I144" s="10">
        <v>71000000</v>
      </c>
      <c r="J144" s="10">
        <v>0</v>
      </c>
      <c r="K144" s="10">
        <f t="shared" si="7"/>
        <v>0</v>
      </c>
      <c r="L144" s="11">
        <f t="shared" si="8"/>
        <v>0</v>
      </c>
      <c r="M144" s="11">
        <f t="shared" si="9"/>
        <v>-1</v>
      </c>
    </row>
    <row r="145" spans="1:22" x14ac:dyDescent="0.3">
      <c r="A145" s="8" t="s">
        <v>99</v>
      </c>
      <c r="B145" s="9" t="s">
        <v>401</v>
      </c>
      <c r="C145" s="9" t="s">
        <v>16</v>
      </c>
      <c r="D145" s="9" t="s">
        <v>42</v>
      </c>
      <c r="E145" s="9" t="s">
        <v>616</v>
      </c>
      <c r="F145" s="9" t="s">
        <v>617</v>
      </c>
      <c r="G145" s="9" t="s">
        <v>618</v>
      </c>
      <c r="H145" s="10">
        <v>102854055</v>
      </c>
      <c r="I145" s="10">
        <v>141271022</v>
      </c>
      <c r="J145" s="10">
        <v>79954058</v>
      </c>
      <c r="K145" s="10">
        <f t="shared" si="7"/>
        <v>99143031.920000002</v>
      </c>
      <c r="L145" s="11">
        <f t="shared" si="8"/>
        <v>0.70179312442434227</v>
      </c>
      <c r="M145" s="11">
        <f t="shared" si="9"/>
        <v>-3.6080474221458728E-2</v>
      </c>
    </row>
    <row r="146" spans="1:22" x14ac:dyDescent="0.3">
      <c r="A146" s="8" t="s">
        <v>48</v>
      </c>
      <c r="B146" s="9" t="s">
        <v>352</v>
      </c>
      <c r="C146" s="9" t="s">
        <v>16</v>
      </c>
      <c r="D146" s="9" t="s">
        <v>42</v>
      </c>
      <c r="E146" s="9" t="s">
        <v>616</v>
      </c>
      <c r="F146" s="9" t="s">
        <v>617</v>
      </c>
      <c r="G146" s="9" t="s">
        <v>618</v>
      </c>
      <c r="H146" s="10">
        <v>177194582</v>
      </c>
      <c r="I146" s="10">
        <v>160222969</v>
      </c>
      <c r="J146" s="10">
        <v>91773879</v>
      </c>
      <c r="K146" s="10">
        <f t="shared" si="7"/>
        <v>113799609.96000001</v>
      </c>
      <c r="L146" s="11">
        <f t="shared" si="8"/>
        <v>0.71025777808423962</v>
      </c>
      <c r="M146" s="11">
        <f t="shared" si="9"/>
        <v>-0.35777037494295388</v>
      </c>
    </row>
    <row r="147" spans="1:22" x14ac:dyDescent="0.3">
      <c r="A147" s="8" t="s">
        <v>75</v>
      </c>
      <c r="B147" s="9" t="s">
        <v>377</v>
      </c>
      <c r="C147" s="9" t="s">
        <v>16</v>
      </c>
      <c r="D147" s="9" t="s">
        <v>42</v>
      </c>
      <c r="E147" s="9" t="s">
        <v>616</v>
      </c>
      <c r="F147" s="9" t="s">
        <v>617</v>
      </c>
      <c r="G147" s="9" t="s">
        <v>618</v>
      </c>
      <c r="H147" s="10">
        <v>32781081</v>
      </c>
      <c r="I147" s="10">
        <v>71000000</v>
      </c>
      <c r="J147" s="10">
        <v>53725226</v>
      </c>
      <c r="K147" s="10">
        <f t="shared" si="7"/>
        <v>66619280.240000002</v>
      </c>
      <c r="L147" s="11">
        <f t="shared" si="8"/>
        <v>0.93829972169014086</v>
      </c>
      <c r="M147" s="11">
        <f t="shared" si="9"/>
        <v>1.0322478151345895</v>
      </c>
    </row>
    <row r="148" spans="1:22" x14ac:dyDescent="0.3">
      <c r="A148" s="8" t="s">
        <v>147</v>
      </c>
      <c r="B148" s="9" t="s">
        <v>437</v>
      </c>
      <c r="C148" s="9" t="s">
        <v>16</v>
      </c>
      <c r="D148" s="9" t="s">
        <v>42</v>
      </c>
      <c r="E148" s="9" t="s">
        <v>616</v>
      </c>
      <c r="F148" s="9" t="s">
        <v>617</v>
      </c>
      <c r="G148" s="9" t="s">
        <v>618</v>
      </c>
      <c r="H148" s="10">
        <v>9951351</v>
      </c>
      <c r="I148" s="10">
        <v>71000000</v>
      </c>
      <c r="J148" s="10">
        <v>9996397</v>
      </c>
      <c r="K148" s="10">
        <f t="shared" si="7"/>
        <v>12395532.279999999</v>
      </c>
      <c r="L148" s="11">
        <f t="shared" si="8"/>
        <v>0.17458496169014084</v>
      </c>
      <c r="M148" s="11">
        <f t="shared" si="9"/>
        <v>0.24561301073592914</v>
      </c>
    </row>
    <row r="149" spans="1:22" x14ac:dyDescent="0.3">
      <c r="A149" s="8" t="s">
        <v>102</v>
      </c>
      <c r="B149" s="9" t="s">
        <v>404</v>
      </c>
      <c r="C149" s="9" t="s">
        <v>16</v>
      </c>
      <c r="D149" s="9" t="s">
        <v>42</v>
      </c>
      <c r="E149" s="9" t="s">
        <v>616</v>
      </c>
      <c r="F149" s="9" t="s">
        <v>617</v>
      </c>
      <c r="G149" s="9" t="s">
        <v>618</v>
      </c>
      <c r="H149" s="10">
        <v>8646847</v>
      </c>
      <c r="I149" s="10">
        <v>71000000</v>
      </c>
      <c r="J149" s="10">
        <v>6754955</v>
      </c>
      <c r="K149" s="10">
        <f t="shared" si="7"/>
        <v>8376144.2000000002</v>
      </c>
      <c r="L149" s="11">
        <f t="shared" si="8"/>
        <v>0.11797386197183099</v>
      </c>
      <c r="M149" s="11">
        <f t="shared" si="9"/>
        <v>-3.1306532889965537E-2</v>
      </c>
    </row>
    <row r="150" spans="1:22" x14ac:dyDescent="0.3">
      <c r="A150" s="8" t="s">
        <v>169</v>
      </c>
      <c r="B150" s="9" t="s">
        <v>459</v>
      </c>
      <c r="C150" s="9" t="s">
        <v>120</v>
      </c>
      <c r="D150" s="9" t="s">
        <v>129</v>
      </c>
      <c r="E150" s="9" t="s">
        <v>616</v>
      </c>
      <c r="F150" s="9" t="s">
        <v>617</v>
      </c>
      <c r="G150" s="9" t="s">
        <v>621</v>
      </c>
      <c r="H150" s="10">
        <v>427459462</v>
      </c>
      <c r="I150" s="10">
        <v>71000000</v>
      </c>
      <c r="J150" s="10">
        <v>403091871</v>
      </c>
      <c r="K150" s="10">
        <f t="shared" si="7"/>
        <v>499833920.04000002</v>
      </c>
      <c r="L150" s="11">
        <f t="shared" si="8"/>
        <v>7.0399143667605637</v>
      </c>
      <c r="M150" s="11">
        <f t="shared" si="9"/>
        <v>0.16931303310347595</v>
      </c>
    </row>
    <row r="151" spans="1:22" x14ac:dyDescent="0.3">
      <c r="A151" s="8" t="s">
        <v>182</v>
      </c>
      <c r="B151" s="9" t="s">
        <v>472</v>
      </c>
      <c r="C151" s="9" t="s">
        <v>120</v>
      </c>
      <c r="D151" s="9" t="s">
        <v>129</v>
      </c>
      <c r="E151" s="9" t="s">
        <v>616</v>
      </c>
      <c r="F151" s="9" t="s">
        <v>624</v>
      </c>
      <c r="G151" s="9" t="s">
        <v>621</v>
      </c>
      <c r="H151" s="10">
        <v>59380180</v>
      </c>
      <c r="I151" s="10">
        <v>76570947</v>
      </c>
      <c r="J151" s="10">
        <v>8353153</v>
      </c>
      <c r="K151" s="10">
        <f t="shared" si="7"/>
        <v>10357909.720000001</v>
      </c>
      <c r="L151" s="11">
        <f t="shared" si="8"/>
        <v>0.13527205978006254</v>
      </c>
      <c r="M151" s="11">
        <f t="shared" si="9"/>
        <v>-0.82556621216035386</v>
      </c>
    </row>
    <row r="152" spans="1:22" s="15" customFormat="1" ht="15.05" customHeight="1" x14ac:dyDescent="0.3">
      <c r="A152" s="4" t="s">
        <v>18</v>
      </c>
      <c r="B152" s="7"/>
      <c r="C152" s="7"/>
      <c r="D152" s="7"/>
      <c r="E152" s="7"/>
      <c r="F152" s="7"/>
      <c r="G152" s="7"/>
      <c r="H152" s="12">
        <f>SUM(H5:H151)</f>
        <v>15542189902</v>
      </c>
      <c r="I152" s="12">
        <f>SUM(I5:I151)</f>
        <v>21931555635</v>
      </c>
      <c r="J152" s="12">
        <f>SUM(J5:J151)</f>
        <v>9929141622</v>
      </c>
      <c r="K152" s="12">
        <f>SUM(K5:K151)</f>
        <v>12312135611.279997</v>
      </c>
      <c r="L152" s="13">
        <f>IFERROR((K152/I152),0)</f>
        <v>0.56138906953008749</v>
      </c>
      <c r="M152" s="14">
        <f>IFERROR((K152-H152)/H152,0)</f>
        <v>-0.20782491470551093</v>
      </c>
      <c r="P152"/>
      <c r="Q152"/>
      <c r="R152"/>
      <c r="S152"/>
      <c r="T152"/>
      <c r="U152"/>
      <c r="V152"/>
    </row>
    <row r="153" spans="1:22" ht="15.05" customHeight="1" x14ac:dyDescent="0.3"/>
  </sheetData>
  <autoFilter ref="A4:M152" xr:uid="{9C37F107-75DF-4C86-A97B-8DB1A6F13EC7}"/>
  <mergeCells count="2">
    <mergeCell ref="A3:M3"/>
    <mergeCell ref="P3:V3"/>
  </mergeCells>
  <conditionalFormatting sqref="A5:A151">
    <cfRule type="duplicateValues" dxfId="21" priority="5"/>
  </conditionalFormatting>
  <conditionalFormatting sqref="L5:L152">
    <cfRule type="cellIs" dxfId="20" priority="4" operator="lessThan">
      <formula>1</formula>
    </cfRule>
  </conditionalFormatting>
  <conditionalFormatting sqref="U5:U7 U11:U23">
    <cfRule type="cellIs" dxfId="19" priority="2" operator="lessThan">
      <formula>1</formula>
    </cfRule>
    <cfRule type="cellIs" dxfId="18" priority="3" operator="lessThan">
      <formula>0</formula>
    </cfRule>
  </conditionalFormatting>
  <conditionalFormatting sqref="V5:V8 L5:M152 V11:V24">
    <cfRule type="cellIs" dxfId="17" priority="1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ECE92-D324-4DDA-A1FB-1325F3D26F59}">
  <dimension ref="A1:V186"/>
  <sheetViews>
    <sheetView showGridLines="0" zoomScale="70" zoomScaleNormal="70" workbookViewId="0">
      <pane ySplit="4" topLeftCell="A5" activePane="bottomLeft" state="frozen"/>
      <selection activeCell="J6" sqref="J6"/>
      <selection pane="bottomLeft" activeCell="J6" sqref="J6"/>
    </sheetView>
  </sheetViews>
  <sheetFormatPr defaultRowHeight="15.05" x14ac:dyDescent="0.3"/>
  <cols>
    <col min="1" max="1" width="10.33203125" bestFit="1" customWidth="1"/>
    <col min="2" max="2" width="41.109375" customWidth="1"/>
    <col min="3" max="3" width="15.109375" bestFit="1" customWidth="1"/>
    <col min="4" max="4" width="23" bestFit="1" customWidth="1"/>
    <col min="5" max="6" width="23" customWidth="1"/>
    <col min="7" max="7" width="19.44140625" bestFit="1" customWidth="1"/>
    <col min="8" max="8" width="19.44140625" customWidth="1"/>
    <col min="9" max="13" width="18" customWidth="1"/>
    <col min="16" max="16" width="25.88671875" customWidth="1"/>
    <col min="17" max="22" width="15.109375" customWidth="1"/>
  </cols>
  <sheetData>
    <row r="1" spans="1:22" x14ac:dyDescent="0.3">
      <c r="A1" s="1">
        <v>25</v>
      </c>
      <c r="B1" s="1">
        <v>31</v>
      </c>
    </row>
    <row r="2" spans="1:22" x14ac:dyDescent="0.3">
      <c r="A2" s="16"/>
    </row>
    <row r="3" spans="1:22" s="3" customFormat="1" ht="23.5" customHeight="1" x14ac:dyDescent="0.3">
      <c r="A3" s="2" t="str">
        <f>"RACING SAMSUNG TABLET (01 - "&amp;A1&amp;" MEI 2026)"</f>
        <v>RACING SAMSUNG TABLET (01 - 25 MEI 2026)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P3" s="2" t="str">
        <f>A3</f>
        <v>RACING SAMSUNG TABLET (01 - 25 MEI 2026)</v>
      </c>
      <c r="Q3" s="2"/>
      <c r="R3" s="2"/>
      <c r="S3" s="2"/>
      <c r="T3" s="2"/>
      <c r="U3" s="2"/>
      <c r="V3" s="2"/>
    </row>
    <row r="4" spans="1:22" s="3" customFormat="1" ht="29.45" customHeight="1" x14ac:dyDescent="0.3">
      <c r="A4" s="4" t="s">
        <v>0</v>
      </c>
      <c r="B4" s="5" t="s">
        <v>1</v>
      </c>
      <c r="C4" s="5" t="s">
        <v>2</v>
      </c>
      <c r="D4" s="5" t="s">
        <v>3</v>
      </c>
      <c r="E4" s="5" t="s">
        <v>4</v>
      </c>
      <c r="F4" s="5" t="s">
        <v>5</v>
      </c>
      <c r="G4" s="5" t="s">
        <v>6</v>
      </c>
      <c r="H4" s="6" t="s">
        <v>7</v>
      </c>
      <c r="I4" s="6" t="s">
        <v>8</v>
      </c>
      <c r="J4" s="6" t="s">
        <v>9</v>
      </c>
      <c r="K4" s="6" t="s">
        <v>10</v>
      </c>
      <c r="L4" s="6" t="s">
        <v>11</v>
      </c>
      <c r="M4" s="6" t="s">
        <v>12</v>
      </c>
      <c r="P4" s="7" t="s">
        <v>2</v>
      </c>
      <c r="Q4" s="6" t="s">
        <v>7</v>
      </c>
      <c r="R4" s="6" t="s">
        <v>8</v>
      </c>
      <c r="S4" s="6" t="s">
        <v>9</v>
      </c>
      <c r="T4" s="6" t="s">
        <v>10</v>
      </c>
      <c r="U4" s="6" t="s">
        <v>11</v>
      </c>
      <c r="V4" s="6" t="s">
        <v>12</v>
      </c>
    </row>
    <row r="5" spans="1:22" x14ac:dyDescent="0.3">
      <c r="A5" s="8" t="s">
        <v>168</v>
      </c>
      <c r="B5" s="9" t="s">
        <v>458</v>
      </c>
      <c r="C5" s="9" t="s">
        <v>14</v>
      </c>
      <c r="D5" s="9" t="s">
        <v>24</v>
      </c>
      <c r="E5" s="9" t="s">
        <v>616</v>
      </c>
      <c r="F5" s="9" t="s">
        <v>617</v>
      </c>
      <c r="G5" s="9" t="s">
        <v>619</v>
      </c>
      <c r="H5" s="10">
        <v>3</v>
      </c>
      <c r="I5" s="10">
        <v>4</v>
      </c>
      <c r="J5" s="10">
        <v>5</v>
      </c>
      <c r="K5" s="10">
        <f t="shared" ref="K5:K68" si="0">IFERROR((J5/$A$1*$B$1),0)</f>
        <v>6.2</v>
      </c>
      <c r="L5" s="11">
        <f t="shared" ref="L5:L68" si="1">IFERROR((K5/I5),0)</f>
        <v>1.55</v>
      </c>
      <c r="M5" s="11">
        <f t="shared" ref="M5:M68" si="2">IFERROR((K5-H5)/H5,0)</f>
        <v>1.0666666666666667</v>
      </c>
      <c r="P5" s="9" t="s">
        <v>14</v>
      </c>
      <c r="Q5" s="10">
        <f t="shared" ref="Q5:T7" si="3">SUMIF($C:$C,$P5,H:H)</f>
        <v>136</v>
      </c>
      <c r="R5" s="10">
        <f t="shared" si="3"/>
        <v>130</v>
      </c>
      <c r="S5" s="10">
        <f t="shared" si="3"/>
        <v>104</v>
      </c>
      <c r="T5" s="10">
        <f t="shared" si="3"/>
        <v>128.95999999999998</v>
      </c>
      <c r="U5" s="11">
        <f>IFERROR((T5/R5),0)</f>
        <v>0.99199999999999988</v>
      </c>
      <c r="V5" s="11">
        <f>IFERROR((T5-Q5)/Q5,0)</f>
        <v>-5.1764705882353095E-2</v>
      </c>
    </row>
    <row r="6" spans="1:22" x14ac:dyDescent="0.3">
      <c r="A6" s="8" t="s">
        <v>127</v>
      </c>
      <c r="B6" s="9" t="s">
        <v>425</v>
      </c>
      <c r="C6" s="9" t="s">
        <v>14</v>
      </c>
      <c r="D6" s="9" t="s">
        <v>28</v>
      </c>
      <c r="E6" s="9" t="s">
        <v>616</v>
      </c>
      <c r="F6" s="9" t="s">
        <v>617</v>
      </c>
      <c r="G6" s="9" t="s">
        <v>620</v>
      </c>
      <c r="H6" s="10">
        <v>0</v>
      </c>
      <c r="I6" s="10">
        <v>0</v>
      </c>
      <c r="J6" s="10">
        <v>3</v>
      </c>
      <c r="K6" s="10">
        <f t="shared" si="0"/>
        <v>3.7199999999999998</v>
      </c>
      <c r="L6" s="11">
        <f t="shared" si="1"/>
        <v>0</v>
      </c>
      <c r="M6" s="11">
        <f t="shared" si="2"/>
        <v>0</v>
      </c>
      <c r="P6" s="9" t="s">
        <v>16</v>
      </c>
      <c r="Q6" s="10">
        <f t="shared" si="3"/>
        <v>175</v>
      </c>
      <c r="R6" s="10">
        <f t="shared" si="3"/>
        <v>186</v>
      </c>
      <c r="S6" s="10">
        <f t="shared" si="3"/>
        <v>122</v>
      </c>
      <c r="T6" s="10">
        <f t="shared" si="3"/>
        <v>151.28</v>
      </c>
      <c r="U6" s="11">
        <f>IFERROR((T6/R6),0)</f>
        <v>0.81333333333333335</v>
      </c>
      <c r="V6" s="11">
        <f>IFERROR((T6-Q6)/Q6,0)</f>
        <v>-0.13554285714285713</v>
      </c>
    </row>
    <row r="7" spans="1:22" x14ac:dyDescent="0.3">
      <c r="A7" s="8" t="s">
        <v>55</v>
      </c>
      <c r="B7" s="9" t="s">
        <v>359</v>
      </c>
      <c r="C7" s="9" t="s">
        <v>16</v>
      </c>
      <c r="D7" s="9" t="s">
        <v>40</v>
      </c>
      <c r="E7" s="9" t="s">
        <v>616</v>
      </c>
      <c r="F7" s="9" t="s">
        <v>617</v>
      </c>
      <c r="G7" s="9" t="s">
        <v>623</v>
      </c>
      <c r="H7" s="10">
        <v>2</v>
      </c>
      <c r="I7" s="10">
        <v>1</v>
      </c>
      <c r="J7" s="10">
        <v>1</v>
      </c>
      <c r="K7" s="10">
        <f t="shared" si="0"/>
        <v>1.24</v>
      </c>
      <c r="L7" s="11">
        <f t="shared" si="1"/>
        <v>1.24</v>
      </c>
      <c r="M7" s="11">
        <f t="shared" si="2"/>
        <v>-0.38</v>
      </c>
      <c r="P7" s="9" t="s">
        <v>120</v>
      </c>
      <c r="Q7" s="10">
        <f t="shared" si="3"/>
        <v>515</v>
      </c>
      <c r="R7" s="10">
        <f t="shared" si="3"/>
        <v>226</v>
      </c>
      <c r="S7" s="10">
        <f t="shared" si="3"/>
        <v>474</v>
      </c>
      <c r="T7" s="10">
        <f t="shared" si="3"/>
        <v>587.76</v>
      </c>
      <c r="U7" s="11">
        <f>IFERROR((T7/R7),0)</f>
        <v>2.6007079646017699</v>
      </c>
      <c r="V7" s="11">
        <f>IFERROR((T7-Q7)/Q7,0)</f>
        <v>0.14128155339805823</v>
      </c>
    </row>
    <row r="8" spans="1:22" x14ac:dyDescent="0.3">
      <c r="A8" s="8" t="s">
        <v>122</v>
      </c>
      <c r="B8" s="9" t="s">
        <v>420</v>
      </c>
      <c r="C8" s="9" t="s">
        <v>14</v>
      </c>
      <c r="D8" s="9" t="s">
        <v>30</v>
      </c>
      <c r="E8" s="9" t="s">
        <v>616</v>
      </c>
      <c r="F8" s="9" t="s">
        <v>617</v>
      </c>
      <c r="G8" s="9" t="s">
        <v>620</v>
      </c>
      <c r="H8" s="10">
        <v>4</v>
      </c>
      <c r="I8" s="10">
        <v>2</v>
      </c>
      <c r="J8" s="10">
        <v>1</v>
      </c>
      <c r="K8" s="10">
        <f t="shared" si="0"/>
        <v>1.24</v>
      </c>
      <c r="L8" s="11">
        <f t="shared" si="1"/>
        <v>0.62</v>
      </c>
      <c r="M8" s="11">
        <f t="shared" si="2"/>
        <v>-0.69</v>
      </c>
      <c r="P8" s="4" t="s">
        <v>18</v>
      </c>
      <c r="Q8" s="12">
        <f>SUM(Q5:Q7)</f>
        <v>826</v>
      </c>
      <c r="R8" s="12">
        <f>SUM(R5:R7)</f>
        <v>542</v>
      </c>
      <c r="S8" s="12">
        <f>SUM(S5:S7)</f>
        <v>700</v>
      </c>
      <c r="T8" s="12">
        <f>SUM(T5:T7)</f>
        <v>868</v>
      </c>
      <c r="U8" s="13">
        <f>IFERROR((T8/R8),0)</f>
        <v>1.6014760147601477</v>
      </c>
      <c r="V8" s="14">
        <f>IFERROR((T8-Q8)/Q8,0)</f>
        <v>5.0847457627118647E-2</v>
      </c>
    </row>
    <row r="9" spans="1:22" x14ac:dyDescent="0.3">
      <c r="A9" s="8" t="s">
        <v>119</v>
      </c>
      <c r="B9" s="9" t="s">
        <v>418</v>
      </c>
      <c r="C9" s="9" t="s">
        <v>14</v>
      </c>
      <c r="D9" s="9" t="s">
        <v>32</v>
      </c>
      <c r="E9" s="9" t="s">
        <v>616</v>
      </c>
      <c r="F9" s="9" t="s">
        <v>617</v>
      </c>
      <c r="G9" s="9" t="s">
        <v>619</v>
      </c>
      <c r="H9" s="10">
        <v>5</v>
      </c>
      <c r="I9" s="10">
        <v>4</v>
      </c>
      <c r="J9" s="10">
        <v>4</v>
      </c>
      <c r="K9" s="10">
        <f t="shared" si="0"/>
        <v>4.96</v>
      </c>
      <c r="L9" s="11">
        <f t="shared" si="1"/>
        <v>1.24</v>
      </c>
      <c r="M9" s="11">
        <f t="shared" si="2"/>
        <v>-8.0000000000000071E-3</v>
      </c>
    </row>
    <row r="10" spans="1:22" x14ac:dyDescent="0.3">
      <c r="A10" s="8" t="s">
        <v>121</v>
      </c>
      <c r="B10" s="9" t="s">
        <v>419</v>
      </c>
      <c r="C10" s="9" t="s">
        <v>14</v>
      </c>
      <c r="D10" s="9" t="s">
        <v>28</v>
      </c>
      <c r="E10" s="9" t="s">
        <v>616</v>
      </c>
      <c r="F10" s="9" t="s">
        <v>617</v>
      </c>
      <c r="G10" s="9" t="s">
        <v>620</v>
      </c>
      <c r="H10" s="10">
        <v>3</v>
      </c>
      <c r="I10" s="10">
        <v>1</v>
      </c>
      <c r="J10" s="10">
        <v>2</v>
      </c>
      <c r="K10" s="10">
        <f t="shared" si="0"/>
        <v>2.48</v>
      </c>
      <c r="L10" s="11">
        <f t="shared" si="1"/>
        <v>2.48</v>
      </c>
      <c r="M10" s="11">
        <f t="shared" si="2"/>
        <v>-0.17333333333333334</v>
      </c>
      <c r="P10" s="7" t="s">
        <v>3</v>
      </c>
      <c r="Q10" s="7" t="s">
        <v>7</v>
      </c>
      <c r="R10" s="7" t="s">
        <v>8</v>
      </c>
      <c r="S10" s="7" t="s">
        <v>9</v>
      </c>
      <c r="T10" s="7" t="s">
        <v>10</v>
      </c>
      <c r="U10" s="7" t="s">
        <v>11</v>
      </c>
      <c r="V10" s="7" t="s">
        <v>12</v>
      </c>
    </row>
    <row r="11" spans="1:22" x14ac:dyDescent="0.3">
      <c r="A11" s="8" t="s">
        <v>58</v>
      </c>
      <c r="B11" s="9" t="s">
        <v>362</v>
      </c>
      <c r="C11" s="9" t="s">
        <v>16</v>
      </c>
      <c r="D11" s="9" t="s">
        <v>36</v>
      </c>
      <c r="E11" s="9" t="s">
        <v>616</v>
      </c>
      <c r="F11" s="9" t="s">
        <v>617</v>
      </c>
      <c r="G11" s="9" t="s">
        <v>622</v>
      </c>
      <c r="H11" s="10">
        <v>3</v>
      </c>
      <c r="I11" s="10">
        <v>3</v>
      </c>
      <c r="J11" s="10">
        <v>2</v>
      </c>
      <c r="K11" s="10">
        <f t="shared" si="0"/>
        <v>2.48</v>
      </c>
      <c r="L11" s="11">
        <f t="shared" si="1"/>
        <v>0.82666666666666666</v>
      </c>
      <c r="M11" s="11">
        <f t="shared" si="2"/>
        <v>-0.17333333333333334</v>
      </c>
      <c r="P11" s="9" t="s">
        <v>22</v>
      </c>
      <c r="Q11" s="10">
        <f t="shared" ref="Q11:T25" si="4">SUMIF($D:$D,$P11,H:H)</f>
        <v>17</v>
      </c>
      <c r="R11" s="10">
        <f t="shared" si="4"/>
        <v>19</v>
      </c>
      <c r="S11" s="10">
        <f t="shared" si="4"/>
        <v>11</v>
      </c>
      <c r="T11" s="10">
        <f t="shared" si="4"/>
        <v>13.64</v>
      </c>
      <c r="U11" s="11">
        <f t="shared" ref="U11:U26" si="5">IFERROR((T11/R11),0)</f>
        <v>0.71789473684210525</v>
      </c>
      <c r="V11" s="11">
        <f t="shared" ref="V11:V26" si="6">IFERROR((T11-Q11)/Q11,0)</f>
        <v>-0.19764705882352937</v>
      </c>
    </row>
    <row r="12" spans="1:22" x14ac:dyDescent="0.3">
      <c r="A12" s="8" t="s">
        <v>51</v>
      </c>
      <c r="B12" s="9" t="s">
        <v>355</v>
      </c>
      <c r="C12" s="9" t="s">
        <v>16</v>
      </c>
      <c r="D12" s="9" t="s">
        <v>44</v>
      </c>
      <c r="E12" s="9" t="s">
        <v>616</v>
      </c>
      <c r="F12" s="9" t="s">
        <v>617</v>
      </c>
      <c r="G12" s="9" t="s">
        <v>622</v>
      </c>
      <c r="H12" s="10">
        <v>2</v>
      </c>
      <c r="I12" s="10">
        <v>1</v>
      </c>
      <c r="J12" s="10">
        <v>2</v>
      </c>
      <c r="K12" s="10">
        <f t="shared" si="0"/>
        <v>2.48</v>
      </c>
      <c r="L12" s="11">
        <f t="shared" si="1"/>
        <v>2.48</v>
      </c>
      <c r="M12" s="11">
        <f t="shared" si="2"/>
        <v>0.24</v>
      </c>
      <c r="P12" s="9" t="s">
        <v>44</v>
      </c>
      <c r="Q12" s="10">
        <f t="shared" si="4"/>
        <v>34</v>
      </c>
      <c r="R12" s="10">
        <f t="shared" si="4"/>
        <v>38</v>
      </c>
      <c r="S12" s="10">
        <f t="shared" si="4"/>
        <v>23</v>
      </c>
      <c r="T12" s="10">
        <f t="shared" si="4"/>
        <v>28.519999999999996</v>
      </c>
      <c r="U12" s="11">
        <f t="shared" si="5"/>
        <v>0.7505263157894736</v>
      </c>
      <c r="V12" s="11">
        <f t="shared" si="6"/>
        <v>-0.16117647058823542</v>
      </c>
    </row>
    <row r="13" spans="1:22" x14ac:dyDescent="0.3">
      <c r="A13" s="8" t="s">
        <v>128</v>
      </c>
      <c r="B13" s="9" t="s">
        <v>426</v>
      </c>
      <c r="C13" s="9" t="s">
        <v>16</v>
      </c>
      <c r="D13" s="9" t="s">
        <v>42</v>
      </c>
      <c r="E13" s="9" t="s">
        <v>616</v>
      </c>
      <c r="F13" s="9" t="s">
        <v>617</v>
      </c>
      <c r="G13" s="9" t="s">
        <v>618</v>
      </c>
      <c r="H13" s="10">
        <v>7</v>
      </c>
      <c r="I13" s="10">
        <v>3</v>
      </c>
      <c r="J13" s="10">
        <v>6</v>
      </c>
      <c r="K13" s="10">
        <f t="shared" si="0"/>
        <v>7.4399999999999995</v>
      </c>
      <c r="L13" s="11">
        <f t="shared" si="1"/>
        <v>2.48</v>
      </c>
      <c r="M13" s="11">
        <f t="shared" si="2"/>
        <v>6.2857142857142792E-2</v>
      </c>
      <c r="P13" s="9" t="s">
        <v>42</v>
      </c>
      <c r="Q13" s="10">
        <f t="shared" si="4"/>
        <v>10</v>
      </c>
      <c r="R13" s="10">
        <f t="shared" si="4"/>
        <v>11</v>
      </c>
      <c r="S13" s="10">
        <f t="shared" si="4"/>
        <v>13</v>
      </c>
      <c r="T13" s="10">
        <f t="shared" si="4"/>
        <v>16.12</v>
      </c>
      <c r="U13" s="11">
        <f t="shared" si="5"/>
        <v>1.4654545454545456</v>
      </c>
      <c r="V13" s="11">
        <f t="shared" si="6"/>
        <v>0.6120000000000001</v>
      </c>
    </row>
    <row r="14" spans="1:22" x14ac:dyDescent="0.3">
      <c r="A14" s="8" t="s">
        <v>39</v>
      </c>
      <c r="B14" s="9" t="s">
        <v>346</v>
      </c>
      <c r="C14" s="9" t="s">
        <v>16</v>
      </c>
      <c r="D14" s="9" t="s">
        <v>38</v>
      </c>
      <c r="E14" s="9" t="s">
        <v>616</v>
      </c>
      <c r="F14" s="9" t="s">
        <v>617</v>
      </c>
      <c r="G14" s="9" t="s">
        <v>621</v>
      </c>
      <c r="H14" s="10">
        <v>8</v>
      </c>
      <c r="I14" s="10">
        <v>9</v>
      </c>
      <c r="J14" s="10">
        <v>3</v>
      </c>
      <c r="K14" s="10">
        <f t="shared" si="0"/>
        <v>3.7199999999999998</v>
      </c>
      <c r="L14" s="11">
        <f t="shared" si="1"/>
        <v>0.41333333333333333</v>
      </c>
      <c r="M14" s="11">
        <f t="shared" si="2"/>
        <v>-0.53500000000000003</v>
      </c>
      <c r="P14" s="9" t="s">
        <v>36</v>
      </c>
      <c r="Q14" s="10">
        <f t="shared" si="4"/>
        <v>26</v>
      </c>
      <c r="R14" s="10">
        <f t="shared" si="4"/>
        <v>22</v>
      </c>
      <c r="S14" s="10">
        <f t="shared" si="4"/>
        <v>18</v>
      </c>
      <c r="T14" s="10">
        <f t="shared" si="4"/>
        <v>22.32</v>
      </c>
      <c r="U14" s="11">
        <f t="shared" si="5"/>
        <v>1.0145454545454546</v>
      </c>
      <c r="V14" s="11">
        <f t="shared" si="6"/>
        <v>-0.14153846153846153</v>
      </c>
    </row>
    <row r="15" spans="1:22" x14ac:dyDescent="0.3">
      <c r="A15" s="8" t="s">
        <v>125</v>
      </c>
      <c r="B15" s="9" t="s">
        <v>423</v>
      </c>
      <c r="C15" s="9" t="s">
        <v>16</v>
      </c>
      <c r="D15" s="9" t="s">
        <v>36</v>
      </c>
      <c r="E15" s="9" t="s">
        <v>616</v>
      </c>
      <c r="F15" s="9" t="s">
        <v>617</v>
      </c>
      <c r="G15" s="9" t="s">
        <v>622</v>
      </c>
      <c r="H15" s="10">
        <v>3</v>
      </c>
      <c r="I15" s="10">
        <v>2</v>
      </c>
      <c r="J15" s="10">
        <v>1</v>
      </c>
      <c r="K15" s="10">
        <f t="shared" si="0"/>
        <v>1.24</v>
      </c>
      <c r="L15" s="11">
        <f t="shared" si="1"/>
        <v>0.62</v>
      </c>
      <c r="M15" s="11">
        <f t="shared" si="2"/>
        <v>-0.58666666666666667</v>
      </c>
      <c r="P15" s="9" t="s">
        <v>32</v>
      </c>
      <c r="Q15" s="10">
        <f t="shared" si="4"/>
        <v>50</v>
      </c>
      <c r="R15" s="10">
        <f t="shared" si="4"/>
        <v>47</v>
      </c>
      <c r="S15" s="10">
        <f t="shared" si="4"/>
        <v>36</v>
      </c>
      <c r="T15" s="10">
        <f t="shared" si="4"/>
        <v>44.639999999999993</v>
      </c>
      <c r="U15" s="11">
        <f t="shared" si="5"/>
        <v>0.94978723404255305</v>
      </c>
      <c r="V15" s="11">
        <f t="shared" si="6"/>
        <v>-0.10720000000000013</v>
      </c>
    </row>
    <row r="16" spans="1:22" x14ac:dyDescent="0.3">
      <c r="A16" s="8" t="s">
        <v>167</v>
      </c>
      <c r="B16" s="9" t="s">
        <v>457</v>
      </c>
      <c r="C16" s="9" t="s">
        <v>16</v>
      </c>
      <c r="D16" s="9" t="s">
        <v>44</v>
      </c>
      <c r="E16" s="9" t="s">
        <v>616</v>
      </c>
      <c r="F16" s="9" t="s">
        <v>617</v>
      </c>
      <c r="G16" s="9" t="s">
        <v>622</v>
      </c>
      <c r="H16" s="10">
        <v>17</v>
      </c>
      <c r="I16" s="10">
        <v>14</v>
      </c>
      <c r="J16" s="10">
        <v>11</v>
      </c>
      <c r="K16" s="10">
        <f t="shared" si="0"/>
        <v>13.64</v>
      </c>
      <c r="L16" s="11">
        <f t="shared" si="1"/>
        <v>0.97428571428571431</v>
      </c>
      <c r="M16" s="11">
        <f t="shared" si="2"/>
        <v>-0.19764705882352937</v>
      </c>
      <c r="P16" s="9" t="s">
        <v>26</v>
      </c>
      <c r="Q16" s="10">
        <f t="shared" si="4"/>
        <v>14</v>
      </c>
      <c r="R16" s="10">
        <f t="shared" si="4"/>
        <v>25</v>
      </c>
      <c r="S16" s="10">
        <f t="shared" si="4"/>
        <v>16</v>
      </c>
      <c r="T16" s="10">
        <f t="shared" si="4"/>
        <v>19.84</v>
      </c>
      <c r="U16" s="11">
        <f t="shared" si="5"/>
        <v>0.79359999999999997</v>
      </c>
      <c r="V16" s="11">
        <f t="shared" si="6"/>
        <v>0.41714285714285715</v>
      </c>
    </row>
    <row r="17" spans="1:22" x14ac:dyDescent="0.3">
      <c r="A17" s="8" t="s">
        <v>41</v>
      </c>
      <c r="B17" s="9" t="s">
        <v>347</v>
      </c>
      <c r="C17" s="9" t="s">
        <v>14</v>
      </c>
      <c r="D17" s="9" t="s">
        <v>32</v>
      </c>
      <c r="E17" s="9" t="s">
        <v>616</v>
      </c>
      <c r="F17" s="9" t="s">
        <v>617</v>
      </c>
      <c r="G17" s="9" t="s">
        <v>619</v>
      </c>
      <c r="H17" s="10">
        <v>7</v>
      </c>
      <c r="I17" s="10">
        <v>8</v>
      </c>
      <c r="J17" s="10">
        <v>4</v>
      </c>
      <c r="K17" s="10">
        <f t="shared" si="0"/>
        <v>4.96</v>
      </c>
      <c r="L17" s="11">
        <f t="shared" si="1"/>
        <v>0.62</v>
      </c>
      <c r="M17" s="11">
        <f t="shared" si="2"/>
        <v>-0.29142857142857143</v>
      </c>
      <c r="P17" s="9" t="s">
        <v>30</v>
      </c>
      <c r="Q17" s="10">
        <f t="shared" si="4"/>
        <v>33</v>
      </c>
      <c r="R17" s="10">
        <f t="shared" si="4"/>
        <v>24</v>
      </c>
      <c r="S17" s="10">
        <f t="shared" si="4"/>
        <v>14</v>
      </c>
      <c r="T17" s="10">
        <f t="shared" si="4"/>
        <v>17.36</v>
      </c>
      <c r="U17" s="11">
        <f t="shared" si="5"/>
        <v>0.72333333333333327</v>
      </c>
      <c r="V17" s="11">
        <f t="shared" si="6"/>
        <v>-0.47393939393939394</v>
      </c>
    </row>
    <row r="18" spans="1:22" x14ac:dyDescent="0.3">
      <c r="A18" s="8" t="s">
        <v>258</v>
      </c>
      <c r="B18" s="9" t="s">
        <v>547</v>
      </c>
      <c r="C18" s="9" t="s">
        <v>14</v>
      </c>
      <c r="D18" s="9" t="s">
        <v>24</v>
      </c>
      <c r="E18" s="9" t="s">
        <v>630</v>
      </c>
      <c r="F18" s="9" t="s">
        <v>617</v>
      </c>
      <c r="G18" s="9" t="s">
        <v>619</v>
      </c>
      <c r="H18" s="10">
        <v>1</v>
      </c>
      <c r="I18" s="10">
        <v>0</v>
      </c>
      <c r="J18" s="10">
        <v>0</v>
      </c>
      <c r="K18" s="10">
        <f t="shared" si="0"/>
        <v>0</v>
      </c>
      <c r="L18" s="11">
        <f t="shared" si="1"/>
        <v>0</v>
      </c>
      <c r="M18" s="11">
        <f t="shared" si="2"/>
        <v>-1</v>
      </c>
      <c r="P18" s="9" t="s">
        <v>28</v>
      </c>
      <c r="Q18" s="10">
        <f t="shared" si="4"/>
        <v>10</v>
      </c>
      <c r="R18" s="10">
        <f t="shared" si="4"/>
        <v>10</v>
      </c>
      <c r="S18" s="10">
        <f t="shared" si="4"/>
        <v>12</v>
      </c>
      <c r="T18" s="10">
        <f t="shared" si="4"/>
        <v>14.88</v>
      </c>
      <c r="U18" s="11">
        <f t="shared" si="5"/>
        <v>1.488</v>
      </c>
      <c r="V18" s="11">
        <f t="shared" si="6"/>
        <v>0.4880000000000001</v>
      </c>
    </row>
    <row r="19" spans="1:22" x14ac:dyDescent="0.3">
      <c r="A19" s="8" t="s">
        <v>271</v>
      </c>
      <c r="B19" s="9" t="s">
        <v>560</v>
      </c>
      <c r="C19" s="9" t="s">
        <v>14</v>
      </c>
      <c r="D19" s="9" t="s">
        <v>26</v>
      </c>
      <c r="E19" s="9" t="s">
        <v>631</v>
      </c>
      <c r="F19" s="9" t="s">
        <v>624</v>
      </c>
      <c r="G19" s="9" t="s">
        <v>619</v>
      </c>
      <c r="H19" s="10">
        <v>0</v>
      </c>
      <c r="I19" s="10">
        <v>0</v>
      </c>
      <c r="J19" s="10">
        <v>0</v>
      </c>
      <c r="K19" s="10">
        <f t="shared" si="0"/>
        <v>0</v>
      </c>
      <c r="L19" s="11">
        <f t="shared" si="1"/>
        <v>0</v>
      </c>
      <c r="M19" s="11">
        <f t="shared" si="2"/>
        <v>0</v>
      </c>
      <c r="P19" s="9" t="s">
        <v>40</v>
      </c>
      <c r="Q19" s="10">
        <f t="shared" si="4"/>
        <v>20</v>
      </c>
      <c r="R19" s="10">
        <f t="shared" si="4"/>
        <v>25</v>
      </c>
      <c r="S19" s="10">
        <f t="shared" si="4"/>
        <v>21</v>
      </c>
      <c r="T19" s="10">
        <f t="shared" si="4"/>
        <v>26.039999999999996</v>
      </c>
      <c r="U19" s="11">
        <f t="shared" si="5"/>
        <v>1.0415999999999999</v>
      </c>
      <c r="V19" s="11">
        <f t="shared" si="6"/>
        <v>0.30199999999999977</v>
      </c>
    </row>
    <row r="20" spans="1:22" x14ac:dyDescent="0.3">
      <c r="A20" s="8" t="s">
        <v>126</v>
      </c>
      <c r="B20" s="9" t="s">
        <v>424</v>
      </c>
      <c r="C20" s="9" t="s">
        <v>16</v>
      </c>
      <c r="D20" s="9" t="s">
        <v>36</v>
      </c>
      <c r="E20" s="9" t="s">
        <v>616</v>
      </c>
      <c r="F20" s="9" t="s">
        <v>617</v>
      </c>
      <c r="G20" s="9" t="s">
        <v>621</v>
      </c>
      <c r="H20" s="10">
        <v>10</v>
      </c>
      <c r="I20" s="10">
        <v>10</v>
      </c>
      <c r="J20" s="10">
        <v>6</v>
      </c>
      <c r="K20" s="10">
        <f t="shared" si="0"/>
        <v>7.4399999999999995</v>
      </c>
      <c r="L20" s="11">
        <f t="shared" si="1"/>
        <v>0.74399999999999999</v>
      </c>
      <c r="M20" s="11">
        <f t="shared" si="2"/>
        <v>-0.25600000000000006</v>
      </c>
      <c r="P20" s="9" t="s">
        <v>34</v>
      </c>
      <c r="Q20" s="10">
        <f t="shared" si="4"/>
        <v>31</v>
      </c>
      <c r="R20" s="10">
        <f t="shared" si="4"/>
        <v>33</v>
      </c>
      <c r="S20" s="10">
        <f t="shared" si="4"/>
        <v>18</v>
      </c>
      <c r="T20" s="10">
        <f t="shared" si="4"/>
        <v>22.319999999999997</v>
      </c>
      <c r="U20" s="11">
        <f t="shared" si="5"/>
        <v>0.67636363636363628</v>
      </c>
      <c r="V20" s="11">
        <f t="shared" si="6"/>
        <v>-0.28000000000000008</v>
      </c>
    </row>
    <row r="21" spans="1:22" x14ac:dyDescent="0.3">
      <c r="A21" s="8" t="s">
        <v>265</v>
      </c>
      <c r="B21" s="9" t="s">
        <v>554</v>
      </c>
      <c r="C21" s="9" t="s">
        <v>14</v>
      </c>
      <c r="D21" s="9" t="s">
        <v>28</v>
      </c>
      <c r="E21" s="9" t="s">
        <v>630</v>
      </c>
      <c r="F21" s="9" t="s">
        <v>617</v>
      </c>
      <c r="G21" s="9" t="s">
        <v>620</v>
      </c>
      <c r="H21" s="10">
        <v>0</v>
      </c>
      <c r="I21" s="10">
        <v>0</v>
      </c>
      <c r="J21" s="10">
        <v>0</v>
      </c>
      <c r="K21" s="10">
        <f t="shared" si="0"/>
        <v>0</v>
      </c>
      <c r="L21" s="11">
        <f t="shared" si="1"/>
        <v>0</v>
      </c>
      <c r="M21" s="11">
        <f t="shared" si="2"/>
        <v>0</v>
      </c>
      <c r="P21" s="9" t="s">
        <v>24</v>
      </c>
      <c r="Q21" s="10">
        <f t="shared" si="4"/>
        <v>29</v>
      </c>
      <c r="R21" s="10">
        <f t="shared" si="4"/>
        <v>24</v>
      </c>
      <c r="S21" s="10">
        <f t="shared" si="4"/>
        <v>26</v>
      </c>
      <c r="T21" s="10">
        <f t="shared" si="4"/>
        <v>32.24</v>
      </c>
      <c r="U21" s="11">
        <f t="shared" si="5"/>
        <v>1.3433333333333335</v>
      </c>
      <c r="V21" s="11">
        <f t="shared" si="6"/>
        <v>0.11172413793103456</v>
      </c>
    </row>
    <row r="22" spans="1:22" x14ac:dyDescent="0.3">
      <c r="A22" s="8" t="s">
        <v>261</v>
      </c>
      <c r="B22" s="9" t="s">
        <v>550</v>
      </c>
      <c r="C22" s="9" t="s">
        <v>16</v>
      </c>
      <c r="D22" s="9" t="s">
        <v>38</v>
      </c>
      <c r="E22" s="9" t="s">
        <v>630</v>
      </c>
      <c r="F22" s="9" t="s">
        <v>617</v>
      </c>
      <c r="G22" s="9" t="s">
        <v>621</v>
      </c>
      <c r="H22" s="10">
        <v>0</v>
      </c>
      <c r="I22" s="10">
        <v>0</v>
      </c>
      <c r="J22" s="10">
        <v>0</v>
      </c>
      <c r="K22" s="10">
        <f t="shared" si="0"/>
        <v>0</v>
      </c>
      <c r="L22" s="11">
        <f t="shared" si="1"/>
        <v>0</v>
      </c>
      <c r="M22" s="11">
        <f t="shared" si="2"/>
        <v>0</v>
      </c>
      <c r="P22" s="9" t="s">
        <v>38</v>
      </c>
      <c r="Q22" s="10">
        <f t="shared" si="4"/>
        <v>37</v>
      </c>
      <c r="R22" s="10">
        <f t="shared" si="4"/>
        <v>38</v>
      </c>
      <c r="S22" s="10">
        <f t="shared" si="4"/>
        <v>18</v>
      </c>
      <c r="T22" s="10">
        <f t="shared" si="4"/>
        <v>22.319999999999997</v>
      </c>
      <c r="U22" s="11">
        <f t="shared" si="5"/>
        <v>0.58736842105263154</v>
      </c>
      <c r="V22" s="11">
        <f t="shared" si="6"/>
        <v>-0.39675675675675687</v>
      </c>
    </row>
    <row r="23" spans="1:22" x14ac:dyDescent="0.3">
      <c r="A23" s="8" t="s">
        <v>260</v>
      </c>
      <c r="B23" s="9" t="s">
        <v>549</v>
      </c>
      <c r="C23" s="9" t="s">
        <v>14</v>
      </c>
      <c r="D23" s="9" t="s">
        <v>32</v>
      </c>
      <c r="E23" s="9" t="s">
        <v>630</v>
      </c>
      <c r="F23" s="9" t="s">
        <v>617</v>
      </c>
      <c r="G23" s="9" t="s">
        <v>619</v>
      </c>
      <c r="H23" s="10">
        <v>17</v>
      </c>
      <c r="I23" s="10">
        <v>8</v>
      </c>
      <c r="J23" s="10">
        <v>11</v>
      </c>
      <c r="K23" s="10">
        <f t="shared" si="0"/>
        <v>13.64</v>
      </c>
      <c r="L23" s="11">
        <f t="shared" si="1"/>
        <v>1.7050000000000001</v>
      </c>
      <c r="M23" s="11">
        <f t="shared" si="2"/>
        <v>-0.19764705882352937</v>
      </c>
      <c r="P23" s="9" t="s">
        <v>135</v>
      </c>
      <c r="Q23" s="10">
        <f t="shared" si="4"/>
        <v>250</v>
      </c>
      <c r="R23" s="10">
        <f t="shared" si="4"/>
        <v>92</v>
      </c>
      <c r="S23" s="10">
        <f t="shared" si="4"/>
        <v>215</v>
      </c>
      <c r="T23" s="10">
        <f t="shared" si="4"/>
        <v>266.60000000000002</v>
      </c>
      <c r="U23" s="11">
        <f t="shared" si="5"/>
        <v>2.8978260869565218</v>
      </c>
      <c r="V23" s="11">
        <f t="shared" si="6"/>
        <v>6.6400000000000098E-2</v>
      </c>
    </row>
    <row r="24" spans="1:22" x14ac:dyDescent="0.3">
      <c r="A24" s="8" t="s">
        <v>272</v>
      </c>
      <c r="B24" s="9" t="s">
        <v>561</v>
      </c>
      <c r="C24" s="9" t="s">
        <v>14</v>
      </c>
      <c r="D24" s="9" t="s">
        <v>26</v>
      </c>
      <c r="E24" s="9" t="s">
        <v>631</v>
      </c>
      <c r="F24" s="9" t="s">
        <v>624</v>
      </c>
      <c r="G24" s="9" t="s">
        <v>619</v>
      </c>
      <c r="H24" s="10">
        <v>0</v>
      </c>
      <c r="I24" s="10">
        <v>0</v>
      </c>
      <c r="J24" s="10">
        <v>0</v>
      </c>
      <c r="K24" s="10">
        <f t="shared" si="0"/>
        <v>0</v>
      </c>
      <c r="L24" s="11">
        <f t="shared" si="1"/>
        <v>0</v>
      </c>
      <c r="M24" s="11">
        <f t="shared" si="2"/>
        <v>0</v>
      </c>
      <c r="P24" s="9" t="s">
        <v>137</v>
      </c>
      <c r="Q24" s="10">
        <f t="shared" si="4"/>
        <v>261</v>
      </c>
      <c r="R24" s="10">
        <f t="shared" si="4"/>
        <v>130</v>
      </c>
      <c r="S24" s="10">
        <f t="shared" si="4"/>
        <v>251</v>
      </c>
      <c r="T24" s="10">
        <f t="shared" si="4"/>
        <v>311.24</v>
      </c>
      <c r="U24" s="11">
        <f t="shared" si="5"/>
        <v>2.3941538461538463</v>
      </c>
      <c r="V24" s="11">
        <f t="shared" si="6"/>
        <v>0.19249042145593873</v>
      </c>
    </row>
    <row r="25" spans="1:22" x14ac:dyDescent="0.3">
      <c r="A25" s="8" t="s">
        <v>273</v>
      </c>
      <c r="B25" s="9" t="s">
        <v>562</v>
      </c>
      <c r="C25" s="9" t="s">
        <v>16</v>
      </c>
      <c r="D25" s="9" t="s">
        <v>40</v>
      </c>
      <c r="E25" s="9" t="s">
        <v>631</v>
      </c>
      <c r="F25" s="9" t="s">
        <v>624</v>
      </c>
      <c r="G25" s="9" t="s">
        <v>623</v>
      </c>
      <c r="H25" s="10">
        <v>0</v>
      </c>
      <c r="I25" s="10">
        <v>0</v>
      </c>
      <c r="J25" s="10">
        <v>0</v>
      </c>
      <c r="K25" s="10">
        <f t="shared" si="0"/>
        <v>0</v>
      </c>
      <c r="L25" s="11">
        <f t="shared" si="1"/>
        <v>0</v>
      </c>
      <c r="M25" s="11">
        <f t="shared" si="2"/>
        <v>0</v>
      </c>
      <c r="P25" s="9" t="s">
        <v>129</v>
      </c>
      <c r="Q25" s="10">
        <f t="shared" si="4"/>
        <v>4</v>
      </c>
      <c r="R25" s="10">
        <f t="shared" si="4"/>
        <v>4</v>
      </c>
      <c r="S25" s="10">
        <f t="shared" si="4"/>
        <v>8</v>
      </c>
      <c r="T25" s="10">
        <f t="shared" si="4"/>
        <v>9.92</v>
      </c>
      <c r="U25" s="11">
        <f t="shared" si="5"/>
        <v>2.48</v>
      </c>
      <c r="V25" s="11">
        <f t="shared" si="6"/>
        <v>1.48</v>
      </c>
    </row>
    <row r="26" spans="1:22" x14ac:dyDescent="0.3">
      <c r="A26" s="8" t="s">
        <v>266</v>
      </c>
      <c r="B26" s="9" t="s">
        <v>555</v>
      </c>
      <c r="C26" s="9" t="s">
        <v>14</v>
      </c>
      <c r="D26" s="9" t="s">
        <v>28</v>
      </c>
      <c r="E26" s="9" t="s">
        <v>630</v>
      </c>
      <c r="F26" s="9" t="s">
        <v>617</v>
      </c>
      <c r="G26" s="9" t="s">
        <v>620</v>
      </c>
      <c r="H26" s="10">
        <v>0</v>
      </c>
      <c r="I26" s="10">
        <v>0</v>
      </c>
      <c r="J26" s="10">
        <v>0</v>
      </c>
      <c r="K26" s="10">
        <f t="shared" si="0"/>
        <v>0</v>
      </c>
      <c r="L26" s="11">
        <f t="shared" si="1"/>
        <v>0</v>
      </c>
      <c r="M26" s="11">
        <f t="shared" si="2"/>
        <v>0</v>
      </c>
      <c r="P26" s="4" t="s">
        <v>18</v>
      </c>
      <c r="Q26" s="12">
        <f>SUM(Q11:Q25)</f>
        <v>826</v>
      </c>
      <c r="R26" s="12">
        <f>SUM(R11:R25)</f>
        <v>542</v>
      </c>
      <c r="S26" s="12">
        <f>SUM(S11:S25)</f>
        <v>700</v>
      </c>
      <c r="T26" s="12">
        <f>SUM(T11:T25)</f>
        <v>867.99999999999989</v>
      </c>
      <c r="U26" s="13">
        <f t="shared" si="5"/>
        <v>1.6014760147601474</v>
      </c>
      <c r="V26" s="14">
        <f t="shared" si="6"/>
        <v>5.0847457627118509E-2</v>
      </c>
    </row>
    <row r="27" spans="1:22" x14ac:dyDescent="0.3">
      <c r="A27" s="8" t="s">
        <v>274</v>
      </c>
      <c r="B27" s="9" t="s">
        <v>563</v>
      </c>
      <c r="C27" s="9" t="s">
        <v>14</v>
      </c>
      <c r="D27" s="9" t="s">
        <v>30</v>
      </c>
      <c r="E27" s="9" t="s">
        <v>631</v>
      </c>
      <c r="F27" s="9" t="s">
        <v>624</v>
      </c>
      <c r="G27" s="9" t="s">
        <v>620</v>
      </c>
      <c r="H27" s="10">
        <v>0</v>
      </c>
      <c r="I27" s="10">
        <v>0</v>
      </c>
      <c r="J27" s="10">
        <v>0</v>
      </c>
      <c r="K27" s="10">
        <f t="shared" si="0"/>
        <v>0</v>
      </c>
      <c r="L27" s="11">
        <f t="shared" si="1"/>
        <v>0</v>
      </c>
      <c r="M27" s="11">
        <f t="shared" si="2"/>
        <v>0</v>
      </c>
    </row>
    <row r="28" spans="1:22" x14ac:dyDescent="0.3">
      <c r="A28" s="8" t="s">
        <v>59</v>
      </c>
      <c r="B28" s="9" t="s">
        <v>363</v>
      </c>
      <c r="C28" s="9" t="s">
        <v>14</v>
      </c>
      <c r="D28" s="9" t="s">
        <v>30</v>
      </c>
      <c r="E28" s="9" t="s">
        <v>616</v>
      </c>
      <c r="F28" s="9" t="s">
        <v>617</v>
      </c>
      <c r="G28" s="9" t="s">
        <v>620</v>
      </c>
      <c r="H28" s="10">
        <v>7</v>
      </c>
      <c r="I28" s="10">
        <v>7</v>
      </c>
      <c r="J28" s="10">
        <v>6</v>
      </c>
      <c r="K28" s="10">
        <f t="shared" si="0"/>
        <v>7.4399999999999995</v>
      </c>
      <c r="L28" s="11">
        <f t="shared" si="1"/>
        <v>1.0628571428571427</v>
      </c>
      <c r="M28" s="11">
        <f t="shared" si="2"/>
        <v>6.2857142857142792E-2</v>
      </c>
    </row>
    <row r="29" spans="1:22" x14ac:dyDescent="0.3">
      <c r="A29" s="8" t="s">
        <v>256</v>
      </c>
      <c r="B29" s="9" t="s">
        <v>545</v>
      </c>
      <c r="C29" s="9" t="s">
        <v>14</v>
      </c>
      <c r="D29" s="9" t="s">
        <v>30</v>
      </c>
      <c r="E29" s="9" t="s">
        <v>631</v>
      </c>
      <c r="F29" s="9" t="s">
        <v>617</v>
      </c>
      <c r="G29" s="9" t="s">
        <v>620</v>
      </c>
      <c r="H29" s="10">
        <v>0</v>
      </c>
      <c r="I29" s="10">
        <v>0</v>
      </c>
      <c r="J29" s="10">
        <v>0</v>
      </c>
      <c r="K29" s="10">
        <f t="shared" si="0"/>
        <v>0</v>
      </c>
      <c r="L29" s="11">
        <f t="shared" si="1"/>
        <v>0</v>
      </c>
      <c r="M29" s="11">
        <f t="shared" si="2"/>
        <v>0</v>
      </c>
    </row>
    <row r="30" spans="1:22" x14ac:dyDescent="0.3">
      <c r="A30" s="8" t="s">
        <v>37</v>
      </c>
      <c r="B30" s="9" t="s">
        <v>345</v>
      </c>
      <c r="C30" s="9" t="s">
        <v>16</v>
      </c>
      <c r="D30" s="9" t="s">
        <v>38</v>
      </c>
      <c r="E30" s="9" t="s">
        <v>616</v>
      </c>
      <c r="F30" s="9" t="s">
        <v>617</v>
      </c>
      <c r="G30" s="9" t="s">
        <v>621</v>
      </c>
      <c r="H30" s="10">
        <v>15</v>
      </c>
      <c r="I30" s="10">
        <v>10</v>
      </c>
      <c r="J30" s="10">
        <v>5</v>
      </c>
      <c r="K30" s="10">
        <f t="shared" si="0"/>
        <v>6.2</v>
      </c>
      <c r="L30" s="11">
        <f t="shared" si="1"/>
        <v>0.62</v>
      </c>
      <c r="M30" s="11">
        <f t="shared" si="2"/>
        <v>-0.58666666666666667</v>
      </c>
    </row>
    <row r="31" spans="1:22" x14ac:dyDescent="0.3">
      <c r="A31" s="8" t="s">
        <v>257</v>
      </c>
      <c r="B31" s="9" t="s">
        <v>546</v>
      </c>
      <c r="C31" s="9" t="s">
        <v>14</v>
      </c>
      <c r="D31" s="9" t="s">
        <v>32</v>
      </c>
      <c r="E31" s="9" t="s">
        <v>630</v>
      </c>
      <c r="F31" s="9" t="s">
        <v>617</v>
      </c>
      <c r="G31" s="9" t="s">
        <v>619</v>
      </c>
      <c r="H31" s="10">
        <v>0</v>
      </c>
      <c r="I31" s="10">
        <v>0</v>
      </c>
      <c r="J31" s="10">
        <v>0</v>
      </c>
      <c r="K31" s="10">
        <f t="shared" si="0"/>
        <v>0</v>
      </c>
      <c r="L31" s="11">
        <f t="shared" si="1"/>
        <v>0</v>
      </c>
      <c r="M31" s="11">
        <f t="shared" si="2"/>
        <v>0</v>
      </c>
    </row>
    <row r="32" spans="1:22" x14ac:dyDescent="0.3">
      <c r="A32" s="8" t="s">
        <v>263</v>
      </c>
      <c r="B32" s="9" t="s">
        <v>552</v>
      </c>
      <c r="C32" s="9" t="s">
        <v>16</v>
      </c>
      <c r="D32" s="9" t="s">
        <v>44</v>
      </c>
      <c r="E32" s="9" t="s">
        <v>630</v>
      </c>
      <c r="F32" s="9" t="s">
        <v>617</v>
      </c>
      <c r="G32" s="9" t="s">
        <v>622</v>
      </c>
      <c r="H32" s="10">
        <v>0</v>
      </c>
      <c r="I32" s="10">
        <v>0</v>
      </c>
      <c r="J32" s="10">
        <v>0</v>
      </c>
      <c r="K32" s="10">
        <f t="shared" si="0"/>
        <v>0</v>
      </c>
      <c r="L32" s="11">
        <f t="shared" si="1"/>
        <v>0</v>
      </c>
      <c r="M32" s="11">
        <f t="shared" si="2"/>
        <v>0</v>
      </c>
      <c r="V32" s="15"/>
    </row>
    <row r="33" spans="1:13" x14ac:dyDescent="0.3">
      <c r="A33" s="8" t="s">
        <v>13</v>
      </c>
      <c r="B33" s="9" t="s">
        <v>332</v>
      </c>
      <c r="C33" s="9" t="s">
        <v>16</v>
      </c>
      <c r="D33" s="9" t="s">
        <v>22</v>
      </c>
      <c r="E33" s="9" t="s">
        <v>616</v>
      </c>
      <c r="F33" s="9" t="s">
        <v>617</v>
      </c>
      <c r="G33" s="9" t="s">
        <v>618</v>
      </c>
      <c r="H33" s="10">
        <v>3</v>
      </c>
      <c r="I33" s="10">
        <v>2</v>
      </c>
      <c r="J33" s="10">
        <v>2</v>
      </c>
      <c r="K33" s="10">
        <f t="shared" si="0"/>
        <v>2.48</v>
      </c>
      <c r="L33" s="11">
        <f t="shared" si="1"/>
        <v>1.24</v>
      </c>
      <c r="M33" s="11">
        <f t="shared" si="2"/>
        <v>-0.17333333333333334</v>
      </c>
    </row>
    <row r="34" spans="1:13" x14ac:dyDescent="0.3">
      <c r="A34" s="8" t="s">
        <v>264</v>
      </c>
      <c r="B34" s="9" t="s">
        <v>553</v>
      </c>
      <c r="C34" s="9" t="s">
        <v>16</v>
      </c>
      <c r="D34" s="9" t="s">
        <v>42</v>
      </c>
      <c r="E34" s="9" t="s">
        <v>630</v>
      </c>
      <c r="F34" s="9" t="s">
        <v>617</v>
      </c>
      <c r="G34" s="9" t="s">
        <v>618</v>
      </c>
      <c r="H34" s="10">
        <v>0</v>
      </c>
      <c r="I34" s="10">
        <v>0</v>
      </c>
      <c r="J34" s="10">
        <v>1</v>
      </c>
      <c r="K34" s="10">
        <f t="shared" si="0"/>
        <v>1.24</v>
      </c>
      <c r="L34" s="11">
        <f t="shared" si="1"/>
        <v>0</v>
      </c>
      <c r="M34" s="11">
        <f t="shared" si="2"/>
        <v>0</v>
      </c>
    </row>
    <row r="35" spans="1:13" x14ac:dyDescent="0.3">
      <c r="A35" s="8" t="s">
        <v>54</v>
      </c>
      <c r="B35" s="9" t="s">
        <v>358</v>
      </c>
      <c r="C35" s="9" t="s">
        <v>14</v>
      </c>
      <c r="D35" s="9" t="s">
        <v>30</v>
      </c>
      <c r="E35" s="9" t="s">
        <v>616</v>
      </c>
      <c r="F35" s="9" t="s">
        <v>617</v>
      </c>
      <c r="G35" s="9" t="s">
        <v>620</v>
      </c>
      <c r="H35" s="10">
        <v>4</v>
      </c>
      <c r="I35" s="10">
        <v>2</v>
      </c>
      <c r="J35" s="10">
        <v>1</v>
      </c>
      <c r="K35" s="10">
        <f t="shared" si="0"/>
        <v>1.24</v>
      </c>
      <c r="L35" s="11">
        <f t="shared" si="1"/>
        <v>0.62</v>
      </c>
      <c r="M35" s="11">
        <f t="shared" si="2"/>
        <v>-0.69</v>
      </c>
    </row>
    <row r="36" spans="1:13" x14ac:dyDescent="0.3">
      <c r="A36" s="8" t="s">
        <v>61</v>
      </c>
      <c r="B36" s="9" t="s">
        <v>364</v>
      </c>
      <c r="C36" s="9" t="s">
        <v>16</v>
      </c>
      <c r="D36" s="9" t="s">
        <v>44</v>
      </c>
      <c r="E36" s="9" t="s">
        <v>616</v>
      </c>
      <c r="F36" s="9" t="s">
        <v>617</v>
      </c>
      <c r="G36" s="9" t="s">
        <v>622</v>
      </c>
      <c r="H36" s="10">
        <v>1</v>
      </c>
      <c r="I36" s="10">
        <v>2</v>
      </c>
      <c r="J36" s="10">
        <v>1</v>
      </c>
      <c r="K36" s="10">
        <f t="shared" si="0"/>
        <v>1.24</v>
      </c>
      <c r="L36" s="11">
        <f t="shared" si="1"/>
        <v>0.62</v>
      </c>
      <c r="M36" s="11">
        <f t="shared" si="2"/>
        <v>0.24</v>
      </c>
    </row>
    <row r="37" spans="1:13" x14ac:dyDescent="0.3">
      <c r="A37" s="8" t="s">
        <v>52</v>
      </c>
      <c r="B37" s="9" t="s">
        <v>356</v>
      </c>
      <c r="C37" s="9" t="s">
        <v>16</v>
      </c>
      <c r="D37" s="9" t="s">
        <v>40</v>
      </c>
      <c r="E37" s="9" t="s">
        <v>616</v>
      </c>
      <c r="F37" s="9" t="s">
        <v>617</v>
      </c>
      <c r="G37" s="9" t="s">
        <v>623</v>
      </c>
      <c r="H37" s="10">
        <v>3</v>
      </c>
      <c r="I37" s="10">
        <v>7</v>
      </c>
      <c r="J37" s="10">
        <v>4</v>
      </c>
      <c r="K37" s="10">
        <f t="shared" si="0"/>
        <v>4.96</v>
      </c>
      <c r="L37" s="11">
        <f t="shared" si="1"/>
        <v>0.70857142857142852</v>
      </c>
      <c r="M37" s="11">
        <f t="shared" si="2"/>
        <v>0.65333333333333332</v>
      </c>
    </row>
    <row r="38" spans="1:13" x14ac:dyDescent="0.3">
      <c r="A38" s="8" t="s">
        <v>49</v>
      </c>
      <c r="B38" s="9" t="s">
        <v>353</v>
      </c>
      <c r="C38" s="9" t="s">
        <v>16</v>
      </c>
      <c r="D38" s="9" t="s">
        <v>44</v>
      </c>
      <c r="E38" s="9" t="s">
        <v>616</v>
      </c>
      <c r="F38" s="9" t="s">
        <v>617</v>
      </c>
      <c r="G38" s="9" t="s">
        <v>622</v>
      </c>
      <c r="H38" s="10">
        <v>3</v>
      </c>
      <c r="I38" s="10">
        <v>1</v>
      </c>
      <c r="J38" s="10">
        <v>0</v>
      </c>
      <c r="K38" s="10">
        <f t="shared" si="0"/>
        <v>0</v>
      </c>
      <c r="L38" s="11">
        <f t="shared" si="1"/>
        <v>0</v>
      </c>
      <c r="M38" s="11">
        <f t="shared" si="2"/>
        <v>-1</v>
      </c>
    </row>
    <row r="39" spans="1:13" x14ac:dyDescent="0.3">
      <c r="A39" s="8" t="s">
        <v>27</v>
      </c>
      <c r="B39" s="9" t="s">
        <v>340</v>
      </c>
      <c r="C39" s="9" t="s">
        <v>14</v>
      </c>
      <c r="D39" s="9" t="s">
        <v>24</v>
      </c>
      <c r="E39" s="9" t="s">
        <v>616</v>
      </c>
      <c r="F39" s="9" t="s">
        <v>617</v>
      </c>
      <c r="G39" s="9" t="s">
        <v>619</v>
      </c>
      <c r="H39" s="10">
        <v>8</v>
      </c>
      <c r="I39" s="10">
        <v>7</v>
      </c>
      <c r="J39" s="10">
        <v>0</v>
      </c>
      <c r="K39" s="10">
        <f t="shared" si="0"/>
        <v>0</v>
      </c>
      <c r="L39" s="11">
        <f t="shared" si="1"/>
        <v>0</v>
      </c>
      <c r="M39" s="11">
        <f t="shared" si="2"/>
        <v>-1</v>
      </c>
    </row>
    <row r="40" spans="1:13" x14ac:dyDescent="0.3">
      <c r="A40" s="8" t="s">
        <v>15</v>
      </c>
      <c r="B40" s="9" t="s">
        <v>333</v>
      </c>
      <c r="C40" s="9" t="s">
        <v>14</v>
      </c>
      <c r="D40" s="9" t="s">
        <v>24</v>
      </c>
      <c r="E40" s="9" t="s">
        <v>616</v>
      </c>
      <c r="F40" s="9" t="s">
        <v>617</v>
      </c>
      <c r="G40" s="9" t="s">
        <v>619</v>
      </c>
      <c r="H40" s="10">
        <v>4</v>
      </c>
      <c r="I40" s="10">
        <v>2</v>
      </c>
      <c r="J40" s="10">
        <v>8</v>
      </c>
      <c r="K40" s="10">
        <f t="shared" si="0"/>
        <v>9.92</v>
      </c>
      <c r="L40" s="11">
        <f t="shared" si="1"/>
        <v>4.96</v>
      </c>
      <c r="M40" s="11">
        <f t="shared" si="2"/>
        <v>1.48</v>
      </c>
    </row>
    <row r="41" spans="1:13" x14ac:dyDescent="0.3">
      <c r="A41" s="8" t="s">
        <v>29</v>
      </c>
      <c r="B41" s="9" t="s">
        <v>341</v>
      </c>
      <c r="C41" s="9" t="s">
        <v>16</v>
      </c>
      <c r="D41" s="9" t="s">
        <v>34</v>
      </c>
      <c r="E41" s="9" t="s">
        <v>616</v>
      </c>
      <c r="F41" s="9" t="s">
        <v>617</v>
      </c>
      <c r="G41" s="9" t="s">
        <v>621</v>
      </c>
      <c r="H41" s="10">
        <v>1</v>
      </c>
      <c r="I41" s="10">
        <v>1</v>
      </c>
      <c r="J41" s="10">
        <v>1</v>
      </c>
      <c r="K41" s="10">
        <f t="shared" si="0"/>
        <v>1.24</v>
      </c>
      <c r="L41" s="11">
        <f t="shared" si="1"/>
        <v>1.24</v>
      </c>
      <c r="M41" s="11">
        <f t="shared" si="2"/>
        <v>0.24</v>
      </c>
    </row>
    <row r="42" spans="1:13" x14ac:dyDescent="0.3">
      <c r="A42" s="8" t="s">
        <v>48</v>
      </c>
      <c r="B42" s="9" t="s">
        <v>352</v>
      </c>
      <c r="C42" s="9" t="s">
        <v>16</v>
      </c>
      <c r="D42" s="9" t="s">
        <v>42</v>
      </c>
      <c r="E42" s="9" t="s">
        <v>616</v>
      </c>
      <c r="F42" s="9" t="s">
        <v>617</v>
      </c>
      <c r="G42" s="9" t="s">
        <v>618</v>
      </c>
      <c r="H42" s="10">
        <v>0</v>
      </c>
      <c r="I42" s="10">
        <v>1</v>
      </c>
      <c r="J42" s="10">
        <v>0</v>
      </c>
      <c r="K42" s="10">
        <f t="shared" si="0"/>
        <v>0</v>
      </c>
      <c r="L42" s="11">
        <f t="shared" si="1"/>
        <v>0</v>
      </c>
      <c r="M42" s="11">
        <f t="shared" si="2"/>
        <v>0</v>
      </c>
    </row>
    <row r="43" spans="1:13" x14ac:dyDescent="0.3">
      <c r="A43" s="8" t="s">
        <v>17</v>
      </c>
      <c r="B43" s="9" t="s">
        <v>334</v>
      </c>
      <c r="C43" s="9" t="s">
        <v>14</v>
      </c>
      <c r="D43" s="9" t="s">
        <v>24</v>
      </c>
      <c r="E43" s="9" t="s">
        <v>616</v>
      </c>
      <c r="F43" s="9" t="s">
        <v>617</v>
      </c>
      <c r="G43" s="9" t="s">
        <v>619</v>
      </c>
      <c r="H43" s="10">
        <v>3</v>
      </c>
      <c r="I43" s="10">
        <v>1</v>
      </c>
      <c r="J43" s="10">
        <v>3</v>
      </c>
      <c r="K43" s="10">
        <f t="shared" si="0"/>
        <v>3.7199999999999998</v>
      </c>
      <c r="L43" s="11">
        <f t="shared" si="1"/>
        <v>3.7199999999999998</v>
      </c>
      <c r="M43" s="11">
        <f t="shared" si="2"/>
        <v>0.23999999999999991</v>
      </c>
    </row>
    <row r="44" spans="1:13" x14ac:dyDescent="0.3">
      <c r="A44" s="8" t="s">
        <v>25</v>
      </c>
      <c r="B44" s="9" t="s">
        <v>339</v>
      </c>
      <c r="C44" s="9" t="s">
        <v>14</v>
      </c>
      <c r="D44" s="9" t="s">
        <v>26</v>
      </c>
      <c r="E44" s="9" t="s">
        <v>616</v>
      </c>
      <c r="F44" s="9" t="s">
        <v>617</v>
      </c>
      <c r="G44" s="9" t="s">
        <v>619</v>
      </c>
      <c r="H44" s="10">
        <v>0</v>
      </c>
      <c r="I44" s="10">
        <v>1</v>
      </c>
      <c r="J44" s="10">
        <v>0</v>
      </c>
      <c r="K44" s="10">
        <f t="shared" si="0"/>
        <v>0</v>
      </c>
      <c r="L44" s="11">
        <f t="shared" si="1"/>
        <v>0</v>
      </c>
      <c r="M44" s="11">
        <f t="shared" si="2"/>
        <v>0</v>
      </c>
    </row>
    <row r="45" spans="1:13" x14ac:dyDescent="0.3">
      <c r="A45" s="8" t="s">
        <v>131</v>
      </c>
      <c r="B45" s="9" t="s">
        <v>427</v>
      </c>
      <c r="C45" s="9" t="s">
        <v>16</v>
      </c>
      <c r="D45" s="9" t="s">
        <v>36</v>
      </c>
      <c r="E45" s="9" t="s">
        <v>616</v>
      </c>
      <c r="F45" s="9" t="s">
        <v>617</v>
      </c>
      <c r="G45" s="9" t="s">
        <v>622</v>
      </c>
      <c r="H45" s="10">
        <v>1</v>
      </c>
      <c r="I45" s="10">
        <v>1</v>
      </c>
      <c r="J45" s="10">
        <v>1</v>
      </c>
      <c r="K45" s="10">
        <f t="shared" si="0"/>
        <v>1.24</v>
      </c>
      <c r="L45" s="11">
        <f t="shared" si="1"/>
        <v>1.24</v>
      </c>
      <c r="M45" s="11">
        <f t="shared" si="2"/>
        <v>0.24</v>
      </c>
    </row>
    <row r="46" spans="1:13" x14ac:dyDescent="0.3">
      <c r="A46" s="8" t="s">
        <v>47</v>
      </c>
      <c r="B46" s="9" t="s">
        <v>351</v>
      </c>
      <c r="C46" s="9" t="s">
        <v>16</v>
      </c>
      <c r="D46" s="9" t="s">
        <v>40</v>
      </c>
      <c r="E46" s="9" t="s">
        <v>616</v>
      </c>
      <c r="F46" s="9" t="s">
        <v>617</v>
      </c>
      <c r="G46" s="9" t="s">
        <v>623</v>
      </c>
      <c r="H46" s="10">
        <v>5</v>
      </c>
      <c r="I46" s="10">
        <v>5</v>
      </c>
      <c r="J46" s="10">
        <v>4</v>
      </c>
      <c r="K46" s="10">
        <f t="shared" si="0"/>
        <v>4.96</v>
      </c>
      <c r="L46" s="11">
        <f t="shared" si="1"/>
        <v>0.99199999999999999</v>
      </c>
      <c r="M46" s="11">
        <f t="shared" si="2"/>
        <v>-8.0000000000000071E-3</v>
      </c>
    </row>
    <row r="47" spans="1:13" x14ac:dyDescent="0.3">
      <c r="A47" s="8" t="s">
        <v>35</v>
      </c>
      <c r="B47" s="9" t="s">
        <v>344</v>
      </c>
      <c r="C47" s="9" t="s">
        <v>16</v>
      </c>
      <c r="D47" s="9" t="s">
        <v>34</v>
      </c>
      <c r="E47" s="9" t="s">
        <v>616</v>
      </c>
      <c r="F47" s="9" t="s">
        <v>617</v>
      </c>
      <c r="G47" s="9" t="s">
        <v>621</v>
      </c>
      <c r="H47" s="10">
        <v>1</v>
      </c>
      <c r="I47" s="10">
        <v>2</v>
      </c>
      <c r="J47" s="10">
        <v>1</v>
      </c>
      <c r="K47" s="10">
        <f t="shared" si="0"/>
        <v>1.24</v>
      </c>
      <c r="L47" s="11">
        <f t="shared" si="1"/>
        <v>0.62</v>
      </c>
      <c r="M47" s="11">
        <f t="shared" si="2"/>
        <v>0.24</v>
      </c>
    </row>
    <row r="48" spans="1:13" x14ac:dyDescent="0.3">
      <c r="A48" s="8" t="s">
        <v>43</v>
      </c>
      <c r="B48" s="9" t="s">
        <v>348</v>
      </c>
      <c r="C48" s="9" t="s">
        <v>16</v>
      </c>
      <c r="D48" s="9" t="s">
        <v>40</v>
      </c>
      <c r="E48" s="9" t="s">
        <v>616</v>
      </c>
      <c r="F48" s="9" t="s">
        <v>617</v>
      </c>
      <c r="G48" s="9" t="s">
        <v>623</v>
      </c>
      <c r="H48" s="10">
        <v>4</v>
      </c>
      <c r="I48" s="10">
        <v>3</v>
      </c>
      <c r="J48" s="10">
        <v>2</v>
      </c>
      <c r="K48" s="10">
        <f t="shared" si="0"/>
        <v>2.48</v>
      </c>
      <c r="L48" s="11">
        <f t="shared" si="1"/>
        <v>0.82666666666666666</v>
      </c>
      <c r="M48" s="11">
        <f t="shared" si="2"/>
        <v>-0.38</v>
      </c>
    </row>
    <row r="49" spans="1:13" x14ac:dyDescent="0.3">
      <c r="A49" s="8" t="s">
        <v>138</v>
      </c>
      <c r="B49" s="9" t="s">
        <v>429</v>
      </c>
      <c r="C49" s="9" t="s">
        <v>14</v>
      </c>
      <c r="D49" s="9" t="s">
        <v>28</v>
      </c>
      <c r="E49" s="9" t="s">
        <v>616</v>
      </c>
      <c r="F49" s="9" t="s">
        <v>617</v>
      </c>
      <c r="G49" s="9" t="s">
        <v>620</v>
      </c>
      <c r="H49" s="10">
        <v>0</v>
      </c>
      <c r="I49" s="10">
        <v>0</v>
      </c>
      <c r="J49" s="10">
        <v>0</v>
      </c>
      <c r="K49" s="10">
        <f t="shared" si="0"/>
        <v>0</v>
      </c>
      <c r="L49" s="11">
        <f t="shared" si="1"/>
        <v>0</v>
      </c>
      <c r="M49" s="11">
        <f t="shared" si="2"/>
        <v>0</v>
      </c>
    </row>
    <row r="50" spans="1:13" x14ac:dyDescent="0.3">
      <c r="A50" s="8" t="s">
        <v>136</v>
      </c>
      <c r="B50" s="9" t="s">
        <v>428</v>
      </c>
      <c r="C50" s="9" t="s">
        <v>14</v>
      </c>
      <c r="D50" s="9" t="s">
        <v>26</v>
      </c>
      <c r="E50" s="9" t="s">
        <v>616</v>
      </c>
      <c r="F50" s="9" t="s">
        <v>617</v>
      </c>
      <c r="G50" s="9" t="s">
        <v>619</v>
      </c>
      <c r="H50" s="10">
        <v>3</v>
      </c>
      <c r="I50" s="10">
        <v>5</v>
      </c>
      <c r="J50" s="10">
        <v>3</v>
      </c>
      <c r="K50" s="10">
        <f t="shared" si="0"/>
        <v>3.7199999999999998</v>
      </c>
      <c r="L50" s="11">
        <f t="shared" si="1"/>
        <v>0.74399999999999999</v>
      </c>
      <c r="M50" s="11">
        <f t="shared" si="2"/>
        <v>0.23999999999999991</v>
      </c>
    </row>
    <row r="51" spans="1:13" x14ac:dyDescent="0.3">
      <c r="A51" s="8" t="s">
        <v>45</v>
      </c>
      <c r="B51" s="9" t="s">
        <v>349</v>
      </c>
      <c r="C51" s="9" t="s">
        <v>16</v>
      </c>
      <c r="D51" s="9" t="s">
        <v>34</v>
      </c>
      <c r="E51" s="9" t="s">
        <v>616</v>
      </c>
      <c r="F51" s="9" t="s">
        <v>617</v>
      </c>
      <c r="G51" s="9" t="s">
        <v>621</v>
      </c>
      <c r="H51" s="10">
        <v>9</v>
      </c>
      <c r="I51" s="10">
        <v>4</v>
      </c>
      <c r="J51" s="10">
        <v>8</v>
      </c>
      <c r="K51" s="10">
        <f t="shared" si="0"/>
        <v>9.92</v>
      </c>
      <c r="L51" s="11">
        <f t="shared" si="1"/>
        <v>2.48</v>
      </c>
      <c r="M51" s="11">
        <f t="shared" si="2"/>
        <v>0.10222222222222221</v>
      </c>
    </row>
    <row r="52" spans="1:13" x14ac:dyDescent="0.3">
      <c r="A52" s="8" t="s">
        <v>46</v>
      </c>
      <c r="B52" s="9" t="s">
        <v>350</v>
      </c>
      <c r="C52" s="9" t="s">
        <v>16</v>
      </c>
      <c r="D52" s="9" t="s">
        <v>22</v>
      </c>
      <c r="E52" s="9" t="s">
        <v>616</v>
      </c>
      <c r="F52" s="9" t="s">
        <v>617</v>
      </c>
      <c r="G52" s="9" t="s">
        <v>618</v>
      </c>
      <c r="H52" s="10">
        <v>6</v>
      </c>
      <c r="I52" s="10">
        <v>8</v>
      </c>
      <c r="J52" s="10">
        <v>3</v>
      </c>
      <c r="K52" s="10">
        <f t="shared" si="0"/>
        <v>3.7199999999999998</v>
      </c>
      <c r="L52" s="11">
        <f t="shared" si="1"/>
        <v>0.46499999999999997</v>
      </c>
      <c r="M52" s="11">
        <f t="shared" si="2"/>
        <v>-0.38000000000000006</v>
      </c>
    </row>
    <row r="53" spans="1:13" x14ac:dyDescent="0.3">
      <c r="A53" s="8" t="s">
        <v>140</v>
      </c>
      <c r="B53" s="9" t="s">
        <v>430</v>
      </c>
      <c r="C53" s="9" t="s">
        <v>14</v>
      </c>
      <c r="D53" s="9" t="s">
        <v>26</v>
      </c>
      <c r="E53" s="9" t="s">
        <v>616</v>
      </c>
      <c r="F53" s="9" t="s">
        <v>617</v>
      </c>
      <c r="G53" s="9" t="s">
        <v>619</v>
      </c>
      <c r="H53" s="10">
        <v>1</v>
      </c>
      <c r="I53" s="10">
        <v>2</v>
      </c>
      <c r="J53" s="10">
        <v>1</v>
      </c>
      <c r="K53" s="10">
        <f t="shared" si="0"/>
        <v>1.24</v>
      </c>
      <c r="L53" s="11">
        <f t="shared" si="1"/>
        <v>0.62</v>
      </c>
      <c r="M53" s="11">
        <f t="shared" si="2"/>
        <v>0.24</v>
      </c>
    </row>
    <row r="54" spans="1:13" x14ac:dyDescent="0.3">
      <c r="A54" s="8" t="s">
        <v>141</v>
      </c>
      <c r="B54" s="9" t="s">
        <v>431</v>
      </c>
      <c r="C54" s="9" t="s">
        <v>16</v>
      </c>
      <c r="D54" s="9" t="s">
        <v>36</v>
      </c>
      <c r="E54" s="9" t="s">
        <v>616</v>
      </c>
      <c r="F54" s="9" t="s">
        <v>624</v>
      </c>
      <c r="G54" s="9" t="s">
        <v>622</v>
      </c>
      <c r="H54" s="10">
        <v>4</v>
      </c>
      <c r="I54" s="10">
        <v>0</v>
      </c>
      <c r="J54" s="10">
        <v>0</v>
      </c>
      <c r="K54" s="10">
        <f t="shared" si="0"/>
        <v>0</v>
      </c>
      <c r="L54" s="11">
        <f t="shared" si="1"/>
        <v>0</v>
      </c>
      <c r="M54" s="11">
        <f t="shared" si="2"/>
        <v>-1</v>
      </c>
    </row>
    <row r="55" spans="1:13" x14ac:dyDescent="0.3">
      <c r="A55" s="8" t="s">
        <v>142</v>
      </c>
      <c r="B55" s="9" t="s">
        <v>432</v>
      </c>
      <c r="C55" s="9" t="s">
        <v>16</v>
      </c>
      <c r="D55" s="9" t="s">
        <v>38</v>
      </c>
      <c r="E55" s="9" t="s">
        <v>616</v>
      </c>
      <c r="F55" s="9" t="s">
        <v>624</v>
      </c>
      <c r="G55" s="9" t="s">
        <v>621</v>
      </c>
      <c r="H55" s="10">
        <v>0</v>
      </c>
      <c r="I55" s="10">
        <v>0</v>
      </c>
      <c r="J55" s="10">
        <v>0</v>
      </c>
      <c r="K55" s="10">
        <f t="shared" si="0"/>
        <v>0</v>
      </c>
      <c r="L55" s="11">
        <f t="shared" si="1"/>
        <v>0</v>
      </c>
      <c r="M55" s="11">
        <f t="shared" si="2"/>
        <v>0</v>
      </c>
    </row>
    <row r="56" spans="1:13" x14ac:dyDescent="0.3">
      <c r="A56" s="8" t="s">
        <v>63</v>
      </c>
      <c r="B56" s="9" t="s">
        <v>365</v>
      </c>
      <c r="C56" s="9" t="s">
        <v>16</v>
      </c>
      <c r="D56" s="9" t="s">
        <v>22</v>
      </c>
      <c r="E56" s="9" t="s">
        <v>616</v>
      </c>
      <c r="F56" s="9" t="s">
        <v>617</v>
      </c>
      <c r="G56" s="9" t="s">
        <v>618</v>
      </c>
      <c r="H56" s="10">
        <v>1</v>
      </c>
      <c r="I56" s="10">
        <v>1</v>
      </c>
      <c r="J56" s="10">
        <v>0</v>
      </c>
      <c r="K56" s="10">
        <f t="shared" si="0"/>
        <v>0</v>
      </c>
      <c r="L56" s="11">
        <f t="shared" si="1"/>
        <v>0</v>
      </c>
      <c r="M56" s="11">
        <f t="shared" si="2"/>
        <v>-1</v>
      </c>
    </row>
    <row r="57" spans="1:13" x14ac:dyDescent="0.3">
      <c r="A57" s="8" t="s">
        <v>88</v>
      </c>
      <c r="B57" s="9" t="s">
        <v>390</v>
      </c>
      <c r="C57" s="9" t="s">
        <v>16</v>
      </c>
      <c r="D57" s="9" t="s">
        <v>34</v>
      </c>
      <c r="E57" s="9" t="s">
        <v>616</v>
      </c>
      <c r="F57" s="9" t="s">
        <v>617</v>
      </c>
      <c r="G57" s="9" t="s">
        <v>621</v>
      </c>
      <c r="H57" s="10">
        <v>2</v>
      </c>
      <c r="I57" s="10">
        <v>4</v>
      </c>
      <c r="J57" s="10">
        <v>1</v>
      </c>
      <c r="K57" s="10">
        <f t="shared" si="0"/>
        <v>1.24</v>
      </c>
      <c r="L57" s="11">
        <f t="shared" si="1"/>
        <v>0.31</v>
      </c>
      <c r="M57" s="11">
        <f t="shared" si="2"/>
        <v>-0.38</v>
      </c>
    </row>
    <row r="58" spans="1:13" x14ac:dyDescent="0.3">
      <c r="A58" s="8" t="s">
        <v>102</v>
      </c>
      <c r="B58" s="9" t="s">
        <v>404</v>
      </c>
      <c r="C58" s="9" t="s">
        <v>16</v>
      </c>
      <c r="D58" s="9" t="s">
        <v>42</v>
      </c>
      <c r="E58" s="9" t="s">
        <v>616</v>
      </c>
      <c r="F58" s="9" t="s">
        <v>617</v>
      </c>
      <c r="G58" s="9" t="s">
        <v>618</v>
      </c>
      <c r="H58" s="10">
        <v>0</v>
      </c>
      <c r="I58" s="10">
        <v>0</v>
      </c>
      <c r="J58" s="10">
        <v>0</v>
      </c>
      <c r="K58" s="10">
        <f t="shared" si="0"/>
        <v>0</v>
      </c>
      <c r="L58" s="11">
        <f t="shared" si="1"/>
        <v>0</v>
      </c>
      <c r="M58" s="11">
        <f t="shared" si="2"/>
        <v>0</v>
      </c>
    </row>
    <row r="59" spans="1:13" x14ac:dyDescent="0.3">
      <c r="A59" s="8" t="s">
        <v>143</v>
      </c>
      <c r="B59" s="9" t="s">
        <v>433</v>
      </c>
      <c r="C59" s="9" t="s">
        <v>16</v>
      </c>
      <c r="D59" s="9" t="s">
        <v>22</v>
      </c>
      <c r="E59" s="9" t="s">
        <v>616</v>
      </c>
      <c r="F59" s="9" t="s">
        <v>617</v>
      </c>
      <c r="G59" s="9" t="s">
        <v>618</v>
      </c>
      <c r="H59" s="10">
        <v>3</v>
      </c>
      <c r="I59" s="10">
        <v>2</v>
      </c>
      <c r="J59" s="10">
        <v>1</v>
      </c>
      <c r="K59" s="10">
        <f t="shared" si="0"/>
        <v>1.24</v>
      </c>
      <c r="L59" s="11">
        <f t="shared" si="1"/>
        <v>0.62</v>
      </c>
      <c r="M59" s="11">
        <f t="shared" si="2"/>
        <v>-0.58666666666666667</v>
      </c>
    </row>
    <row r="60" spans="1:13" x14ac:dyDescent="0.3">
      <c r="A60" s="8" t="s">
        <v>77</v>
      </c>
      <c r="B60" s="9" t="s">
        <v>379</v>
      </c>
      <c r="C60" s="9" t="s">
        <v>16</v>
      </c>
      <c r="D60" s="9" t="s">
        <v>44</v>
      </c>
      <c r="E60" s="9" t="s">
        <v>616</v>
      </c>
      <c r="F60" s="9" t="s">
        <v>617</v>
      </c>
      <c r="G60" s="9" t="s">
        <v>622</v>
      </c>
      <c r="H60" s="10">
        <v>3</v>
      </c>
      <c r="I60" s="10">
        <v>4</v>
      </c>
      <c r="J60" s="10">
        <v>0</v>
      </c>
      <c r="K60" s="10">
        <f t="shared" si="0"/>
        <v>0</v>
      </c>
      <c r="L60" s="11">
        <f t="shared" si="1"/>
        <v>0</v>
      </c>
      <c r="M60" s="11">
        <f t="shared" si="2"/>
        <v>-1</v>
      </c>
    </row>
    <row r="61" spans="1:13" x14ac:dyDescent="0.3">
      <c r="A61" s="8" t="s">
        <v>71</v>
      </c>
      <c r="B61" s="9" t="s">
        <v>373</v>
      </c>
      <c r="C61" s="9" t="s">
        <v>16</v>
      </c>
      <c r="D61" s="9" t="s">
        <v>44</v>
      </c>
      <c r="E61" s="9" t="s">
        <v>616</v>
      </c>
      <c r="F61" s="9" t="s">
        <v>617</v>
      </c>
      <c r="G61" s="9" t="s">
        <v>622</v>
      </c>
      <c r="H61" s="10">
        <v>1</v>
      </c>
      <c r="I61" s="10">
        <v>5</v>
      </c>
      <c r="J61" s="10">
        <v>0</v>
      </c>
      <c r="K61" s="10">
        <f t="shared" si="0"/>
        <v>0</v>
      </c>
      <c r="L61" s="11">
        <f t="shared" si="1"/>
        <v>0</v>
      </c>
      <c r="M61" s="11">
        <f t="shared" si="2"/>
        <v>-1</v>
      </c>
    </row>
    <row r="62" spans="1:13" x14ac:dyDescent="0.3">
      <c r="A62" s="8" t="s">
        <v>144</v>
      </c>
      <c r="B62" s="9" t="s">
        <v>434</v>
      </c>
      <c r="C62" s="9" t="s">
        <v>16</v>
      </c>
      <c r="D62" s="9" t="s">
        <v>40</v>
      </c>
      <c r="E62" s="9" t="s">
        <v>616</v>
      </c>
      <c r="F62" s="9" t="s">
        <v>617</v>
      </c>
      <c r="G62" s="9" t="s">
        <v>623</v>
      </c>
      <c r="H62" s="10">
        <v>3</v>
      </c>
      <c r="I62" s="10">
        <v>1</v>
      </c>
      <c r="J62" s="10">
        <v>3</v>
      </c>
      <c r="K62" s="10">
        <f t="shared" si="0"/>
        <v>3.7199999999999998</v>
      </c>
      <c r="L62" s="11">
        <f t="shared" si="1"/>
        <v>3.7199999999999998</v>
      </c>
      <c r="M62" s="11">
        <f t="shared" si="2"/>
        <v>0.23999999999999991</v>
      </c>
    </row>
    <row r="63" spans="1:13" x14ac:dyDescent="0.3">
      <c r="A63" s="8" t="s">
        <v>145</v>
      </c>
      <c r="B63" s="9" t="s">
        <v>435</v>
      </c>
      <c r="C63" s="9" t="s">
        <v>14</v>
      </c>
      <c r="D63" s="9" t="s">
        <v>26</v>
      </c>
      <c r="E63" s="9" t="s">
        <v>616</v>
      </c>
      <c r="F63" s="9" t="s">
        <v>617</v>
      </c>
      <c r="G63" s="9" t="s">
        <v>619</v>
      </c>
      <c r="H63" s="10">
        <v>1</v>
      </c>
      <c r="I63" s="10">
        <v>3</v>
      </c>
      <c r="J63" s="10">
        <v>1</v>
      </c>
      <c r="K63" s="10">
        <f t="shared" si="0"/>
        <v>1.24</v>
      </c>
      <c r="L63" s="11">
        <f t="shared" si="1"/>
        <v>0.41333333333333333</v>
      </c>
      <c r="M63" s="11">
        <f t="shared" si="2"/>
        <v>0.24</v>
      </c>
    </row>
    <row r="64" spans="1:13" x14ac:dyDescent="0.3">
      <c r="A64" s="8" t="s">
        <v>262</v>
      </c>
      <c r="B64" s="9" t="s">
        <v>551</v>
      </c>
      <c r="C64" s="9" t="s">
        <v>16</v>
      </c>
      <c r="D64" s="9" t="s">
        <v>34</v>
      </c>
      <c r="E64" s="9" t="s">
        <v>631</v>
      </c>
      <c r="F64" s="9" t="s">
        <v>624</v>
      </c>
      <c r="G64" s="9" t="s">
        <v>621</v>
      </c>
      <c r="H64" s="10">
        <v>0</v>
      </c>
      <c r="I64" s="10">
        <v>0</v>
      </c>
      <c r="J64" s="10">
        <v>0</v>
      </c>
      <c r="K64" s="10">
        <f t="shared" si="0"/>
        <v>0</v>
      </c>
      <c r="L64" s="11">
        <f t="shared" si="1"/>
        <v>0</v>
      </c>
      <c r="M64" s="11">
        <f t="shared" si="2"/>
        <v>0</v>
      </c>
    </row>
    <row r="65" spans="1:13" x14ac:dyDescent="0.3">
      <c r="A65" s="8" t="s">
        <v>53</v>
      </c>
      <c r="B65" s="9" t="s">
        <v>357</v>
      </c>
      <c r="C65" s="9" t="s">
        <v>16</v>
      </c>
      <c r="D65" s="9" t="s">
        <v>44</v>
      </c>
      <c r="E65" s="9" t="s">
        <v>616</v>
      </c>
      <c r="F65" s="9" t="s">
        <v>617</v>
      </c>
      <c r="G65" s="9" t="s">
        <v>622</v>
      </c>
      <c r="H65" s="10">
        <v>0</v>
      </c>
      <c r="I65" s="10">
        <v>2</v>
      </c>
      <c r="J65" s="10">
        <v>1</v>
      </c>
      <c r="K65" s="10">
        <f t="shared" si="0"/>
        <v>1.24</v>
      </c>
      <c r="L65" s="11">
        <f t="shared" si="1"/>
        <v>0.62</v>
      </c>
      <c r="M65" s="11">
        <f t="shared" si="2"/>
        <v>0</v>
      </c>
    </row>
    <row r="66" spans="1:13" x14ac:dyDescent="0.3">
      <c r="A66" s="8" t="s">
        <v>270</v>
      </c>
      <c r="B66" s="9" t="s">
        <v>559</v>
      </c>
      <c r="C66" s="9" t="s">
        <v>16</v>
      </c>
      <c r="D66" s="9" t="s">
        <v>22</v>
      </c>
      <c r="E66" s="9" t="s">
        <v>631</v>
      </c>
      <c r="F66" s="9" t="s">
        <v>624</v>
      </c>
      <c r="G66" s="9" t="s">
        <v>618</v>
      </c>
      <c r="H66" s="10">
        <v>0</v>
      </c>
      <c r="I66" s="10">
        <v>0</v>
      </c>
      <c r="J66" s="10">
        <v>0</v>
      </c>
      <c r="K66" s="10">
        <f t="shared" si="0"/>
        <v>0</v>
      </c>
      <c r="L66" s="11">
        <f t="shared" si="1"/>
        <v>0</v>
      </c>
      <c r="M66" s="11">
        <f t="shared" si="2"/>
        <v>0</v>
      </c>
    </row>
    <row r="67" spans="1:13" x14ac:dyDescent="0.3">
      <c r="A67" s="8" t="s">
        <v>146</v>
      </c>
      <c r="B67" s="9" t="s">
        <v>436</v>
      </c>
      <c r="C67" s="9" t="s">
        <v>16</v>
      </c>
      <c r="D67" s="9" t="s">
        <v>40</v>
      </c>
      <c r="E67" s="9" t="s">
        <v>616</v>
      </c>
      <c r="F67" s="9" t="s">
        <v>617</v>
      </c>
      <c r="G67" s="9" t="s">
        <v>623</v>
      </c>
      <c r="H67" s="10">
        <v>0</v>
      </c>
      <c r="I67" s="10">
        <v>1</v>
      </c>
      <c r="J67" s="10">
        <v>0</v>
      </c>
      <c r="K67" s="10">
        <f t="shared" si="0"/>
        <v>0</v>
      </c>
      <c r="L67" s="11">
        <f t="shared" si="1"/>
        <v>0</v>
      </c>
      <c r="M67" s="11">
        <f t="shared" si="2"/>
        <v>0</v>
      </c>
    </row>
    <row r="68" spans="1:13" x14ac:dyDescent="0.3">
      <c r="A68" s="8" t="s">
        <v>69</v>
      </c>
      <c r="B68" s="9" t="s">
        <v>371</v>
      </c>
      <c r="C68" s="9" t="s">
        <v>14</v>
      </c>
      <c r="D68" s="9" t="s">
        <v>32</v>
      </c>
      <c r="E68" s="9" t="s">
        <v>616</v>
      </c>
      <c r="F68" s="9" t="s">
        <v>617</v>
      </c>
      <c r="G68" s="9" t="s">
        <v>619</v>
      </c>
      <c r="H68" s="10">
        <v>2</v>
      </c>
      <c r="I68" s="10">
        <v>4</v>
      </c>
      <c r="J68" s="10">
        <v>1</v>
      </c>
      <c r="K68" s="10">
        <f t="shared" si="0"/>
        <v>1.24</v>
      </c>
      <c r="L68" s="11">
        <f t="shared" si="1"/>
        <v>0.31</v>
      </c>
      <c r="M68" s="11">
        <f t="shared" si="2"/>
        <v>-0.38</v>
      </c>
    </row>
    <row r="69" spans="1:13" x14ac:dyDescent="0.3">
      <c r="A69" s="8" t="s">
        <v>57</v>
      </c>
      <c r="B69" s="9" t="s">
        <v>361</v>
      </c>
      <c r="C69" s="9" t="s">
        <v>14</v>
      </c>
      <c r="D69" s="9" t="s">
        <v>28</v>
      </c>
      <c r="E69" s="9" t="s">
        <v>616</v>
      </c>
      <c r="F69" s="9" t="s">
        <v>617</v>
      </c>
      <c r="G69" s="9" t="s">
        <v>620</v>
      </c>
      <c r="H69" s="10">
        <v>1</v>
      </c>
      <c r="I69" s="10">
        <v>1</v>
      </c>
      <c r="J69" s="10">
        <v>1</v>
      </c>
      <c r="K69" s="10">
        <f t="shared" ref="K69:K132" si="7">IFERROR((J69/$A$1*$B$1),0)</f>
        <v>1.24</v>
      </c>
      <c r="L69" s="11">
        <f t="shared" ref="L69:L132" si="8">IFERROR((K69/I69),0)</f>
        <v>1.24</v>
      </c>
      <c r="M69" s="11">
        <f t="shared" ref="M69:M132" si="9">IFERROR((K69-H69)/H69,0)</f>
        <v>0.24</v>
      </c>
    </row>
    <row r="70" spans="1:13" x14ac:dyDescent="0.3">
      <c r="A70" s="8" t="s">
        <v>99</v>
      </c>
      <c r="B70" s="9" t="s">
        <v>401</v>
      </c>
      <c r="C70" s="9" t="s">
        <v>16</v>
      </c>
      <c r="D70" s="9" t="s">
        <v>42</v>
      </c>
      <c r="E70" s="9" t="s">
        <v>616</v>
      </c>
      <c r="F70" s="9" t="s">
        <v>617</v>
      </c>
      <c r="G70" s="9" t="s">
        <v>618</v>
      </c>
      <c r="H70" s="10">
        <v>0</v>
      </c>
      <c r="I70" s="10">
        <v>0</v>
      </c>
      <c r="J70" s="10">
        <v>2</v>
      </c>
      <c r="K70" s="10">
        <f t="shared" si="7"/>
        <v>2.48</v>
      </c>
      <c r="L70" s="11">
        <f t="shared" si="8"/>
        <v>0</v>
      </c>
      <c r="M70" s="11">
        <f t="shared" si="9"/>
        <v>0</v>
      </c>
    </row>
    <row r="71" spans="1:13" x14ac:dyDescent="0.3">
      <c r="A71" s="8" t="s">
        <v>150</v>
      </c>
      <c r="B71" s="9" t="s">
        <v>440</v>
      </c>
      <c r="C71" s="9" t="s">
        <v>16</v>
      </c>
      <c r="D71" s="9" t="s">
        <v>42</v>
      </c>
      <c r="E71" s="9" t="s">
        <v>616</v>
      </c>
      <c r="F71" s="9" t="s">
        <v>624</v>
      </c>
      <c r="G71" s="9" t="s">
        <v>618</v>
      </c>
      <c r="H71" s="10">
        <v>0</v>
      </c>
      <c r="I71" s="10">
        <v>0</v>
      </c>
      <c r="J71" s="10">
        <v>0</v>
      </c>
      <c r="K71" s="10">
        <f t="shared" si="7"/>
        <v>0</v>
      </c>
      <c r="L71" s="11">
        <f t="shared" si="8"/>
        <v>0</v>
      </c>
      <c r="M71" s="11">
        <f t="shared" si="9"/>
        <v>0</v>
      </c>
    </row>
    <row r="72" spans="1:13" x14ac:dyDescent="0.3">
      <c r="A72" s="8" t="s">
        <v>149</v>
      </c>
      <c r="B72" s="9" t="s">
        <v>439</v>
      </c>
      <c r="C72" s="9" t="s">
        <v>14</v>
      </c>
      <c r="D72" s="9" t="s">
        <v>32</v>
      </c>
      <c r="E72" s="9" t="s">
        <v>616</v>
      </c>
      <c r="F72" s="9" t="s">
        <v>617</v>
      </c>
      <c r="G72" s="9" t="s">
        <v>619</v>
      </c>
      <c r="H72" s="10">
        <v>2</v>
      </c>
      <c r="I72" s="10">
        <v>1</v>
      </c>
      <c r="J72" s="10">
        <v>1</v>
      </c>
      <c r="K72" s="10">
        <f t="shared" si="7"/>
        <v>1.24</v>
      </c>
      <c r="L72" s="11">
        <f t="shared" si="8"/>
        <v>1.24</v>
      </c>
      <c r="M72" s="11">
        <f t="shared" si="9"/>
        <v>-0.38</v>
      </c>
    </row>
    <row r="73" spans="1:13" x14ac:dyDescent="0.3">
      <c r="A73" s="8" t="s">
        <v>147</v>
      </c>
      <c r="B73" s="9" t="s">
        <v>437</v>
      </c>
      <c r="C73" s="9" t="s">
        <v>16</v>
      </c>
      <c r="D73" s="9" t="s">
        <v>42</v>
      </c>
      <c r="E73" s="9" t="s">
        <v>616</v>
      </c>
      <c r="F73" s="9" t="s">
        <v>617</v>
      </c>
      <c r="G73" s="9" t="s">
        <v>618</v>
      </c>
      <c r="H73" s="10">
        <v>0</v>
      </c>
      <c r="I73" s="10">
        <v>1</v>
      </c>
      <c r="J73" s="10">
        <v>0</v>
      </c>
      <c r="K73" s="10">
        <f t="shared" si="7"/>
        <v>0</v>
      </c>
      <c r="L73" s="11">
        <f t="shared" si="8"/>
        <v>0</v>
      </c>
      <c r="M73" s="11">
        <f t="shared" si="9"/>
        <v>0</v>
      </c>
    </row>
    <row r="74" spans="1:13" x14ac:dyDescent="0.3">
      <c r="A74" s="8" t="s">
        <v>148</v>
      </c>
      <c r="B74" s="9" t="s">
        <v>438</v>
      </c>
      <c r="C74" s="9" t="s">
        <v>14</v>
      </c>
      <c r="D74" s="9" t="s">
        <v>30</v>
      </c>
      <c r="E74" s="9" t="s">
        <v>616</v>
      </c>
      <c r="F74" s="9" t="s">
        <v>617</v>
      </c>
      <c r="G74" s="9" t="s">
        <v>620</v>
      </c>
      <c r="H74" s="10">
        <v>1</v>
      </c>
      <c r="I74" s="10">
        <v>2</v>
      </c>
      <c r="J74" s="10">
        <v>0</v>
      </c>
      <c r="K74" s="10">
        <f t="shared" si="7"/>
        <v>0</v>
      </c>
      <c r="L74" s="11">
        <f t="shared" si="8"/>
        <v>0</v>
      </c>
      <c r="M74" s="11">
        <f t="shared" si="9"/>
        <v>-1</v>
      </c>
    </row>
    <row r="75" spans="1:13" x14ac:dyDescent="0.3">
      <c r="A75" s="8" t="s">
        <v>21</v>
      </c>
      <c r="B75" s="9" t="s">
        <v>337</v>
      </c>
      <c r="C75" s="9" t="s">
        <v>14</v>
      </c>
      <c r="D75" s="9" t="s">
        <v>30</v>
      </c>
      <c r="E75" s="9" t="s">
        <v>616</v>
      </c>
      <c r="F75" s="9" t="s">
        <v>617</v>
      </c>
      <c r="G75" s="9" t="s">
        <v>620</v>
      </c>
      <c r="H75" s="10">
        <v>2</v>
      </c>
      <c r="I75" s="10">
        <v>3</v>
      </c>
      <c r="J75" s="10">
        <v>0</v>
      </c>
      <c r="K75" s="10">
        <f t="shared" si="7"/>
        <v>0</v>
      </c>
      <c r="L75" s="11">
        <f t="shared" si="8"/>
        <v>0</v>
      </c>
      <c r="M75" s="11">
        <f t="shared" si="9"/>
        <v>-1</v>
      </c>
    </row>
    <row r="76" spans="1:13" x14ac:dyDescent="0.3">
      <c r="A76" s="8" t="s">
        <v>80</v>
      </c>
      <c r="B76" s="9" t="s">
        <v>382</v>
      </c>
      <c r="C76" s="9" t="s">
        <v>16</v>
      </c>
      <c r="D76" s="9" t="s">
        <v>44</v>
      </c>
      <c r="E76" s="9" t="s">
        <v>616</v>
      </c>
      <c r="F76" s="9" t="s">
        <v>617</v>
      </c>
      <c r="G76" s="9" t="s">
        <v>622</v>
      </c>
      <c r="H76" s="10">
        <v>0</v>
      </c>
      <c r="I76" s="10">
        <v>0</v>
      </c>
      <c r="J76" s="10">
        <v>0</v>
      </c>
      <c r="K76" s="10">
        <f t="shared" si="7"/>
        <v>0</v>
      </c>
      <c r="L76" s="11">
        <f t="shared" si="8"/>
        <v>0</v>
      </c>
      <c r="M76" s="11">
        <f t="shared" si="9"/>
        <v>0</v>
      </c>
    </row>
    <row r="77" spans="1:13" x14ac:dyDescent="0.3">
      <c r="A77" s="8" t="s">
        <v>73</v>
      </c>
      <c r="B77" s="9" t="s">
        <v>375</v>
      </c>
      <c r="C77" s="9" t="s">
        <v>14</v>
      </c>
      <c r="D77" s="9" t="s">
        <v>26</v>
      </c>
      <c r="E77" s="9" t="s">
        <v>616</v>
      </c>
      <c r="F77" s="9" t="s">
        <v>617</v>
      </c>
      <c r="G77" s="9" t="s">
        <v>619</v>
      </c>
      <c r="H77" s="10">
        <v>2</v>
      </c>
      <c r="I77" s="10">
        <v>2</v>
      </c>
      <c r="J77" s="10">
        <v>0</v>
      </c>
      <c r="K77" s="10">
        <f t="shared" si="7"/>
        <v>0</v>
      </c>
      <c r="L77" s="11">
        <f t="shared" si="8"/>
        <v>0</v>
      </c>
      <c r="M77" s="11">
        <f t="shared" si="9"/>
        <v>-1</v>
      </c>
    </row>
    <row r="78" spans="1:13" x14ac:dyDescent="0.3">
      <c r="A78" s="8" t="s">
        <v>20</v>
      </c>
      <c r="B78" s="9" t="s">
        <v>336</v>
      </c>
      <c r="C78" s="9" t="s">
        <v>14</v>
      </c>
      <c r="D78" s="9" t="s">
        <v>28</v>
      </c>
      <c r="E78" s="9" t="s">
        <v>616</v>
      </c>
      <c r="F78" s="9" t="s">
        <v>617</v>
      </c>
      <c r="G78" s="9" t="s">
        <v>620</v>
      </c>
      <c r="H78" s="10">
        <v>2</v>
      </c>
      <c r="I78" s="10">
        <v>3</v>
      </c>
      <c r="J78" s="10">
        <v>2</v>
      </c>
      <c r="K78" s="10">
        <f t="shared" si="7"/>
        <v>2.48</v>
      </c>
      <c r="L78" s="11">
        <f t="shared" si="8"/>
        <v>0.82666666666666666</v>
      </c>
      <c r="M78" s="11">
        <f t="shared" si="9"/>
        <v>0.24</v>
      </c>
    </row>
    <row r="79" spans="1:13" x14ac:dyDescent="0.3">
      <c r="A79" s="8" t="s">
        <v>249</v>
      </c>
      <c r="B79" s="9" t="s">
        <v>538</v>
      </c>
      <c r="C79" s="9" t="s">
        <v>14</v>
      </c>
      <c r="D79" s="9" t="s">
        <v>30</v>
      </c>
      <c r="E79" s="9" t="s">
        <v>616</v>
      </c>
      <c r="F79" s="9" t="s">
        <v>624</v>
      </c>
      <c r="G79" s="9" t="s">
        <v>620</v>
      </c>
      <c r="H79" s="10">
        <v>0</v>
      </c>
      <c r="I79" s="10">
        <v>0</v>
      </c>
      <c r="J79" s="10">
        <v>0</v>
      </c>
      <c r="K79" s="10">
        <f t="shared" si="7"/>
        <v>0</v>
      </c>
      <c r="L79" s="11">
        <f t="shared" si="8"/>
        <v>0</v>
      </c>
      <c r="M79" s="11">
        <f t="shared" si="9"/>
        <v>0</v>
      </c>
    </row>
    <row r="80" spans="1:13" x14ac:dyDescent="0.3">
      <c r="A80" s="8" t="s">
        <v>79</v>
      </c>
      <c r="B80" s="9" t="s">
        <v>381</v>
      </c>
      <c r="C80" s="9" t="s">
        <v>16</v>
      </c>
      <c r="D80" s="9" t="s">
        <v>42</v>
      </c>
      <c r="E80" s="9" t="s">
        <v>616</v>
      </c>
      <c r="F80" s="9" t="s">
        <v>617</v>
      </c>
      <c r="G80" s="9" t="s">
        <v>618</v>
      </c>
      <c r="H80" s="10">
        <v>0</v>
      </c>
      <c r="I80" s="10">
        <v>1</v>
      </c>
      <c r="J80" s="10">
        <v>2</v>
      </c>
      <c r="K80" s="10">
        <f t="shared" si="7"/>
        <v>2.48</v>
      </c>
      <c r="L80" s="11">
        <f t="shared" si="8"/>
        <v>2.48</v>
      </c>
      <c r="M80" s="11">
        <f t="shared" si="9"/>
        <v>0</v>
      </c>
    </row>
    <row r="81" spans="1:13" x14ac:dyDescent="0.3">
      <c r="A81" s="8" t="s">
        <v>65</v>
      </c>
      <c r="B81" s="9" t="s">
        <v>367</v>
      </c>
      <c r="C81" s="9" t="s">
        <v>14</v>
      </c>
      <c r="D81" s="9" t="s">
        <v>26</v>
      </c>
      <c r="E81" s="9" t="s">
        <v>616</v>
      </c>
      <c r="F81" s="9" t="s">
        <v>617</v>
      </c>
      <c r="G81" s="9" t="s">
        <v>619</v>
      </c>
      <c r="H81" s="10">
        <v>0</v>
      </c>
      <c r="I81" s="10">
        <v>1</v>
      </c>
      <c r="J81" s="10">
        <v>1</v>
      </c>
      <c r="K81" s="10">
        <f t="shared" si="7"/>
        <v>1.24</v>
      </c>
      <c r="L81" s="11">
        <f t="shared" si="8"/>
        <v>1.24</v>
      </c>
      <c r="M81" s="11">
        <f t="shared" si="9"/>
        <v>0</v>
      </c>
    </row>
    <row r="82" spans="1:13" x14ac:dyDescent="0.3">
      <c r="A82" s="8" t="s">
        <v>83</v>
      </c>
      <c r="B82" s="9" t="s">
        <v>385</v>
      </c>
      <c r="C82" s="9" t="s">
        <v>14</v>
      </c>
      <c r="D82" s="9" t="s">
        <v>32</v>
      </c>
      <c r="E82" s="9" t="s">
        <v>616</v>
      </c>
      <c r="F82" s="9" t="s">
        <v>617</v>
      </c>
      <c r="G82" s="9" t="s">
        <v>619</v>
      </c>
      <c r="H82" s="10">
        <v>4</v>
      </c>
      <c r="I82" s="10">
        <v>3</v>
      </c>
      <c r="J82" s="10">
        <v>2</v>
      </c>
      <c r="K82" s="10">
        <f t="shared" si="7"/>
        <v>2.48</v>
      </c>
      <c r="L82" s="11">
        <f t="shared" si="8"/>
        <v>0.82666666666666666</v>
      </c>
      <c r="M82" s="11">
        <f t="shared" si="9"/>
        <v>-0.38</v>
      </c>
    </row>
    <row r="83" spans="1:13" x14ac:dyDescent="0.3">
      <c r="A83" s="8" t="s">
        <v>152</v>
      </c>
      <c r="B83" s="9" t="s">
        <v>442</v>
      </c>
      <c r="C83" s="9" t="s">
        <v>16</v>
      </c>
      <c r="D83" s="9" t="s">
        <v>40</v>
      </c>
      <c r="E83" s="9" t="s">
        <v>616</v>
      </c>
      <c r="F83" s="9" t="s">
        <v>617</v>
      </c>
      <c r="G83" s="9" t="s">
        <v>623</v>
      </c>
      <c r="H83" s="10">
        <v>1</v>
      </c>
      <c r="I83" s="10">
        <v>2</v>
      </c>
      <c r="J83" s="10">
        <v>1</v>
      </c>
      <c r="K83" s="10">
        <f t="shared" si="7"/>
        <v>1.24</v>
      </c>
      <c r="L83" s="11">
        <f t="shared" si="8"/>
        <v>0.62</v>
      </c>
      <c r="M83" s="11">
        <f t="shared" si="9"/>
        <v>0.24</v>
      </c>
    </row>
    <row r="84" spans="1:13" x14ac:dyDescent="0.3">
      <c r="A84" s="8" t="s">
        <v>96</v>
      </c>
      <c r="B84" s="9" t="s">
        <v>398</v>
      </c>
      <c r="C84" s="9" t="s">
        <v>14</v>
      </c>
      <c r="D84" s="9" t="s">
        <v>32</v>
      </c>
      <c r="E84" s="9" t="s">
        <v>616</v>
      </c>
      <c r="F84" s="9" t="s">
        <v>617</v>
      </c>
      <c r="G84" s="9" t="s">
        <v>619</v>
      </c>
      <c r="H84" s="10">
        <v>3</v>
      </c>
      <c r="I84" s="10">
        <v>3</v>
      </c>
      <c r="J84" s="10">
        <v>1</v>
      </c>
      <c r="K84" s="10">
        <f t="shared" si="7"/>
        <v>1.24</v>
      </c>
      <c r="L84" s="11">
        <f t="shared" si="8"/>
        <v>0.41333333333333333</v>
      </c>
      <c r="M84" s="11">
        <f t="shared" si="9"/>
        <v>-0.58666666666666667</v>
      </c>
    </row>
    <row r="85" spans="1:13" x14ac:dyDescent="0.3">
      <c r="A85" s="8" t="s">
        <v>67</v>
      </c>
      <c r="B85" s="9" t="s">
        <v>369</v>
      </c>
      <c r="C85" s="9" t="s">
        <v>14</v>
      </c>
      <c r="D85" s="9" t="s">
        <v>24</v>
      </c>
      <c r="E85" s="9" t="s">
        <v>616</v>
      </c>
      <c r="F85" s="9" t="s">
        <v>617</v>
      </c>
      <c r="G85" s="9" t="s">
        <v>619</v>
      </c>
      <c r="H85" s="10">
        <v>0</v>
      </c>
      <c r="I85" s="10">
        <v>2</v>
      </c>
      <c r="J85" s="10">
        <v>1</v>
      </c>
      <c r="K85" s="10">
        <f t="shared" si="7"/>
        <v>1.24</v>
      </c>
      <c r="L85" s="11">
        <f t="shared" si="8"/>
        <v>0.62</v>
      </c>
      <c r="M85" s="11">
        <f t="shared" si="9"/>
        <v>0</v>
      </c>
    </row>
    <row r="86" spans="1:13" x14ac:dyDescent="0.3">
      <c r="A86" s="8" t="s">
        <v>252</v>
      </c>
      <c r="B86" s="9" t="s">
        <v>541</v>
      </c>
      <c r="C86" s="9" t="s">
        <v>14</v>
      </c>
      <c r="D86" s="9" t="s">
        <v>24</v>
      </c>
      <c r="E86" s="9" t="s">
        <v>616</v>
      </c>
      <c r="F86" s="9" t="s">
        <v>624</v>
      </c>
      <c r="G86" s="9" t="s">
        <v>619</v>
      </c>
      <c r="H86" s="10">
        <v>0</v>
      </c>
      <c r="I86" s="10">
        <v>0</v>
      </c>
      <c r="J86" s="10">
        <v>0</v>
      </c>
      <c r="K86" s="10">
        <f t="shared" si="7"/>
        <v>0</v>
      </c>
      <c r="L86" s="11">
        <f t="shared" si="8"/>
        <v>0</v>
      </c>
      <c r="M86" s="11">
        <f t="shared" si="9"/>
        <v>0</v>
      </c>
    </row>
    <row r="87" spans="1:13" x14ac:dyDescent="0.3">
      <c r="A87" s="8" t="s">
        <v>153</v>
      </c>
      <c r="B87" s="9" t="s">
        <v>443</v>
      </c>
      <c r="C87" s="9" t="s">
        <v>16</v>
      </c>
      <c r="D87" s="9" t="s">
        <v>40</v>
      </c>
      <c r="E87" s="9" t="s">
        <v>616</v>
      </c>
      <c r="F87" s="9" t="s">
        <v>617</v>
      </c>
      <c r="G87" s="9" t="s">
        <v>623</v>
      </c>
      <c r="H87" s="10">
        <v>1</v>
      </c>
      <c r="I87" s="10">
        <v>2</v>
      </c>
      <c r="J87" s="10">
        <v>1</v>
      </c>
      <c r="K87" s="10">
        <f t="shared" si="7"/>
        <v>1.24</v>
      </c>
      <c r="L87" s="11">
        <f t="shared" si="8"/>
        <v>0.62</v>
      </c>
      <c r="M87" s="11">
        <f t="shared" si="9"/>
        <v>0.24</v>
      </c>
    </row>
    <row r="88" spans="1:13" x14ac:dyDescent="0.3">
      <c r="A88" s="8" t="s">
        <v>151</v>
      </c>
      <c r="B88" s="9" t="s">
        <v>441</v>
      </c>
      <c r="C88" s="9" t="s">
        <v>16</v>
      </c>
      <c r="D88" s="9" t="s">
        <v>36</v>
      </c>
      <c r="E88" s="9" t="s">
        <v>616</v>
      </c>
      <c r="F88" s="9" t="s">
        <v>617</v>
      </c>
      <c r="G88" s="9" t="s">
        <v>622</v>
      </c>
      <c r="H88" s="10">
        <v>2</v>
      </c>
      <c r="I88" s="10">
        <v>2</v>
      </c>
      <c r="J88" s="10">
        <v>5</v>
      </c>
      <c r="K88" s="10">
        <f t="shared" si="7"/>
        <v>6.2</v>
      </c>
      <c r="L88" s="11">
        <f t="shared" si="8"/>
        <v>3.1</v>
      </c>
      <c r="M88" s="11">
        <f t="shared" si="9"/>
        <v>2.1</v>
      </c>
    </row>
    <row r="89" spans="1:13" x14ac:dyDescent="0.3">
      <c r="A89" s="8" t="s">
        <v>154</v>
      </c>
      <c r="B89" s="9" t="s">
        <v>444</v>
      </c>
      <c r="C89" s="9" t="s">
        <v>14</v>
      </c>
      <c r="D89" s="9" t="s">
        <v>24</v>
      </c>
      <c r="E89" s="9" t="s">
        <v>616</v>
      </c>
      <c r="F89" s="9" t="s">
        <v>617</v>
      </c>
      <c r="G89" s="9" t="s">
        <v>619</v>
      </c>
      <c r="H89" s="10">
        <v>5</v>
      </c>
      <c r="I89" s="10">
        <v>3</v>
      </c>
      <c r="J89" s="10">
        <v>4</v>
      </c>
      <c r="K89" s="10">
        <f t="shared" si="7"/>
        <v>4.96</v>
      </c>
      <c r="L89" s="11">
        <f t="shared" si="8"/>
        <v>1.6533333333333333</v>
      </c>
      <c r="M89" s="11">
        <f t="shared" si="9"/>
        <v>-8.0000000000000071E-3</v>
      </c>
    </row>
    <row r="90" spans="1:13" x14ac:dyDescent="0.3">
      <c r="A90" s="8" t="s">
        <v>82</v>
      </c>
      <c r="B90" s="9" t="s">
        <v>384</v>
      </c>
      <c r="C90" s="9" t="s">
        <v>16</v>
      </c>
      <c r="D90" s="9" t="s">
        <v>44</v>
      </c>
      <c r="E90" s="9" t="s">
        <v>616</v>
      </c>
      <c r="F90" s="9" t="s">
        <v>617</v>
      </c>
      <c r="G90" s="9" t="s">
        <v>622</v>
      </c>
      <c r="H90" s="10">
        <v>0</v>
      </c>
      <c r="I90" s="10">
        <v>1</v>
      </c>
      <c r="J90" s="10">
        <v>0</v>
      </c>
      <c r="K90" s="10">
        <f t="shared" si="7"/>
        <v>0</v>
      </c>
      <c r="L90" s="11">
        <f t="shared" si="8"/>
        <v>0</v>
      </c>
      <c r="M90" s="11">
        <f t="shared" si="9"/>
        <v>0</v>
      </c>
    </row>
    <row r="91" spans="1:13" x14ac:dyDescent="0.3">
      <c r="A91" s="8" t="s">
        <v>250</v>
      </c>
      <c r="B91" s="9" t="s">
        <v>539</v>
      </c>
      <c r="C91" s="9" t="s">
        <v>16</v>
      </c>
      <c r="D91" s="9" t="s">
        <v>22</v>
      </c>
      <c r="E91" s="9" t="s">
        <v>616</v>
      </c>
      <c r="F91" s="9" t="s">
        <v>624</v>
      </c>
      <c r="G91" s="9" t="s">
        <v>618</v>
      </c>
      <c r="H91" s="10">
        <v>0</v>
      </c>
      <c r="I91" s="10">
        <v>0</v>
      </c>
      <c r="J91" s="10">
        <v>0</v>
      </c>
      <c r="K91" s="10">
        <f t="shared" si="7"/>
        <v>0</v>
      </c>
      <c r="L91" s="11">
        <f t="shared" si="8"/>
        <v>0</v>
      </c>
      <c r="M91" s="11">
        <f t="shared" si="9"/>
        <v>0</v>
      </c>
    </row>
    <row r="92" spans="1:13" x14ac:dyDescent="0.3">
      <c r="A92" s="8" t="s">
        <v>64</v>
      </c>
      <c r="B92" s="9" t="s">
        <v>366</v>
      </c>
      <c r="C92" s="9" t="s">
        <v>14</v>
      </c>
      <c r="D92" s="9" t="s">
        <v>32</v>
      </c>
      <c r="E92" s="9" t="s">
        <v>616</v>
      </c>
      <c r="F92" s="9" t="s">
        <v>617</v>
      </c>
      <c r="G92" s="9" t="s">
        <v>619</v>
      </c>
      <c r="H92" s="10">
        <v>0</v>
      </c>
      <c r="I92" s="10">
        <v>1</v>
      </c>
      <c r="J92" s="10">
        <v>0</v>
      </c>
      <c r="K92" s="10">
        <f t="shared" si="7"/>
        <v>0</v>
      </c>
      <c r="L92" s="11">
        <f t="shared" si="8"/>
        <v>0</v>
      </c>
      <c r="M92" s="11">
        <f t="shared" si="9"/>
        <v>0</v>
      </c>
    </row>
    <row r="93" spans="1:13" x14ac:dyDescent="0.3">
      <c r="A93" s="8" t="s">
        <v>156</v>
      </c>
      <c r="B93" s="9" t="s">
        <v>446</v>
      </c>
      <c r="C93" s="9" t="s">
        <v>14</v>
      </c>
      <c r="D93" s="9" t="s">
        <v>28</v>
      </c>
      <c r="E93" s="9" t="s">
        <v>616</v>
      </c>
      <c r="F93" s="9" t="s">
        <v>624</v>
      </c>
      <c r="G93" s="9" t="s">
        <v>620</v>
      </c>
      <c r="H93" s="10">
        <v>0</v>
      </c>
      <c r="I93" s="10">
        <v>0</v>
      </c>
      <c r="J93" s="10">
        <v>0</v>
      </c>
      <c r="K93" s="10">
        <f t="shared" si="7"/>
        <v>0</v>
      </c>
      <c r="L93" s="11">
        <f t="shared" si="8"/>
        <v>0</v>
      </c>
      <c r="M93" s="11">
        <f t="shared" si="9"/>
        <v>0</v>
      </c>
    </row>
    <row r="94" spans="1:13" x14ac:dyDescent="0.3">
      <c r="A94" s="8" t="s">
        <v>81</v>
      </c>
      <c r="B94" s="9" t="s">
        <v>383</v>
      </c>
      <c r="C94" s="9" t="s">
        <v>16</v>
      </c>
      <c r="D94" s="9" t="s">
        <v>40</v>
      </c>
      <c r="E94" s="9" t="s">
        <v>616</v>
      </c>
      <c r="F94" s="9" t="s">
        <v>617</v>
      </c>
      <c r="G94" s="9" t="s">
        <v>623</v>
      </c>
      <c r="H94" s="10">
        <v>1</v>
      </c>
      <c r="I94" s="10">
        <v>1</v>
      </c>
      <c r="J94" s="10">
        <v>2</v>
      </c>
      <c r="K94" s="10">
        <f t="shared" si="7"/>
        <v>2.48</v>
      </c>
      <c r="L94" s="11">
        <f t="shared" si="8"/>
        <v>2.48</v>
      </c>
      <c r="M94" s="11">
        <f t="shared" si="9"/>
        <v>1.48</v>
      </c>
    </row>
    <row r="95" spans="1:13" x14ac:dyDescent="0.3">
      <c r="A95" s="8" t="s">
        <v>89</v>
      </c>
      <c r="B95" s="9" t="s">
        <v>391</v>
      </c>
      <c r="C95" s="9" t="s">
        <v>16</v>
      </c>
      <c r="D95" s="9" t="s">
        <v>36</v>
      </c>
      <c r="E95" s="9" t="s">
        <v>616</v>
      </c>
      <c r="F95" s="9" t="s">
        <v>617</v>
      </c>
      <c r="G95" s="9" t="s">
        <v>622</v>
      </c>
      <c r="H95" s="10">
        <v>0</v>
      </c>
      <c r="I95" s="10">
        <v>1</v>
      </c>
      <c r="J95" s="10">
        <v>2</v>
      </c>
      <c r="K95" s="10">
        <f t="shared" si="7"/>
        <v>2.48</v>
      </c>
      <c r="L95" s="11">
        <f t="shared" si="8"/>
        <v>2.48</v>
      </c>
      <c r="M95" s="11">
        <f t="shared" si="9"/>
        <v>0</v>
      </c>
    </row>
    <row r="96" spans="1:13" x14ac:dyDescent="0.3">
      <c r="A96" s="8" t="s">
        <v>93</v>
      </c>
      <c r="B96" s="9" t="s">
        <v>395</v>
      </c>
      <c r="C96" s="9" t="s">
        <v>14</v>
      </c>
      <c r="D96" s="9" t="s">
        <v>30</v>
      </c>
      <c r="E96" s="9" t="s">
        <v>616</v>
      </c>
      <c r="F96" s="9" t="s">
        <v>617</v>
      </c>
      <c r="G96" s="9" t="s">
        <v>620</v>
      </c>
      <c r="H96" s="10">
        <v>3</v>
      </c>
      <c r="I96" s="10">
        <v>1</v>
      </c>
      <c r="J96" s="10">
        <v>1</v>
      </c>
      <c r="K96" s="10">
        <f t="shared" si="7"/>
        <v>1.24</v>
      </c>
      <c r="L96" s="11">
        <f t="shared" si="8"/>
        <v>1.24</v>
      </c>
      <c r="M96" s="11">
        <f t="shared" si="9"/>
        <v>-0.58666666666666667</v>
      </c>
    </row>
    <row r="97" spans="1:13" x14ac:dyDescent="0.3">
      <c r="A97" s="8" t="s">
        <v>72</v>
      </c>
      <c r="B97" s="9" t="s">
        <v>374</v>
      </c>
      <c r="C97" s="9" t="s">
        <v>14</v>
      </c>
      <c r="D97" s="9" t="s">
        <v>30</v>
      </c>
      <c r="E97" s="9" t="s">
        <v>616</v>
      </c>
      <c r="F97" s="9" t="s">
        <v>617</v>
      </c>
      <c r="G97" s="9" t="s">
        <v>620</v>
      </c>
      <c r="H97" s="10">
        <v>3</v>
      </c>
      <c r="I97" s="10">
        <v>1</v>
      </c>
      <c r="J97" s="10">
        <v>3</v>
      </c>
      <c r="K97" s="10">
        <f t="shared" si="7"/>
        <v>3.7199999999999998</v>
      </c>
      <c r="L97" s="11">
        <f t="shared" si="8"/>
        <v>3.7199999999999998</v>
      </c>
      <c r="M97" s="11">
        <f t="shared" si="9"/>
        <v>0.23999999999999991</v>
      </c>
    </row>
    <row r="98" spans="1:13" x14ac:dyDescent="0.3">
      <c r="A98" s="8" t="s">
        <v>91</v>
      </c>
      <c r="B98" s="9" t="s">
        <v>393</v>
      </c>
      <c r="C98" s="9" t="s">
        <v>14</v>
      </c>
      <c r="D98" s="9" t="s">
        <v>28</v>
      </c>
      <c r="E98" s="9" t="s">
        <v>616</v>
      </c>
      <c r="F98" s="9" t="s">
        <v>617</v>
      </c>
      <c r="G98" s="9" t="s">
        <v>620</v>
      </c>
      <c r="H98" s="10">
        <v>4</v>
      </c>
      <c r="I98" s="10">
        <v>4</v>
      </c>
      <c r="J98" s="10">
        <v>2</v>
      </c>
      <c r="K98" s="10">
        <f t="shared" si="7"/>
        <v>2.48</v>
      </c>
      <c r="L98" s="11">
        <f t="shared" si="8"/>
        <v>0.62</v>
      </c>
      <c r="M98" s="11">
        <f t="shared" si="9"/>
        <v>-0.38</v>
      </c>
    </row>
    <row r="99" spans="1:13" x14ac:dyDescent="0.3">
      <c r="A99" s="8" t="s">
        <v>157</v>
      </c>
      <c r="B99" s="9" t="s">
        <v>447</v>
      </c>
      <c r="C99" s="9" t="s">
        <v>16</v>
      </c>
      <c r="D99" s="9" t="s">
        <v>42</v>
      </c>
      <c r="E99" s="9" t="s">
        <v>616</v>
      </c>
      <c r="F99" s="9" t="s">
        <v>624</v>
      </c>
      <c r="G99" s="9" t="s">
        <v>618</v>
      </c>
      <c r="H99" s="10">
        <v>0</v>
      </c>
      <c r="I99" s="10">
        <v>0</v>
      </c>
      <c r="J99" s="10">
        <v>0</v>
      </c>
      <c r="K99" s="10">
        <f t="shared" si="7"/>
        <v>0</v>
      </c>
      <c r="L99" s="11">
        <f t="shared" si="8"/>
        <v>0</v>
      </c>
      <c r="M99" s="11">
        <f t="shared" si="9"/>
        <v>0</v>
      </c>
    </row>
    <row r="100" spans="1:13" x14ac:dyDescent="0.3">
      <c r="A100" s="8" t="s">
        <v>106</v>
      </c>
      <c r="B100" s="9" t="s">
        <v>408</v>
      </c>
      <c r="C100" s="9" t="s">
        <v>16</v>
      </c>
      <c r="D100" s="9" t="s">
        <v>34</v>
      </c>
      <c r="E100" s="9" t="s">
        <v>616</v>
      </c>
      <c r="F100" s="9" t="s">
        <v>617</v>
      </c>
      <c r="G100" s="9" t="s">
        <v>621</v>
      </c>
      <c r="H100" s="10">
        <v>1</v>
      </c>
      <c r="I100" s="10">
        <v>1</v>
      </c>
      <c r="J100" s="10">
        <v>1</v>
      </c>
      <c r="K100" s="10">
        <f t="shared" si="7"/>
        <v>1.24</v>
      </c>
      <c r="L100" s="11">
        <f t="shared" si="8"/>
        <v>1.24</v>
      </c>
      <c r="M100" s="11">
        <f t="shared" si="9"/>
        <v>0.24</v>
      </c>
    </row>
    <row r="101" spans="1:13" x14ac:dyDescent="0.3">
      <c r="A101" s="8" t="s">
        <v>111</v>
      </c>
      <c r="B101" s="9" t="s">
        <v>413</v>
      </c>
      <c r="C101" s="9" t="s">
        <v>16</v>
      </c>
      <c r="D101" s="9" t="s">
        <v>34</v>
      </c>
      <c r="E101" s="9" t="s">
        <v>616</v>
      </c>
      <c r="F101" s="9" t="s">
        <v>617</v>
      </c>
      <c r="G101" s="9" t="s">
        <v>621</v>
      </c>
      <c r="H101" s="10">
        <v>0</v>
      </c>
      <c r="I101" s="10">
        <v>0</v>
      </c>
      <c r="J101" s="10">
        <v>0</v>
      </c>
      <c r="K101" s="10">
        <f t="shared" si="7"/>
        <v>0</v>
      </c>
      <c r="L101" s="11">
        <f t="shared" si="8"/>
        <v>0</v>
      </c>
      <c r="M101" s="11">
        <f t="shared" si="9"/>
        <v>0</v>
      </c>
    </row>
    <row r="102" spans="1:13" x14ac:dyDescent="0.3">
      <c r="A102" s="8" t="s">
        <v>84</v>
      </c>
      <c r="B102" s="9" t="s">
        <v>386</v>
      </c>
      <c r="C102" s="9" t="s">
        <v>16</v>
      </c>
      <c r="D102" s="9" t="s">
        <v>44</v>
      </c>
      <c r="E102" s="9" t="s">
        <v>616</v>
      </c>
      <c r="F102" s="9" t="s">
        <v>617</v>
      </c>
      <c r="G102" s="9" t="s">
        <v>622</v>
      </c>
      <c r="H102" s="10">
        <v>2</v>
      </c>
      <c r="I102" s="10">
        <v>1</v>
      </c>
      <c r="J102" s="10">
        <v>1</v>
      </c>
      <c r="K102" s="10">
        <f t="shared" si="7"/>
        <v>1.24</v>
      </c>
      <c r="L102" s="11">
        <f t="shared" si="8"/>
        <v>1.24</v>
      </c>
      <c r="M102" s="11">
        <f t="shared" si="9"/>
        <v>-0.38</v>
      </c>
    </row>
    <row r="103" spans="1:13" x14ac:dyDescent="0.3">
      <c r="A103" s="8" t="s">
        <v>251</v>
      </c>
      <c r="B103" s="9" t="s">
        <v>540</v>
      </c>
      <c r="C103" s="9" t="s">
        <v>14</v>
      </c>
      <c r="D103" s="9" t="s">
        <v>24</v>
      </c>
      <c r="E103" s="9" t="s">
        <v>616</v>
      </c>
      <c r="F103" s="9" t="s">
        <v>624</v>
      </c>
      <c r="G103" s="9" t="s">
        <v>619</v>
      </c>
      <c r="H103" s="10">
        <v>0</v>
      </c>
      <c r="I103" s="10">
        <v>0</v>
      </c>
      <c r="J103" s="10">
        <v>0</v>
      </c>
      <c r="K103" s="10">
        <f t="shared" si="7"/>
        <v>0</v>
      </c>
      <c r="L103" s="11">
        <f t="shared" si="8"/>
        <v>0</v>
      </c>
      <c r="M103" s="11">
        <f t="shared" si="9"/>
        <v>0</v>
      </c>
    </row>
    <row r="104" spans="1:13" x14ac:dyDescent="0.3">
      <c r="A104" s="8" t="s">
        <v>101</v>
      </c>
      <c r="B104" s="9" t="s">
        <v>403</v>
      </c>
      <c r="C104" s="9" t="s">
        <v>16</v>
      </c>
      <c r="D104" s="9" t="s">
        <v>42</v>
      </c>
      <c r="E104" s="9" t="s">
        <v>616</v>
      </c>
      <c r="F104" s="9" t="s">
        <v>617</v>
      </c>
      <c r="G104" s="9" t="s">
        <v>618</v>
      </c>
      <c r="H104" s="10">
        <v>0</v>
      </c>
      <c r="I104" s="10">
        <v>0</v>
      </c>
      <c r="J104" s="10">
        <v>0</v>
      </c>
      <c r="K104" s="10">
        <f t="shared" si="7"/>
        <v>0</v>
      </c>
      <c r="L104" s="11">
        <f t="shared" si="8"/>
        <v>0</v>
      </c>
      <c r="M104" s="11">
        <f t="shared" si="9"/>
        <v>0</v>
      </c>
    </row>
    <row r="105" spans="1:13" x14ac:dyDescent="0.3">
      <c r="A105" s="8" t="s">
        <v>155</v>
      </c>
      <c r="B105" s="9" t="s">
        <v>445</v>
      </c>
      <c r="C105" s="9" t="s">
        <v>14</v>
      </c>
      <c r="D105" s="9" t="s">
        <v>24</v>
      </c>
      <c r="E105" s="9" t="s">
        <v>616</v>
      </c>
      <c r="F105" s="9" t="s">
        <v>624</v>
      </c>
      <c r="G105" s="9" t="s">
        <v>619</v>
      </c>
      <c r="H105" s="10">
        <v>1</v>
      </c>
      <c r="I105" s="10">
        <v>0</v>
      </c>
      <c r="J105" s="10">
        <v>0</v>
      </c>
      <c r="K105" s="10">
        <f t="shared" si="7"/>
        <v>0</v>
      </c>
      <c r="L105" s="11">
        <f t="shared" si="8"/>
        <v>0</v>
      </c>
      <c r="M105" s="11">
        <f t="shared" si="9"/>
        <v>-1</v>
      </c>
    </row>
    <row r="106" spans="1:13" x14ac:dyDescent="0.3">
      <c r="A106" s="8" t="s">
        <v>76</v>
      </c>
      <c r="B106" s="9" t="s">
        <v>378</v>
      </c>
      <c r="C106" s="9" t="s">
        <v>16</v>
      </c>
      <c r="D106" s="9" t="s">
        <v>22</v>
      </c>
      <c r="E106" s="9" t="s">
        <v>616</v>
      </c>
      <c r="F106" s="9" t="s">
        <v>617</v>
      </c>
      <c r="G106" s="9" t="s">
        <v>618</v>
      </c>
      <c r="H106" s="10">
        <v>2</v>
      </c>
      <c r="I106" s="10">
        <v>4</v>
      </c>
      <c r="J106" s="10">
        <v>3</v>
      </c>
      <c r="K106" s="10">
        <f t="shared" si="7"/>
        <v>3.7199999999999998</v>
      </c>
      <c r="L106" s="11">
        <f t="shared" si="8"/>
        <v>0.92999999999999994</v>
      </c>
      <c r="M106" s="11">
        <f t="shared" si="9"/>
        <v>0.85999999999999988</v>
      </c>
    </row>
    <row r="107" spans="1:13" x14ac:dyDescent="0.3">
      <c r="A107" s="8" t="s">
        <v>104</v>
      </c>
      <c r="B107" s="9" t="s">
        <v>406</v>
      </c>
      <c r="C107" s="9" t="s">
        <v>16</v>
      </c>
      <c r="D107" s="9" t="s">
        <v>36</v>
      </c>
      <c r="E107" s="9" t="s">
        <v>616</v>
      </c>
      <c r="F107" s="9" t="s">
        <v>617</v>
      </c>
      <c r="G107" s="9" t="s">
        <v>622</v>
      </c>
      <c r="H107" s="10">
        <v>1</v>
      </c>
      <c r="I107" s="10">
        <v>2</v>
      </c>
      <c r="J107" s="10">
        <v>0</v>
      </c>
      <c r="K107" s="10">
        <f t="shared" si="7"/>
        <v>0</v>
      </c>
      <c r="L107" s="11">
        <f t="shared" si="8"/>
        <v>0</v>
      </c>
      <c r="M107" s="11">
        <f t="shared" si="9"/>
        <v>-1</v>
      </c>
    </row>
    <row r="108" spans="1:13" x14ac:dyDescent="0.3">
      <c r="A108" s="8" t="s">
        <v>97</v>
      </c>
      <c r="B108" s="9" t="s">
        <v>399</v>
      </c>
      <c r="C108" s="9" t="s">
        <v>16</v>
      </c>
      <c r="D108" s="9" t="s">
        <v>44</v>
      </c>
      <c r="E108" s="9" t="s">
        <v>616</v>
      </c>
      <c r="F108" s="9" t="s">
        <v>617</v>
      </c>
      <c r="G108" s="9" t="s">
        <v>622</v>
      </c>
      <c r="H108" s="10">
        <v>3</v>
      </c>
      <c r="I108" s="10">
        <v>3</v>
      </c>
      <c r="J108" s="10">
        <v>2</v>
      </c>
      <c r="K108" s="10">
        <f t="shared" si="7"/>
        <v>2.48</v>
      </c>
      <c r="L108" s="11">
        <f t="shared" si="8"/>
        <v>0.82666666666666666</v>
      </c>
      <c r="M108" s="11">
        <f t="shared" si="9"/>
        <v>-0.17333333333333334</v>
      </c>
    </row>
    <row r="109" spans="1:13" x14ac:dyDescent="0.3">
      <c r="A109" s="8" t="s">
        <v>31</v>
      </c>
      <c r="B109" s="9" t="s">
        <v>342</v>
      </c>
      <c r="C109" s="9" t="s">
        <v>14</v>
      </c>
      <c r="D109" s="9" t="s">
        <v>32</v>
      </c>
      <c r="E109" s="9" t="s">
        <v>616</v>
      </c>
      <c r="F109" s="9" t="s">
        <v>617</v>
      </c>
      <c r="G109" s="9" t="s">
        <v>619</v>
      </c>
      <c r="H109" s="10">
        <v>0</v>
      </c>
      <c r="I109" s="10">
        <v>2</v>
      </c>
      <c r="J109" s="10">
        <v>2</v>
      </c>
      <c r="K109" s="10">
        <f t="shared" si="7"/>
        <v>2.48</v>
      </c>
      <c r="L109" s="11">
        <f t="shared" si="8"/>
        <v>1.24</v>
      </c>
      <c r="M109" s="11">
        <f t="shared" si="9"/>
        <v>0</v>
      </c>
    </row>
    <row r="110" spans="1:13" x14ac:dyDescent="0.3">
      <c r="A110" s="8" t="s">
        <v>161</v>
      </c>
      <c r="B110" s="9" t="s">
        <v>451</v>
      </c>
      <c r="C110" s="9" t="s">
        <v>16</v>
      </c>
      <c r="D110" s="9" t="s">
        <v>36</v>
      </c>
      <c r="E110" s="9" t="s">
        <v>616</v>
      </c>
      <c r="F110" s="9" t="s">
        <v>617</v>
      </c>
      <c r="G110" s="9" t="s">
        <v>622</v>
      </c>
      <c r="H110" s="10">
        <v>1</v>
      </c>
      <c r="I110" s="10">
        <v>0</v>
      </c>
      <c r="J110" s="10">
        <v>0</v>
      </c>
      <c r="K110" s="10">
        <f t="shared" si="7"/>
        <v>0</v>
      </c>
      <c r="L110" s="11">
        <f t="shared" si="8"/>
        <v>0</v>
      </c>
      <c r="M110" s="11">
        <f t="shared" si="9"/>
        <v>-1</v>
      </c>
    </row>
    <row r="111" spans="1:13" x14ac:dyDescent="0.3">
      <c r="A111" s="8" t="s">
        <v>78</v>
      </c>
      <c r="B111" s="9" t="s">
        <v>380</v>
      </c>
      <c r="C111" s="9" t="s">
        <v>16</v>
      </c>
      <c r="D111" s="9" t="s">
        <v>38</v>
      </c>
      <c r="E111" s="9" t="s">
        <v>616</v>
      </c>
      <c r="F111" s="9" t="s">
        <v>617</v>
      </c>
      <c r="G111" s="9" t="s">
        <v>621</v>
      </c>
      <c r="H111" s="10">
        <v>3</v>
      </c>
      <c r="I111" s="10">
        <v>3</v>
      </c>
      <c r="J111" s="10">
        <v>6</v>
      </c>
      <c r="K111" s="10">
        <f t="shared" si="7"/>
        <v>7.4399999999999995</v>
      </c>
      <c r="L111" s="11">
        <f t="shared" si="8"/>
        <v>2.48</v>
      </c>
      <c r="M111" s="11">
        <f t="shared" si="9"/>
        <v>1.4799999999999998</v>
      </c>
    </row>
    <row r="112" spans="1:13" x14ac:dyDescent="0.3">
      <c r="A112" s="8" t="s">
        <v>95</v>
      </c>
      <c r="B112" s="9" t="s">
        <v>397</v>
      </c>
      <c r="C112" s="9" t="s">
        <v>16</v>
      </c>
      <c r="D112" s="9" t="s">
        <v>38</v>
      </c>
      <c r="E112" s="9" t="s">
        <v>616</v>
      </c>
      <c r="F112" s="9" t="s">
        <v>617</v>
      </c>
      <c r="G112" s="9" t="s">
        <v>621</v>
      </c>
      <c r="H112" s="10">
        <v>2</v>
      </c>
      <c r="I112" s="10">
        <v>4</v>
      </c>
      <c r="J112" s="10">
        <v>0</v>
      </c>
      <c r="K112" s="10">
        <f t="shared" si="7"/>
        <v>0</v>
      </c>
      <c r="L112" s="11">
        <f t="shared" si="8"/>
        <v>0</v>
      </c>
      <c r="M112" s="11">
        <f t="shared" si="9"/>
        <v>-1</v>
      </c>
    </row>
    <row r="113" spans="1:13" x14ac:dyDescent="0.3">
      <c r="A113" s="8" t="s">
        <v>90</v>
      </c>
      <c r="B113" s="9" t="s">
        <v>392</v>
      </c>
      <c r="C113" s="9" t="s">
        <v>16</v>
      </c>
      <c r="D113" s="9" t="s">
        <v>34</v>
      </c>
      <c r="E113" s="9" t="s">
        <v>616</v>
      </c>
      <c r="F113" s="9" t="s">
        <v>617</v>
      </c>
      <c r="G113" s="9" t="s">
        <v>621</v>
      </c>
      <c r="H113" s="10">
        <v>2</v>
      </c>
      <c r="I113" s="10">
        <v>3</v>
      </c>
      <c r="J113" s="10">
        <v>2</v>
      </c>
      <c r="K113" s="10">
        <f t="shared" si="7"/>
        <v>2.48</v>
      </c>
      <c r="L113" s="11">
        <f t="shared" si="8"/>
        <v>0.82666666666666666</v>
      </c>
      <c r="M113" s="11">
        <f t="shared" si="9"/>
        <v>0.24</v>
      </c>
    </row>
    <row r="114" spans="1:13" x14ac:dyDescent="0.3">
      <c r="A114" s="8" t="s">
        <v>159</v>
      </c>
      <c r="B114" s="9" t="s">
        <v>449</v>
      </c>
      <c r="C114" s="9" t="s">
        <v>16</v>
      </c>
      <c r="D114" s="9" t="s">
        <v>40</v>
      </c>
      <c r="E114" s="9" t="s">
        <v>616</v>
      </c>
      <c r="F114" s="9" t="s">
        <v>617</v>
      </c>
      <c r="G114" s="9" t="s">
        <v>623</v>
      </c>
      <c r="H114" s="10">
        <v>0</v>
      </c>
      <c r="I114" s="10">
        <v>1</v>
      </c>
      <c r="J114" s="10">
        <v>0</v>
      </c>
      <c r="K114" s="10">
        <f t="shared" si="7"/>
        <v>0</v>
      </c>
      <c r="L114" s="11">
        <f t="shared" si="8"/>
        <v>0</v>
      </c>
      <c r="M114" s="11">
        <f t="shared" si="9"/>
        <v>0</v>
      </c>
    </row>
    <row r="115" spans="1:13" x14ac:dyDescent="0.3">
      <c r="A115" s="8" t="s">
        <v>158</v>
      </c>
      <c r="B115" s="9" t="s">
        <v>448</v>
      </c>
      <c r="C115" s="9" t="s">
        <v>16</v>
      </c>
      <c r="D115" s="9" t="s">
        <v>40</v>
      </c>
      <c r="E115" s="9" t="s">
        <v>616</v>
      </c>
      <c r="F115" s="9" t="s">
        <v>617</v>
      </c>
      <c r="G115" s="9" t="s">
        <v>623</v>
      </c>
      <c r="H115" s="10">
        <v>0</v>
      </c>
      <c r="I115" s="10">
        <v>0</v>
      </c>
      <c r="J115" s="10">
        <v>0</v>
      </c>
      <c r="K115" s="10">
        <f t="shared" si="7"/>
        <v>0</v>
      </c>
      <c r="L115" s="11">
        <f t="shared" si="8"/>
        <v>0</v>
      </c>
      <c r="M115" s="11">
        <f t="shared" si="9"/>
        <v>0</v>
      </c>
    </row>
    <row r="116" spans="1:13" x14ac:dyDescent="0.3">
      <c r="A116" s="8" t="s">
        <v>75</v>
      </c>
      <c r="B116" s="9" t="s">
        <v>377</v>
      </c>
      <c r="C116" s="9" t="s">
        <v>16</v>
      </c>
      <c r="D116" s="9" t="s">
        <v>42</v>
      </c>
      <c r="E116" s="9" t="s">
        <v>616</v>
      </c>
      <c r="F116" s="9" t="s">
        <v>617</v>
      </c>
      <c r="G116" s="9" t="s">
        <v>618</v>
      </c>
      <c r="H116" s="10">
        <v>0</v>
      </c>
      <c r="I116" s="10">
        <v>1</v>
      </c>
      <c r="J116" s="10">
        <v>2</v>
      </c>
      <c r="K116" s="10">
        <f t="shared" si="7"/>
        <v>2.48</v>
      </c>
      <c r="L116" s="11">
        <f t="shared" si="8"/>
        <v>2.48</v>
      </c>
      <c r="M116" s="11">
        <f t="shared" si="9"/>
        <v>0</v>
      </c>
    </row>
    <row r="117" spans="1:13" x14ac:dyDescent="0.3">
      <c r="A117" s="8" t="s">
        <v>92</v>
      </c>
      <c r="B117" s="9" t="s">
        <v>394</v>
      </c>
      <c r="C117" s="9" t="s">
        <v>16</v>
      </c>
      <c r="D117" s="9" t="s">
        <v>34</v>
      </c>
      <c r="E117" s="9" t="s">
        <v>616</v>
      </c>
      <c r="F117" s="9" t="s">
        <v>617</v>
      </c>
      <c r="G117" s="9" t="s">
        <v>621</v>
      </c>
      <c r="H117" s="10">
        <v>1</v>
      </c>
      <c r="I117" s="10">
        <v>1</v>
      </c>
      <c r="J117" s="10">
        <v>0</v>
      </c>
      <c r="K117" s="10">
        <f t="shared" si="7"/>
        <v>0</v>
      </c>
      <c r="L117" s="11">
        <f t="shared" si="8"/>
        <v>0</v>
      </c>
      <c r="M117" s="11">
        <f t="shared" si="9"/>
        <v>-1</v>
      </c>
    </row>
    <row r="118" spans="1:13" x14ac:dyDescent="0.3">
      <c r="A118" s="8" t="s">
        <v>114</v>
      </c>
      <c r="B118" s="9" t="s">
        <v>416</v>
      </c>
      <c r="C118" s="9" t="s">
        <v>16</v>
      </c>
      <c r="D118" s="9" t="s">
        <v>38</v>
      </c>
      <c r="E118" s="9" t="s">
        <v>616</v>
      </c>
      <c r="F118" s="9" t="s">
        <v>617</v>
      </c>
      <c r="G118" s="9" t="s">
        <v>621</v>
      </c>
      <c r="H118" s="10">
        <v>0</v>
      </c>
      <c r="I118" s="10">
        <v>1</v>
      </c>
      <c r="J118" s="10">
        <v>0</v>
      </c>
      <c r="K118" s="10">
        <f t="shared" si="7"/>
        <v>0</v>
      </c>
      <c r="L118" s="11">
        <f t="shared" si="8"/>
        <v>0</v>
      </c>
      <c r="M118" s="11">
        <f t="shared" si="9"/>
        <v>0</v>
      </c>
    </row>
    <row r="119" spans="1:13" x14ac:dyDescent="0.3">
      <c r="A119" s="8" t="s">
        <v>109</v>
      </c>
      <c r="B119" s="9" t="s">
        <v>411</v>
      </c>
      <c r="C119" s="9" t="s">
        <v>16</v>
      </c>
      <c r="D119" s="9" t="s">
        <v>38</v>
      </c>
      <c r="E119" s="9" t="s">
        <v>616</v>
      </c>
      <c r="F119" s="9" t="s">
        <v>617</v>
      </c>
      <c r="G119" s="9" t="s">
        <v>621</v>
      </c>
      <c r="H119" s="10">
        <v>0</v>
      </c>
      <c r="I119" s="10">
        <v>1</v>
      </c>
      <c r="J119" s="10">
        <v>0</v>
      </c>
      <c r="K119" s="10">
        <f t="shared" si="7"/>
        <v>0</v>
      </c>
      <c r="L119" s="11">
        <f t="shared" si="8"/>
        <v>0</v>
      </c>
      <c r="M119" s="11">
        <f t="shared" si="9"/>
        <v>0</v>
      </c>
    </row>
    <row r="120" spans="1:13" x14ac:dyDescent="0.3">
      <c r="A120" s="8" t="s">
        <v>85</v>
      </c>
      <c r="B120" s="9" t="s">
        <v>387</v>
      </c>
      <c r="C120" s="9" t="s">
        <v>16</v>
      </c>
      <c r="D120" s="9" t="s">
        <v>34</v>
      </c>
      <c r="E120" s="9" t="s">
        <v>616</v>
      </c>
      <c r="F120" s="9" t="s">
        <v>617</v>
      </c>
      <c r="G120" s="9" t="s">
        <v>621</v>
      </c>
      <c r="H120" s="10">
        <v>3</v>
      </c>
      <c r="I120" s="10">
        <v>4</v>
      </c>
      <c r="J120" s="10">
        <v>0</v>
      </c>
      <c r="K120" s="10">
        <f t="shared" si="7"/>
        <v>0</v>
      </c>
      <c r="L120" s="11">
        <f t="shared" si="8"/>
        <v>0</v>
      </c>
      <c r="M120" s="11">
        <f t="shared" si="9"/>
        <v>-1</v>
      </c>
    </row>
    <row r="121" spans="1:13" x14ac:dyDescent="0.3">
      <c r="A121" s="8" t="s">
        <v>107</v>
      </c>
      <c r="B121" s="9" t="s">
        <v>409</v>
      </c>
      <c r="C121" s="9" t="s">
        <v>16</v>
      </c>
      <c r="D121" s="9" t="s">
        <v>34</v>
      </c>
      <c r="E121" s="9" t="s">
        <v>616</v>
      </c>
      <c r="F121" s="9" t="s">
        <v>617</v>
      </c>
      <c r="G121" s="9" t="s">
        <v>621</v>
      </c>
      <c r="H121" s="10">
        <v>6</v>
      </c>
      <c r="I121" s="10">
        <v>6</v>
      </c>
      <c r="J121" s="10">
        <v>2</v>
      </c>
      <c r="K121" s="10">
        <f t="shared" si="7"/>
        <v>2.48</v>
      </c>
      <c r="L121" s="11">
        <f t="shared" si="8"/>
        <v>0.41333333333333333</v>
      </c>
      <c r="M121" s="11">
        <f t="shared" si="9"/>
        <v>-0.58666666666666667</v>
      </c>
    </row>
    <row r="122" spans="1:13" x14ac:dyDescent="0.3">
      <c r="A122" s="8" t="s">
        <v>160</v>
      </c>
      <c r="B122" s="9" t="s">
        <v>450</v>
      </c>
      <c r="C122" s="9" t="s">
        <v>16</v>
      </c>
      <c r="D122" s="9" t="s">
        <v>40</v>
      </c>
      <c r="E122" s="9" t="s">
        <v>616</v>
      </c>
      <c r="F122" s="9" t="s">
        <v>617</v>
      </c>
      <c r="G122" s="9" t="s">
        <v>623</v>
      </c>
      <c r="H122" s="10">
        <v>0</v>
      </c>
      <c r="I122" s="10">
        <v>0</v>
      </c>
      <c r="J122" s="10">
        <v>3</v>
      </c>
      <c r="K122" s="10">
        <f t="shared" si="7"/>
        <v>3.7199999999999998</v>
      </c>
      <c r="L122" s="11">
        <f t="shared" si="8"/>
        <v>0</v>
      </c>
      <c r="M122" s="11">
        <f t="shared" si="9"/>
        <v>0</v>
      </c>
    </row>
    <row r="123" spans="1:13" x14ac:dyDescent="0.3">
      <c r="A123" s="8" t="s">
        <v>87</v>
      </c>
      <c r="B123" s="9" t="s">
        <v>389</v>
      </c>
      <c r="C123" s="9" t="s">
        <v>14</v>
      </c>
      <c r="D123" s="9" t="s">
        <v>32</v>
      </c>
      <c r="E123" s="9" t="s">
        <v>616</v>
      </c>
      <c r="F123" s="9" t="s">
        <v>617</v>
      </c>
      <c r="G123" s="9" t="s">
        <v>619</v>
      </c>
      <c r="H123" s="10">
        <v>2</v>
      </c>
      <c r="I123" s="10">
        <v>2</v>
      </c>
      <c r="J123" s="10">
        <v>1</v>
      </c>
      <c r="K123" s="10">
        <f t="shared" si="7"/>
        <v>1.24</v>
      </c>
      <c r="L123" s="11">
        <f t="shared" si="8"/>
        <v>0.62</v>
      </c>
      <c r="M123" s="11">
        <f t="shared" si="9"/>
        <v>-0.38</v>
      </c>
    </row>
    <row r="124" spans="1:13" x14ac:dyDescent="0.3">
      <c r="A124" s="8" t="s">
        <v>68</v>
      </c>
      <c r="B124" s="9" t="s">
        <v>370</v>
      </c>
      <c r="C124" s="9" t="s">
        <v>16</v>
      </c>
      <c r="D124" s="9" t="s">
        <v>38</v>
      </c>
      <c r="E124" s="9" t="s">
        <v>616</v>
      </c>
      <c r="F124" s="9" t="s">
        <v>617</v>
      </c>
      <c r="G124" s="9" t="s">
        <v>622</v>
      </c>
      <c r="H124" s="10">
        <v>0</v>
      </c>
      <c r="I124" s="10">
        <v>0</v>
      </c>
      <c r="J124" s="10">
        <v>2</v>
      </c>
      <c r="K124" s="10">
        <f t="shared" si="7"/>
        <v>2.48</v>
      </c>
      <c r="L124" s="11">
        <f t="shared" si="8"/>
        <v>0</v>
      </c>
      <c r="M124" s="11">
        <f t="shared" si="9"/>
        <v>0</v>
      </c>
    </row>
    <row r="125" spans="1:13" x14ac:dyDescent="0.3">
      <c r="A125" s="8" t="s">
        <v>169</v>
      </c>
      <c r="B125" s="9" t="s">
        <v>459</v>
      </c>
      <c r="C125" s="9" t="s">
        <v>120</v>
      </c>
      <c r="D125" s="9" t="s">
        <v>129</v>
      </c>
      <c r="E125" s="9" t="s">
        <v>616</v>
      </c>
      <c r="F125" s="9" t="s">
        <v>617</v>
      </c>
      <c r="G125" s="9" t="s">
        <v>621</v>
      </c>
      <c r="H125" s="10">
        <v>1</v>
      </c>
      <c r="I125" s="10">
        <v>0</v>
      </c>
      <c r="J125" s="10">
        <v>0</v>
      </c>
      <c r="K125" s="10">
        <f t="shared" si="7"/>
        <v>0</v>
      </c>
      <c r="L125" s="11">
        <f t="shared" si="8"/>
        <v>0</v>
      </c>
      <c r="M125" s="11">
        <f t="shared" si="9"/>
        <v>-1</v>
      </c>
    </row>
    <row r="126" spans="1:13" x14ac:dyDescent="0.3">
      <c r="A126" s="8" t="s">
        <v>74</v>
      </c>
      <c r="B126" s="9" t="s">
        <v>376</v>
      </c>
      <c r="C126" s="9" t="s">
        <v>16</v>
      </c>
      <c r="D126" s="9" t="s">
        <v>34</v>
      </c>
      <c r="E126" s="9" t="s">
        <v>616</v>
      </c>
      <c r="F126" s="9" t="s">
        <v>617</v>
      </c>
      <c r="G126" s="9" t="s">
        <v>621</v>
      </c>
      <c r="H126" s="10">
        <v>0</v>
      </c>
      <c r="I126" s="10">
        <v>2</v>
      </c>
      <c r="J126" s="10">
        <v>1</v>
      </c>
      <c r="K126" s="10">
        <f t="shared" si="7"/>
        <v>1.24</v>
      </c>
      <c r="L126" s="11">
        <f t="shared" si="8"/>
        <v>0.62</v>
      </c>
      <c r="M126" s="11">
        <f t="shared" si="9"/>
        <v>0</v>
      </c>
    </row>
    <row r="127" spans="1:13" x14ac:dyDescent="0.3">
      <c r="A127" s="8" t="s">
        <v>162</v>
      </c>
      <c r="B127" s="9" t="s">
        <v>452</v>
      </c>
      <c r="C127" s="9" t="s">
        <v>16</v>
      </c>
      <c r="D127" s="9" t="s">
        <v>40</v>
      </c>
      <c r="E127" s="9" t="s">
        <v>616</v>
      </c>
      <c r="F127" s="9" t="s">
        <v>617</v>
      </c>
      <c r="G127" s="9" t="s">
        <v>623</v>
      </c>
      <c r="H127" s="10">
        <v>0</v>
      </c>
      <c r="I127" s="10">
        <v>1</v>
      </c>
      <c r="J127" s="10">
        <v>0</v>
      </c>
      <c r="K127" s="10">
        <f t="shared" si="7"/>
        <v>0</v>
      </c>
      <c r="L127" s="11">
        <f t="shared" si="8"/>
        <v>0</v>
      </c>
      <c r="M127" s="11">
        <f t="shared" si="9"/>
        <v>0</v>
      </c>
    </row>
    <row r="128" spans="1:13" x14ac:dyDescent="0.3">
      <c r="A128" s="8" t="s">
        <v>66</v>
      </c>
      <c r="B128" s="9" t="s">
        <v>368</v>
      </c>
      <c r="C128" s="9" t="s">
        <v>14</v>
      </c>
      <c r="D128" s="9" t="s">
        <v>28</v>
      </c>
      <c r="E128" s="9" t="s">
        <v>616</v>
      </c>
      <c r="F128" s="9" t="s">
        <v>617</v>
      </c>
      <c r="G128" s="9" t="s">
        <v>620</v>
      </c>
      <c r="H128" s="10">
        <v>0</v>
      </c>
      <c r="I128" s="10">
        <v>1</v>
      </c>
      <c r="J128" s="10">
        <v>0</v>
      </c>
      <c r="K128" s="10">
        <f t="shared" si="7"/>
        <v>0</v>
      </c>
      <c r="L128" s="11">
        <f t="shared" si="8"/>
        <v>0</v>
      </c>
      <c r="M128" s="11">
        <f t="shared" si="9"/>
        <v>0</v>
      </c>
    </row>
    <row r="129" spans="1:13" x14ac:dyDescent="0.3">
      <c r="A129" s="8" t="s">
        <v>112</v>
      </c>
      <c r="B129" s="9" t="s">
        <v>414</v>
      </c>
      <c r="C129" s="9" t="s">
        <v>14</v>
      </c>
      <c r="D129" s="9" t="s">
        <v>32</v>
      </c>
      <c r="E129" s="9" t="s">
        <v>616</v>
      </c>
      <c r="F129" s="9" t="s">
        <v>617</v>
      </c>
      <c r="G129" s="9" t="s">
        <v>619</v>
      </c>
      <c r="H129" s="10">
        <v>0</v>
      </c>
      <c r="I129" s="10">
        <v>0</v>
      </c>
      <c r="J129" s="10">
        <v>0</v>
      </c>
      <c r="K129" s="10">
        <f t="shared" si="7"/>
        <v>0</v>
      </c>
      <c r="L129" s="11">
        <f t="shared" si="8"/>
        <v>0</v>
      </c>
      <c r="M129" s="11">
        <f t="shared" si="9"/>
        <v>0</v>
      </c>
    </row>
    <row r="130" spans="1:13" x14ac:dyDescent="0.3">
      <c r="A130" s="8" t="s">
        <v>105</v>
      </c>
      <c r="B130" s="9" t="s">
        <v>407</v>
      </c>
      <c r="C130" s="9" t="s">
        <v>14</v>
      </c>
      <c r="D130" s="9" t="s">
        <v>32</v>
      </c>
      <c r="E130" s="9" t="s">
        <v>616</v>
      </c>
      <c r="F130" s="9" t="s">
        <v>617</v>
      </c>
      <c r="G130" s="9" t="s">
        <v>619</v>
      </c>
      <c r="H130" s="10">
        <v>1</v>
      </c>
      <c r="I130" s="10">
        <v>1</v>
      </c>
      <c r="J130" s="10">
        <v>0</v>
      </c>
      <c r="K130" s="10">
        <f t="shared" si="7"/>
        <v>0</v>
      </c>
      <c r="L130" s="11">
        <f t="shared" si="8"/>
        <v>0</v>
      </c>
      <c r="M130" s="11">
        <f t="shared" si="9"/>
        <v>-1</v>
      </c>
    </row>
    <row r="131" spans="1:13" x14ac:dyDescent="0.3">
      <c r="A131" s="8" t="s">
        <v>103</v>
      </c>
      <c r="B131" s="9" t="s">
        <v>405</v>
      </c>
      <c r="C131" s="9" t="s">
        <v>14</v>
      </c>
      <c r="D131" s="9" t="s">
        <v>26</v>
      </c>
      <c r="E131" s="9" t="s">
        <v>616</v>
      </c>
      <c r="F131" s="9" t="s">
        <v>617</v>
      </c>
      <c r="G131" s="9" t="s">
        <v>619</v>
      </c>
      <c r="H131" s="10">
        <v>4</v>
      </c>
      <c r="I131" s="10">
        <v>4</v>
      </c>
      <c r="J131" s="10">
        <v>0</v>
      </c>
      <c r="K131" s="10">
        <f t="shared" si="7"/>
        <v>0</v>
      </c>
      <c r="L131" s="11">
        <f t="shared" si="8"/>
        <v>0</v>
      </c>
      <c r="M131" s="11">
        <f t="shared" si="9"/>
        <v>-1</v>
      </c>
    </row>
    <row r="132" spans="1:13" x14ac:dyDescent="0.3">
      <c r="A132" s="8" t="s">
        <v>33</v>
      </c>
      <c r="B132" s="9" t="s">
        <v>343</v>
      </c>
      <c r="C132" s="9" t="s">
        <v>16</v>
      </c>
      <c r="D132" s="9" t="s">
        <v>36</v>
      </c>
      <c r="E132" s="9" t="s">
        <v>616</v>
      </c>
      <c r="F132" s="9" t="s">
        <v>617</v>
      </c>
      <c r="G132" s="9" t="s">
        <v>622</v>
      </c>
      <c r="H132" s="10">
        <v>0</v>
      </c>
      <c r="I132" s="10">
        <v>0</v>
      </c>
      <c r="J132" s="10">
        <v>1</v>
      </c>
      <c r="K132" s="10">
        <f t="shared" si="7"/>
        <v>1.24</v>
      </c>
      <c r="L132" s="11">
        <f t="shared" si="8"/>
        <v>0</v>
      </c>
      <c r="M132" s="11">
        <f t="shared" si="9"/>
        <v>0</v>
      </c>
    </row>
    <row r="133" spans="1:13" x14ac:dyDescent="0.3">
      <c r="A133" s="8" t="s">
        <v>94</v>
      </c>
      <c r="B133" s="9" t="s">
        <v>396</v>
      </c>
      <c r="C133" s="9" t="s">
        <v>14</v>
      </c>
      <c r="D133" s="9" t="s">
        <v>32</v>
      </c>
      <c r="E133" s="9" t="s">
        <v>616</v>
      </c>
      <c r="F133" s="9" t="s">
        <v>617</v>
      </c>
      <c r="G133" s="9" t="s">
        <v>619</v>
      </c>
      <c r="H133" s="10">
        <v>3</v>
      </c>
      <c r="I133" s="10">
        <v>5</v>
      </c>
      <c r="J133" s="10">
        <v>3</v>
      </c>
      <c r="K133" s="10">
        <f t="shared" ref="K133:K161" si="10">IFERROR((J133/$A$1*$B$1),0)</f>
        <v>3.7199999999999998</v>
      </c>
      <c r="L133" s="11">
        <f t="shared" ref="L133:L161" si="11">IFERROR((K133/I133),0)</f>
        <v>0.74399999999999999</v>
      </c>
      <c r="M133" s="11">
        <f t="shared" ref="M133:M161" si="12">IFERROR((K133-H133)/H133,0)</f>
        <v>0.23999999999999991</v>
      </c>
    </row>
    <row r="134" spans="1:13" x14ac:dyDescent="0.3">
      <c r="A134" s="8" t="s">
        <v>70</v>
      </c>
      <c r="B134" s="9" t="s">
        <v>372</v>
      </c>
      <c r="C134" s="9" t="s">
        <v>16</v>
      </c>
      <c r="D134" s="9" t="s">
        <v>42</v>
      </c>
      <c r="E134" s="9" t="s">
        <v>616</v>
      </c>
      <c r="F134" s="9" t="s">
        <v>617</v>
      </c>
      <c r="G134" s="9" t="s">
        <v>618</v>
      </c>
      <c r="H134" s="10">
        <v>3</v>
      </c>
      <c r="I134" s="10">
        <v>4</v>
      </c>
      <c r="J134" s="10">
        <v>0</v>
      </c>
      <c r="K134" s="10">
        <f t="shared" si="10"/>
        <v>0</v>
      </c>
      <c r="L134" s="11">
        <f t="shared" si="11"/>
        <v>0</v>
      </c>
      <c r="M134" s="11">
        <f t="shared" si="12"/>
        <v>-1</v>
      </c>
    </row>
    <row r="135" spans="1:13" x14ac:dyDescent="0.3">
      <c r="A135" s="8" t="s">
        <v>100</v>
      </c>
      <c r="B135" s="9" t="s">
        <v>402</v>
      </c>
      <c r="C135" s="9" t="s">
        <v>16</v>
      </c>
      <c r="D135" s="9" t="s">
        <v>44</v>
      </c>
      <c r="E135" s="9" t="s">
        <v>616</v>
      </c>
      <c r="F135" s="9" t="s">
        <v>617</v>
      </c>
      <c r="G135" s="9" t="s">
        <v>622</v>
      </c>
      <c r="H135" s="10">
        <v>0</v>
      </c>
      <c r="I135" s="10">
        <v>0</v>
      </c>
      <c r="J135" s="10">
        <v>0</v>
      </c>
      <c r="K135" s="10">
        <f t="shared" si="10"/>
        <v>0</v>
      </c>
      <c r="L135" s="11">
        <f t="shared" si="11"/>
        <v>0</v>
      </c>
      <c r="M135" s="11">
        <f t="shared" si="12"/>
        <v>0</v>
      </c>
    </row>
    <row r="136" spans="1:13" x14ac:dyDescent="0.3">
      <c r="A136" s="8" t="s">
        <v>110</v>
      </c>
      <c r="B136" s="9" t="s">
        <v>412</v>
      </c>
      <c r="C136" s="9" t="s">
        <v>14</v>
      </c>
      <c r="D136" s="9" t="s">
        <v>32</v>
      </c>
      <c r="E136" s="9" t="s">
        <v>616</v>
      </c>
      <c r="F136" s="9" t="s">
        <v>617</v>
      </c>
      <c r="G136" s="9" t="s">
        <v>619</v>
      </c>
      <c r="H136" s="10">
        <v>0</v>
      </c>
      <c r="I136" s="10">
        <v>0</v>
      </c>
      <c r="J136" s="10">
        <v>0</v>
      </c>
      <c r="K136" s="10">
        <f t="shared" si="10"/>
        <v>0</v>
      </c>
      <c r="L136" s="11">
        <f t="shared" si="11"/>
        <v>0</v>
      </c>
      <c r="M136" s="11">
        <f t="shared" si="12"/>
        <v>0</v>
      </c>
    </row>
    <row r="137" spans="1:13" x14ac:dyDescent="0.3">
      <c r="A137" s="8" t="s">
        <v>113</v>
      </c>
      <c r="B137" s="9" t="s">
        <v>415</v>
      </c>
      <c r="C137" s="9" t="s">
        <v>14</v>
      </c>
      <c r="D137" s="9" t="s">
        <v>24</v>
      </c>
      <c r="E137" s="9" t="s">
        <v>616</v>
      </c>
      <c r="F137" s="9" t="s">
        <v>617</v>
      </c>
      <c r="G137" s="9" t="s">
        <v>619</v>
      </c>
      <c r="H137" s="10">
        <v>0</v>
      </c>
      <c r="I137" s="10">
        <v>0</v>
      </c>
      <c r="J137" s="10">
        <v>2</v>
      </c>
      <c r="K137" s="10">
        <f t="shared" si="10"/>
        <v>2.48</v>
      </c>
      <c r="L137" s="11">
        <f t="shared" si="11"/>
        <v>0</v>
      </c>
      <c r="M137" s="11">
        <f t="shared" si="12"/>
        <v>0</v>
      </c>
    </row>
    <row r="138" spans="1:13" x14ac:dyDescent="0.3">
      <c r="A138" s="8" t="s">
        <v>86</v>
      </c>
      <c r="B138" s="9" t="s">
        <v>388</v>
      </c>
      <c r="C138" s="9" t="s">
        <v>16</v>
      </c>
      <c r="D138" s="9" t="s">
        <v>36</v>
      </c>
      <c r="E138" s="9" t="s">
        <v>616</v>
      </c>
      <c r="F138" s="9" t="s">
        <v>617</v>
      </c>
      <c r="G138" s="9" t="s">
        <v>622</v>
      </c>
      <c r="H138" s="10">
        <v>1</v>
      </c>
      <c r="I138" s="10">
        <v>1</v>
      </c>
      <c r="J138" s="10">
        <v>0</v>
      </c>
      <c r="K138" s="10">
        <f t="shared" si="10"/>
        <v>0</v>
      </c>
      <c r="L138" s="11">
        <f t="shared" si="11"/>
        <v>0</v>
      </c>
      <c r="M138" s="11">
        <f t="shared" si="12"/>
        <v>-1</v>
      </c>
    </row>
    <row r="139" spans="1:13" x14ac:dyDescent="0.3">
      <c r="A139" s="8" t="s">
        <v>98</v>
      </c>
      <c r="B139" s="9" t="s">
        <v>400</v>
      </c>
      <c r="C139" s="9" t="s">
        <v>16</v>
      </c>
      <c r="D139" s="9" t="s">
        <v>22</v>
      </c>
      <c r="E139" s="9" t="s">
        <v>616</v>
      </c>
      <c r="F139" s="9" t="s">
        <v>617</v>
      </c>
      <c r="G139" s="9" t="s">
        <v>618</v>
      </c>
      <c r="H139" s="10">
        <v>2</v>
      </c>
      <c r="I139" s="10">
        <v>2</v>
      </c>
      <c r="J139" s="10">
        <v>2</v>
      </c>
      <c r="K139" s="10">
        <f t="shared" si="10"/>
        <v>2.48</v>
      </c>
      <c r="L139" s="11">
        <f t="shared" si="11"/>
        <v>1.24</v>
      </c>
      <c r="M139" s="11">
        <f t="shared" si="12"/>
        <v>0.24</v>
      </c>
    </row>
    <row r="140" spans="1:13" x14ac:dyDescent="0.3">
      <c r="A140" s="8" t="s">
        <v>163</v>
      </c>
      <c r="B140" s="9" t="s">
        <v>453</v>
      </c>
      <c r="C140" s="9" t="s">
        <v>14</v>
      </c>
      <c r="D140" s="9" t="s">
        <v>26</v>
      </c>
      <c r="E140" s="9" t="s">
        <v>616</v>
      </c>
      <c r="F140" s="9" t="s">
        <v>617</v>
      </c>
      <c r="G140" s="9" t="s">
        <v>619</v>
      </c>
      <c r="H140" s="10">
        <v>1</v>
      </c>
      <c r="I140" s="10">
        <v>2</v>
      </c>
      <c r="J140" s="10">
        <v>2</v>
      </c>
      <c r="K140" s="10">
        <f t="shared" si="10"/>
        <v>2.48</v>
      </c>
      <c r="L140" s="11">
        <f t="shared" si="11"/>
        <v>1.24</v>
      </c>
      <c r="M140" s="11">
        <f t="shared" si="12"/>
        <v>1.48</v>
      </c>
    </row>
    <row r="141" spans="1:13" x14ac:dyDescent="0.3">
      <c r="A141" s="8" t="s">
        <v>108</v>
      </c>
      <c r="B141" s="9" t="s">
        <v>410</v>
      </c>
      <c r="C141" s="9" t="s">
        <v>14</v>
      </c>
      <c r="D141" s="9" t="s">
        <v>24</v>
      </c>
      <c r="E141" s="9" t="s">
        <v>616</v>
      </c>
      <c r="F141" s="9" t="s">
        <v>617</v>
      </c>
      <c r="G141" s="9" t="s">
        <v>619</v>
      </c>
      <c r="H141" s="10">
        <v>0</v>
      </c>
      <c r="I141" s="10">
        <v>0</v>
      </c>
      <c r="J141" s="10">
        <v>0</v>
      </c>
      <c r="K141" s="10">
        <f t="shared" si="10"/>
        <v>0</v>
      </c>
      <c r="L141" s="11">
        <f t="shared" si="11"/>
        <v>0</v>
      </c>
      <c r="M141" s="11">
        <f t="shared" si="12"/>
        <v>0</v>
      </c>
    </row>
    <row r="142" spans="1:13" x14ac:dyDescent="0.3">
      <c r="A142" s="8" t="s">
        <v>164</v>
      </c>
      <c r="B142" s="9" t="s">
        <v>454</v>
      </c>
      <c r="C142" s="9" t="s">
        <v>16</v>
      </c>
      <c r="D142" s="9" t="s">
        <v>34</v>
      </c>
      <c r="E142" s="9" t="s">
        <v>616</v>
      </c>
      <c r="F142" s="9" t="s">
        <v>617</v>
      </c>
      <c r="G142" s="9" t="s">
        <v>621</v>
      </c>
      <c r="H142" s="10">
        <v>1</v>
      </c>
      <c r="I142" s="10">
        <v>1</v>
      </c>
      <c r="J142" s="10">
        <v>0</v>
      </c>
      <c r="K142" s="10">
        <f t="shared" si="10"/>
        <v>0</v>
      </c>
      <c r="L142" s="11">
        <f t="shared" si="11"/>
        <v>0</v>
      </c>
      <c r="M142" s="11">
        <f t="shared" si="12"/>
        <v>-1</v>
      </c>
    </row>
    <row r="143" spans="1:13" x14ac:dyDescent="0.3">
      <c r="A143" s="8" t="s">
        <v>115</v>
      </c>
      <c r="B143" s="9" t="s">
        <v>417</v>
      </c>
      <c r="C143" s="9" t="s">
        <v>16</v>
      </c>
      <c r="D143" s="9" t="s">
        <v>34</v>
      </c>
      <c r="E143" s="9" t="s">
        <v>616</v>
      </c>
      <c r="F143" s="9" t="s">
        <v>617</v>
      </c>
      <c r="G143" s="9" t="s">
        <v>621</v>
      </c>
      <c r="H143" s="10">
        <v>2</v>
      </c>
      <c r="I143" s="10">
        <v>2</v>
      </c>
      <c r="J143" s="10">
        <v>1</v>
      </c>
      <c r="K143" s="10">
        <f t="shared" si="10"/>
        <v>1.24</v>
      </c>
      <c r="L143" s="11">
        <f t="shared" si="11"/>
        <v>0.62</v>
      </c>
      <c r="M143" s="11">
        <f t="shared" si="12"/>
        <v>-0.38</v>
      </c>
    </row>
    <row r="144" spans="1:13" x14ac:dyDescent="0.3">
      <c r="A144" s="8" t="s">
        <v>267</v>
      </c>
      <c r="B144" s="9" t="s">
        <v>556</v>
      </c>
      <c r="C144" s="9" t="s">
        <v>14</v>
      </c>
      <c r="D144" s="9" t="s">
        <v>28</v>
      </c>
      <c r="E144" s="9" t="s">
        <v>631</v>
      </c>
      <c r="F144" s="9" t="s">
        <v>617</v>
      </c>
      <c r="G144" s="9" t="s">
        <v>620</v>
      </c>
      <c r="H144" s="10">
        <v>0</v>
      </c>
      <c r="I144" s="10">
        <v>0</v>
      </c>
      <c r="J144" s="10">
        <v>0</v>
      </c>
      <c r="K144" s="10">
        <f t="shared" si="10"/>
        <v>0</v>
      </c>
      <c r="L144" s="11">
        <f t="shared" si="11"/>
        <v>0</v>
      </c>
      <c r="M144" s="11">
        <f t="shared" si="12"/>
        <v>0</v>
      </c>
    </row>
    <row r="145" spans="1:13" x14ac:dyDescent="0.3">
      <c r="A145" s="8" t="s">
        <v>166</v>
      </c>
      <c r="B145" s="9" t="s">
        <v>456</v>
      </c>
      <c r="C145" s="9" t="s">
        <v>16</v>
      </c>
      <c r="D145" s="9" t="s">
        <v>34</v>
      </c>
      <c r="E145" s="9" t="s">
        <v>616</v>
      </c>
      <c r="F145" s="9" t="s">
        <v>617</v>
      </c>
      <c r="G145" s="9" t="s">
        <v>621</v>
      </c>
      <c r="H145" s="10">
        <v>2</v>
      </c>
      <c r="I145" s="10">
        <v>2</v>
      </c>
      <c r="J145" s="10">
        <v>0</v>
      </c>
      <c r="K145" s="10">
        <f t="shared" si="10"/>
        <v>0</v>
      </c>
      <c r="L145" s="11">
        <f t="shared" si="11"/>
        <v>0</v>
      </c>
      <c r="M145" s="11">
        <f t="shared" si="12"/>
        <v>-1</v>
      </c>
    </row>
    <row r="146" spans="1:13" x14ac:dyDescent="0.3">
      <c r="A146" s="8" t="s">
        <v>56</v>
      </c>
      <c r="B146" s="9" t="s">
        <v>360</v>
      </c>
      <c r="C146" s="9" t="s">
        <v>16</v>
      </c>
      <c r="D146" s="9" t="s">
        <v>44</v>
      </c>
      <c r="E146" s="9" t="s">
        <v>616</v>
      </c>
      <c r="F146" s="9" t="s">
        <v>617</v>
      </c>
      <c r="G146" s="9" t="s">
        <v>622</v>
      </c>
      <c r="H146" s="10">
        <v>2</v>
      </c>
      <c r="I146" s="10">
        <v>4</v>
      </c>
      <c r="J146" s="10">
        <v>5</v>
      </c>
      <c r="K146" s="10">
        <f t="shared" si="10"/>
        <v>6.2</v>
      </c>
      <c r="L146" s="11">
        <f t="shared" si="11"/>
        <v>1.55</v>
      </c>
      <c r="M146" s="11">
        <f t="shared" si="12"/>
        <v>2.1</v>
      </c>
    </row>
    <row r="147" spans="1:13" x14ac:dyDescent="0.3">
      <c r="A147" s="8" t="s">
        <v>165</v>
      </c>
      <c r="B147" s="9" t="s">
        <v>455</v>
      </c>
      <c r="C147" s="9" t="s">
        <v>14</v>
      </c>
      <c r="D147" s="9" t="s">
        <v>28</v>
      </c>
      <c r="E147" s="9" t="s">
        <v>616</v>
      </c>
      <c r="F147" s="9" t="s">
        <v>617</v>
      </c>
      <c r="G147" s="9" t="s">
        <v>620</v>
      </c>
      <c r="H147" s="10">
        <v>0</v>
      </c>
      <c r="I147" s="10">
        <v>0</v>
      </c>
      <c r="J147" s="10">
        <v>2</v>
      </c>
      <c r="K147" s="10">
        <f t="shared" si="10"/>
        <v>2.48</v>
      </c>
      <c r="L147" s="11">
        <f t="shared" si="11"/>
        <v>0</v>
      </c>
      <c r="M147" s="11">
        <f t="shared" si="12"/>
        <v>0</v>
      </c>
    </row>
    <row r="148" spans="1:13" x14ac:dyDescent="0.3">
      <c r="A148" s="8" t="s">
        <v>23</v>
      </c>
      <c r="B148" s="9" t="s">
        <v>338</v>
      </c>
      <c r="C148" s="9" t="s">
        <v>14</v>
      </c>
      <c r="D148" s="9" t="s">
        <v>32</v>
      </c>
      <c r="E148" s="9" t="s">
        <v>616</v>
      </c>
      <c r="F148" s="9" t="s">
        <v>617</v>
      </c>
      <c r="G148" s="9" t="s">
        <v>619</v>
      </c>
      <c r="H148" s="10">
        <v>4</v>
      </c>
      <c r="I148" s="10">
        <v>5</v>
      </c>
      <c r="J148" s="10">
        <v>6</v>
      </c>
      <c r="K148" s="10">
        <f t="shared" si="10"/>
        <v>7.4399999999999995</v>
      </c>
      <c r="L148" s="11">
        <f t="shared" si="11"/>
        <v>1.488</v>
      </c>
      <c r="M148" s="11">
        <f t="shared" si="12"/>
        <v>0.85999999999999988</v>
      </c>
    </row>
    <row r="149" spans="1:13" x14ac:dyDescent="0.3">
      <c r="A149" s="8" t="s">
        <v>50</v>
      </c>
      <c r="B149" s="9" t="s">
        <v>354</v>
      </c>
      <c r="C149" s="9" t="s">
        <v>14</v>
      </c>
      <c r="D149" s="9" t="s">
        <v>30</v>
      </c>
      <c r="E149" s="9" t="s">
        <v>616</v>
      </c>
      <c r="F149" s="9" t="s">
        <v>617</v>
      </c>
      <c r="G149" s="9" t="s">
        <v>620</v>
      </c>
      <c r="H149" s="10">
        <v>4</v>
      </c>
      <c r="I149" s="10">
        <v>3</v>
      </c>
      <c r="J149" s="10">
        <v>0</v>
      </c>
      <c r="K149" s="10">
        <f t="shared" si="10"/>
        <v>0</v>
      </c>
      <c r="L149" s="11">
        <f t="shared" si="11"/>
        <v>0</v>
      </c>
      <c r="M149" s="11">
        <f t="shared" si="12"/>
        <v>-1</v>
      </c>
    </row>
    <row r="150" spans="1:13" x14ac:dyDescent="0.3">
      <c r="A150" s="8" t="s">
        <v>204</v>
      </c>
      <c r="B150" s="9" t="s">
        <v>494</v>
      </c>
      <c r="C150" s="9" t="s">
        <v>16</v>
      </c>
      <c r="D150" s="9" t="s">
        <v>38</v>
      </c>
      <c r="E150" s="9" t="s">
        <v>616</v>
      </c>
      <c r="F150" s="9" t="s">
        <v>617</v>
      </c>
      <c r="G150" s="9" t="s">
        <v>621</v>
      </c>
      <c r="H150" s="10">
        <v>2</v>
      </c>
      <c r="I150" s="10">
        <v>4</v>
      </c>
      <c r="J150" s="10">
        <v>1</v>
      </c>
      <c r="K150" s="10">
        <f t="shared" si="10"/>
        <v>1.24</v>
      </c>
      <c r="L150" s="11">
        <f t="shared" si="11"/>
        <v>0.31</v>
      </c>
      <c r="M150" s="11">
        <f t="shared" si="12"/>
        <v>-0.38</v>
      </c>
    </row>
    <row r="151" spans="1:13" x14ac:dyDescent="0.3">
      <c r="A151" s="8" t="s">
        <v>231</v>
      </c>
      <c r="B151" s="9" t="s">
        <v>521</v>
      </c>
      <c r="C151" s="9" t="s">
        <v>14</v>
      </c>
      <c r="D151" s="9" t="s">
        <v>24</v>
      </c>
      <c r="E151" s="9" t="s">
        <v>616</v>
      </c>
      <c r="F151" s="9" t="s">
        <v>617</v>
      </c>
      <c r="G151" s="9" t="s">
        <v>619</v>
      </c>
      <c r="H151" s="10">
        <v>4</v>
      </c>
      <c r="I151" s="10">
        <v>5</v>
      </c>
      <c r="J151" s="10">
        <v>3</v>
      </c>
      <c r="K151" s="10">
        <f t="shared" si="10"/>
        <v>3.7199999999999998</v>
      </c>
      <c r="L151" s="11">
        <f t="shared" si="11"/>
        <v>0.74399999999999999</v>
      </c>
      <c r="M151" s="11">
        <f t="shared" si="12"/>
        <v>-7.0000000000000062E-2</v>
      </c>
    </row>
    <row r="152" spans="1:13" x14ac:dyDescent="0.3">
      <c r="A152" s="8" t="s">
        <v>233</v>
      </c>
      <c r="B152" s="9" t="s">
        <v>523</v>
      </c>
      <c r="C152" s="9" t="s">
        <v>14</v>
      </c>
      <c r="D152" s="9" t="s">
        <v>30</v>
      </c>
      <c r="E152" s="9" t="s">
        <v>616</v>
      </c>
      <c r="F152" s="9" t="s">
        <v>617</v>
      </c>
      <c r="G152" s="9" t="s">
        <v>620</v>
      </c>
      <c r="H152" s="10">
        <v>0</v>
      </c>
      <c r="I152" s="10">
        <v>0</v>
      </c>
      <c r="J152" s="10">
        <v>0</v>
      </c>
      <c r="K152" s="10">
        <f t="shared" si="10"/>
        <v>0</v>
      </c>
      <c r="L152" s="11">
        <f t="shared" si="11"/>
        <v>0</v>
      </c>
      <c r="M152" s="11">
        <f t="shared" si="12"/>
        <v>0</v>
      </c>
    </row>
    <row r="153" spans="1:13" x14ac:dyDescent="0.3">
      <c r="A153" s="8" t="s">
        <v>275</v>
      </c>
      <c r="B153" s="9" t="s">
        <v>564</v>
      </c>
      <c r="C153" s="9" t="s">
        <v>16</v>
      </c>
      <c r="D153" s="9" t="s">
        <v>36</v>
      </c>
      <c r="E153" s="9" t="s">
        <v>631</v>
      </c>
      <c r="F153" s="9" t="s">
        <v>624</v>
      </c>
      <c r="G153" s="9" t="s">
        <v>622</v>
      </c>
      <c r="H153" s="10">
        <v>0</v>
      </c>
      <c r="I153" s="10">
        <v>0</v>
      </c>
      <c r="J153" s="10">
        <v>0</v>
      </c>
      <c r="K153" s="10">
        <f t="shared" si="10"/>
        <v>0</v>
      </c>
      <c r="L153" s="11">
        <f t="shared" si="11"/>
        <v>0</v>
      </c>
      <c r="M153" s="11">
        <f t="shared" si="12"/>
        <v>0</v>
      </c>
    </row>
    <row r="154" spans="1:13" x14ac:dyDescent="0.3">
      <c r="A154" s="8" t="s">
        <v>123</v>
      </c>
      <c r="B154" s="9" t="s">
        <v>421</v>
      </c>
      <c r="C154" s="9" t="s">
        <v>14</v>
      </c>
      <c r="D154" s="9" t="s">
        <v>30</v>
      </c>
      <c r="E154" s="9" t="s">
        <v>616</v>
      </c>
      <c r="F154" s="9" t="s">
        <v>617</v>
      </c>
      <c r="G154" s="9" t="s">
        <v>620</v>
      </c>
      <c r="H154" s="10">
        <v>5</v>
      </c>
      <c r="I154" s="10">
        <v>3</v>
      </c>
      <c r="J154" s="10">
        <v>2</v>
      </c>
      <c r="K154" s="10">
        <f t="shared" si="10"/>
        <v>2.48</v>
      </c>
      <c r="L154" s="11">
        <f t="shared" si="11"/>
        <v>0.82666666666666666</v>
      </c>
      <c r="M154" s="11">
        <f t="shared" si="12"/>
        <v>-0.504</v>
      </c>
    </row>
    <row r="155" spans="1:13" x14ac:dyDescent="0.3">
      <c r="A155" s="8" t="s">
        <v>124</v>
      </c>
      <c r="B155" s="9" t="s">
        <v>422</v>
      </c>
      <c r="C155" s="9" t="s">
        <v>16</v>
      </c>
      <c r="D155" s="9" t="s">
        <v>38</v>
      </c>
      <c r="E155" s="9" t="s">
        <v>616</v>
      </c>
      <c r="F155" s="9" t="s">
        <v>617</v>
      </c>
      <c r="G155" s="9" t="s">
        <v>621</v>
      </c>
      <c r="H155" s="10">
        <v>7</v>
      </c>
      <c r="I155" s="10">
        <v>6</v>
      </c>
      <c r="J155" s="10">
        <v>1</v>
      </c>
      <c r="K155" s="10">
        <f t="shared" si="10"/>
        <v>1.24</v>
      </c>
      <c r="L155" s="11">
        <f t="shared" si="11"/>
        <v>0.20666666666666667</v>
      </c>
      <c r="M155" s="11">
        <f t="shared" si="12"/>
        <v>-0.82285714285714284</v>
      </c>
    </row>
    <row r="156" spans="1:13" x14ac:dyDescent="0.3">
      <c r="A156" s="8" t="s">
        <v>269</v>
      </c>
      <c r="B156" s="9" t="s">
        <v>558</v>
      </c>
      <c r="C156" s="9" t="s">
        <v>16</v>
      </c>
      <c r="D156" s="9" t="s">
        <v>38</v>
      </c>
      <c r="E156" s="9" t="s">
        <v>631</v>
      </c>
      <c r="F156" s="9" t="s">
        <v>624</v>
      </c>
      <c r="G156" s="9" t="s">
        <v>621</v>
      </c>
      <c r="H156" s="10">
        <v>0</v>
      </c>
      <c r="I156" s="10">
        <v>0</v>
      </c>
      <c r="J156" s="10">
        <v>0</v>
      </c>
      <c r="K156" s="10">
        <f t="shared" si="10"/>
        <v>0</v>
      </c>
      <c r="L156" s="11">
        <f t="shared" si="11"/>
        <v>0</v>
      </c>
      <c r="M156" s="11">
        <f t="shared" si="12"/>
        <v>0</v>
      </c>
    </row>
    <row r="157" spans="1:13" x14ac:dyDescent="0.3">
      <c r="A157" s="8" t="s">
        <v>19</v>
      </c>
      <c r="B157" s="9" t="s">
        <v>335</v>
      </c>
      <c r="C157" s="9" t="s">
        <v>14</v>
      </c>
      <c r="D157" s="9" t="s">
        <v>26</v>
      </c>
      <c r="E157" s="9" t="s">
        <v>616</v>
      </c>
      <c r="F157" s="9" t="s">
        <v>617</v>
      </c>
      <c r="G157" s="9" t="s">
        <v>619</v>
      </c>
      <c r="H157" s="10">
        <v>2</v>
      </c>
      <c r="I157" s="10">
        <v>5</v>
      </c>
      <c r="J157" s="10">
        <v>8</v>
      </c>
      <c r="K157" s="10">
        <f t="shared" si="10"/>
        <v>9.92</v>
      </c>
      <c r="L157" s="11">
        <f t="shared" si="11"/>
        <v>1.984</v>
      </c>
      <c r="M157" s="11">
        <f t="shared" si="12"/>
        <v>3.96</v>
      </c>
    </row>
    <row r="158" spans="1:13" x14ac:dyDescent="0.3">
      <c r="A158" s="8" t="s">
        <v>268</v>
      </c>
      <c r="B158" s="9" t="s">
        <v>557</v>
      </c>
      <c r="C158" s="9" t="s">
        <v>14</v>
      </c>
      <c r="D158" s="9" t="s">
        <v>32</v>
      </c>
      <c r="E158" s="9" t="s">
        <v>631</v>
      </c>
      <c r="F158" s="9" t="s">
        <v>624</v>
      </c>
      <c r="G158" s="9" t="s">
        <v>619</v>
      </c>
      <c r="H158" s="10">
        <v>0</v>
      </c>
      <c r="I158" s="10">
        <v>0</v>
      </c>
      <c r="J158" s="10">
        <v>0</v>
      </c>
      <c r="K158" s="10">
        <f t="shared" si="10"/>
        <v>0</v>
      </c>
      <c r="L158" s="11">
        <f t="shared" si="11"/>
        <v>0</v>
      </c>
      <c r="M158" s="11">
        <f t="shared" si="12"/>
        <v>0</v>
      </c>
    </row>
    <row r="159" spans="1:13" x14ac:dyDescent="0.3">
      <c r="A159" s="8" t="s">
        <v>247</v>
      </c>
      <c r="B159" s="9" t="s">
        <v>536</v>
      </c>
      <c r="C159" s="9" t="s">
        <v>120</v>
      </c>
      <c r="D159" s="9" t="s">
        <v>137</v>
      </c>
      <c r="E159" s="9" t="s">
        <v>627</v>
      </c>
      <c r="F159" s="9" t="s">
        <v>617</v>
      </c>
      <c r="G159" s="9" t="s">
        <v>620</v>
      </c>
      <c r="H159" s="10">
        <v>8</v>
      </c>
      <c r="I159" s="10">
        <v>5</v>
      </c>
      <c r="J159" s="10">
        <v>12</v>
      </c>
      <c r="K159" s="10">
        <f t="shared" si="10"/>
        <v>14.879999999999999</v>
      </c>
      <c r="L159" s="11">
        <f t="shared" si="11"/>
        <v>2.976</v>
      </c>
      <c r="M159" s="11">
        <f t="shared" si="12"/>
        <v>0.85999999999999988</v>
      </c>
    </row>
    <row r="160" spans="1:13" x14ac:dyDescent="0.3">
      <c r="A160" s="8" t="s">
        <v>186</v>
      </c>
      <c r="B160" s="9" t="s">
        <v>476</v>
      </c>
      <c r="C160" s="9" t="s">
        <v>120</v>
      </c>
      <c r="D160" s="9" t="s">
        <v>137</v>
      </c>
      <c r="E160" s="9" t="s">
        <v>627</v>
      </c>
      <c r="F160" s="9" t="s">
        <v>617</v>
      </c>
      <c r="G160" s="9" t="s">
        <v>620</v>
      </c>
      <c r="H160" s="10">
        <v>22</v>
      </c>
      <c r="I160" s="10">
        <v>10</v>
      </c>
      <c r="J160" s="10">
        <v>28</v>
      </c>
      <c r="K160" s="10">
        <f t="shared" si="10"/>
        <v>34.720000000000006</v>
      </c>
      <c r="L160" s="11">
        <f t="shared" si="11"/>
        <v>3.4720000000000004</v>
      </c>
      <c r="M160" s="11">
        <f t="shared" si="12"/>
        <v>0.57818181818181846</v>
      </c>
    </row>
    <row r="161" spans="1:13" x14ac:dyDescent="0.3">
      <c r="A161" s="8" t="s">
        <v>187</v>
      </c>
      <c r="B161" s="9" t="s">
        <v>477</v>
      </c>
      <c r="C161" s="9" t="s">
        <v>120</v>
      </c>
      <c r="D161" s="9" t="s">
        <v>135</v>
      </c>
      <c r="E161" s="9" t="s">
        <v>627</v>
      </c>
      <c r="F161" s="9" t="s">
        <v>617</v>
      </c>
      <c r="G161" s="9" t="s">
        <v>618</v>
      </c>
      <c r="H161" s="10">
        <v>15</v>
      </c>
      <c r="I161" s="10">
        <v>5</v>
      </c>
      <c r="J161" s="10">
        <v>7</v>
      </c>
      <c r="K161" s="10">
        <f t="shared" si="10"/>
        <v>8.6800000000000015</v>
      </c>
      <c r="L161" s="11">
        <f t="shared" si="11"/>
        <v>1.7360000000000002</v>
      </c>
      <c r="M161" s="11">
        <f t="shared" si="12"/>
        <v>-0.42133333333333323</v>
      </c>
    </row>
    <row r="162" spans="1:13" x14ac:dyDescent="0.3">
      <c r="A162" s="8" t="s">
        <v>243</v>
      </c>
      <c r="B162" s="9" t="s">
        <v>533</v>
      </c>
      <c r="C162" s="9" t="s">
        <v>120</v>
      </c>
      <c r="D162" s="9" t="s">
        <v>137</v>
      </c>
      <c r="E162" s="9" t="s">
        <v>627</v>
      </c>
      <c r="F162" s="9" t="s">
        <v>617</v>
      </c>
      <c r="G162" s="9" t="s">
        <v>619</v>
      </c>
      <c r="H162" s="10">
        <v>15</v>
      </c>
      <c r="I162" s="10">
        <v>8</v>
      </c>
      <c r="J162" s="10">
        <v>18</v>
      </c>
      <c r="K162" s="10">
        <f>IFERROR((J162/$A$1*$B$1),0)</f>
        <v>22.32</v>
      </c>
      <c r="L162" s="11">
        <f>IFERROR((K162/I162),0)</f>
        <v>2.79</v>
      </c>
      <c r="M162" s="11">
        <f>IFERROR((K162-H162)/H162,0)</f>
        <v>0.48800000000000004</v>
      </c>
    </row>
    <row r="163" spans="1:13" x14ac:dyDescent="0.3">
      <c r="A163" s="8" t="s">
        <v>189</v>
      </c>
      <c r="B163" s="9" t="s">
        <v>479</v>
      </c>
      <c r="C163" s="9" t="s">
        <v>120</v>
      </c>
      <c r="D163" s="9" t="s">
        <v>135</v>
      </c>
      <c r="E163" s="9" t="s">
        <v>627</v>
      </c>
      <c r="F163" s="9" t="s">
        <v>617</v>
      </c>
      <c r="G163" s="9" t="s">
        <v>621</v>
      </c>
      <c r="H163" s="10">
        <v>43</v>
      </c>
      <c r="I163" s="10">
        <v>11</v>
      </c>
      <c r="J163" s="10">
        <v>24</v>
      </c>
      <c r="K163" s="10">
        <f>IFERROR((J163/$A$1*$B$1),0)</f>
        <v>29.759999999999998</v>
      </c>
      <c r="L163" s="11">
        <f>IFERROR((K163/I163),0)</f>
        <v>2.7054545454545451</v>
      </c>
      <c r="M163" s="11">
        <f>IFERROR((K163-H163)/H163,0)</f>
        <v>-0.3079069767441861</v>
      </c>
    </row>
    <row r="164" spans="1:13" x14ac:dyDescent="0.3">
      <c r="A164" s="8" t="s">
        <v>185</v>
      </c>
      <c r="B164" s="9" t="s">
        <v>475</v>
      </c>
      <c r="C164" s="9" t="s">
        <v>120</v>
      </c>
      <c r="D164" s="9" t="s">
        <v>137</v>
      </c>
      <c r="E164" s="9" t="s">
        <v>627</v>
      </c>
      <c r="F164" s="9" t="s">
        <v>617</v>
      </c>
      <c r="G164" s="9" t="s">
        <v>619</v>
      </c>
      <c r="H164" s="10">
        <v>26</v>
      </c>
      <c r="I164" s="10">
        <v>15</v>
      </c>
      <c r="J164" s="10">
        <v>42</v>
      </c>
      <c r="K164" s="10">
        <f>IFERROR((J164/$A$1*$B$1),0)</f>
        <v>52.08</v>
      </c>
      <c r="L164" s="11">
        <f>IFERROR((K164/I164),0)</f>
        <v>3.472</v>
      </c>
      <c r="M164" s="11">
        <f>IFERROR((K164-H164)/H164,0)</f>
        <v>1.003076923076923</v>
      </c>
    </row>
    <row r="165" spans="1:13" x14ac:dyDescent="0.3">
      <c r="A165" s="8" t="s">
        <v>191</v>
      </c>
      <c r="B165" s="9" t="s">
        <v>481</v>
      </c>
      <c r="C165" s="9" t="s">
        <v>120</v>
      </c>
      <c r="D165" s="9" t="s">
        <v>137</v>
      </c>
      <c r="E165" s="9" t="s">
        <v>627</v>
      </c>
      <c r="F165" s="9" t="s">
        <v>617</v>
      </c>
      <c r="G165" s="9" t="s">
        <v>620</v>
      </c>
      <c r="H165" s="10">
        <v>20</v>
      </c>
      <c r="I165" s="10">
        <v>5</v>
      </c>
      <c r="J165" s="10">
        <v>13</v>
      </c>
      <c r="K165" s="10">
        <f>IFERROR((J165/$A$1*$B$1),0)</f>
        <v>16.12</v>
      </c>
      <c r="L165" s="11">
        <f>IFERROR((K165/I165),0)</f>
        <v>3.2240000000000002</v>
      </c>
      <c r="M165" s="11">
        <f>IFERROR((K165-H165)/H165,0)</f>
        <v>-0.19399999999999995</v>
      </c>
    </row>
    <row r="166" spans="1:13" x14ac:dyDescent="0.3">
      <c r="A166" s="8" t="s">
        <v>192</v>
      </c>
      <c r="B166" s="9" t="s">
        <v>482</v>
      </c>
      <c r="C166" s="9" t="s">
        <v>120</v>
      </c>
      <c r="D166" s="9" t="s">
        <v>137</v>
      </c>
      <c r="E166" s="9" t="s">
        <v>627</v>
      </c>
      <c r="F166" s="9" t="s">
        <v>617</v>
      </c>
      <c r="G166" s="9" t="s">
        <v>620</v>
      </c>
      <c r="H166" s="10">
        <v>16</v>
      </c>
      <c r="I166" s="10">
        <v>6</v>
      </c>
      <c r="J166" s="10">
        <v>16</v>
      </c>
      <c r="K166" s="10">
        <f t="shared" ref="K166:K184" si="13">IFERROR((J166/$A$1*$B$1),0)</f>
        <v>19.84</v>
      </c>
      <c r="L166" s="11">
        <f t="shared" ref="L166:L184" si="14">IFERROR((K166/I166),0)</f>
        <v>3.3066666666666666</v>
      </c>
      <c r="M166" s="11">
        <f t="shared" ref="M166:M184" si="15">IFERROR((K166-H166)/H166,0)</f>
        <v>0.24</v>
      </c>
    </row>
    <row r="167" spans="1:13" x14ac:dyDescent="0.3">
      <c r="A167" s="8" t="s">
        <v>193</v>
      </c>
      <c r="B167" s="9" t="s">
        <v>483</v>
      </c>
      <c r="C167" s="9" t="s">
        <v>120</v>
      </c>
      <c r="D167" s="9" t="s">
        <v>135</v>
      </c>
      <c r="E167" s="9" t="s">
        <v>627</v>
      </c>
      <c r="F167" s="9" t="s">
        <v>617</v>
      </c>
      <c r="G167" s="9" t="s">
        <v>621</v>
      </c>
      <c r="H167" s="10">
        <v>69</v>
      </c>
      <c r="I167" s="10">
        <v>22</v>
      </c>
      <c r="J167" s="10">
        <v>46</v>
      </c>
      <c r="K167" s="10">
        <f t="shared" si="13"/>
        <v>57.04</v>
      </c>
      <c r="L167" s="11">
        <f t="shared" si="14"/>
        <v>2.5927272727272728</v>
      </c>
      <c r="M167" s="11">
        <f t="shared" si="15"/>
        <v>-0.17333333333333334</v>
      </c>
    </row>
    <row r="168" spans="1:13" x14ac:dyDescent="0.3">
      <c r="A168" s="8" t="s">
        <v>194</v>
      </c>
      <c r="B168" s="9" t="s">
        <v>484</v>
      </c>
      <c r="C168" s="9" t="s">
        <v>120</v>
      </c>
      <c r="D168" s="9" t="s">
        <v>137</v>
      </c>
      <c r="E168" s="9" t="s">
        <v>627</v>
      </c>
      <c r="F168" s="9" t="s">
        <v>617</v>
      </c>
      <c r="G168" s="9" t="s">
        <v>620</v>
      </c>
      <c r="H168" s="10">
        <v>23</v>
      </c>
      <c r="I168" s="10">
        <v>7</v>
      </c>
      <c r="J168" s="10">
        <v>23</v>
      </c>
      <c r="K168" s="10">
        <f t="shared" si="13"/>
        <v>28.52</v>
      </c>
      <c r="L168" s="11">
        <f t="shared" si="14"/>
        <v>4.0742857142857138</v>
      </c>
      <c r="M168" s="11">
        <f t="shared" si="15"/>
        <v>0.24</v>
      </c>
    </row>
    <row r="169" spans="1:13" x14ac:dyDescent="0.3">
      <c r="A169" s="8" t="s">
        <v>195</v>
      </c>
      <c r="B169" s="9" t="s">
        <v>485</v>
      </c>
      <c r="C169" s="9" t="s">
        <v>120</v>
      </c>
      <c r="D169" s="9" t="s">
        <v>135</v>
      </c>
      <c r="E169" s="9" t="s">
        <v>627</v>
      </c>
      <c r="F169" s="9" t="s">
        <v>617</v>
      </c>
      <c r="G169" s="9" t="s">
        <v>623</v>
      </c>
      <c r="H169" s="10">
        <v>30</v>
      </c>
      <c r="I169" s="10">
        <v>13</v>
      </c>
      <c r="J169" s="10">
        <v>22</v>
      </c>
      <c r="K169" s="10">
        <f t="shared" si="13"/>
        <v>27.28</v>
      </c>
      <c r="L169" s="11">
        <f t="shared" si="14"/>
        <v>2.0984615384615384</v>
      </c>
      <c r="M169" s="11">
        <f t="shared" si="15"/>
        <v>-9.0666666666666632E-2</v>
      </c>
    </row>
    <row r="170" spans="1:13" x14ac:dyDescent="0.3">
      <c r="A170" s="8" t="s">
        <v>246</v>
      </c>
      <c r="B170" s="9" t="s">
        <v>535</v>
      </c>
      <c r="C170" s="9" t="s">
        <v>120</v>
      </c>
      <c r="D170" s="9" t="s">
        <v>137</v>
      </c>
      <c r="E170" s="9" t="s">
        <v>627</v>
      </c>
      <c r="F170" s="9" t="s">
        <v>617</v>
      </c>
      <c r="G170" s="9" t="s">
        <v>619</v>
      </c>
      <c r="H170" s="10">
        <v>16</v>
      </c>
      <c r="I170" s="10">
        <v>5</v>
      </c>
      <c r="J170" s="10">
        <v>7</v>
      </c>
      <c r="K170" s="10">
        <f t="shared" si="13"/>
        <v>8.6800000000000015</v>
      </c>
      <c r="L170" s="11">
        <f t="shared" si="14"/>
        <v>1.7360000000000002</v>
      </c>
      <c r="M170" s="11">
        <f t="shared" si="15"/>
        <v>-0.45749999999999991</v>
      </c>
    </row>
    <row r="171" spans="1:13" x14ac:dyDescent="0.3">
      <c r="A171" s="8" t="s">
        <v>188</v>
      </c>
      <c r="B171" s="9" t="s">
        <v>478</v>
      </c>
      <c r="C171" s="9" t="s">
        <v>120</v>
      </c>
      <c r="D171" s="9" t="s">
        <v>135</v>
      </c>
      <c r="E171" s="9" t="s">
        <v>627</v>
      </c>
      <c r="F171" s="9" t="s">
        <v>617</v>
      </c>
      <c r="G171" s="9" t="s">
        <v>622</v>
      </c>
      <c r="H171" s="10">
        <v>30</v>
      </c>
      <c r="I171" s="10">
        <v>12</v>
      </c>
      <c r="J171" s="10">
        <v>50</v>
      </c>
      <c r="K171" s="10">
        <f t="shared" si="13"/>
        <v>62</v>
      </c>
      <c r="L171" s="11">
        <f t="shared" si="14"/>
        <v>5.166666666666667</v>
      </c>
      <c r="M171" s="11">
        <f t="shared" si="15"/>
        <v>1.0666666666666667</v>
      </c>
    </row>
    <row r="172" spans="1:13" x14ac:dyDescent="0.3">
      <c r="A172" s="8" t="s">
        <v>197</v>
      </c>
      <c r="B172" s="9" t="s">
        <v>487</v>
      </c>
      <c r="C172" s="9" t="s">
        <v>120</v>
      </c>
      <c r="D172" s="9" t="s">
        <v>137</v>
      </c>
      <c r="E172" s="9" t="s">
        <v>627</v>
      </c>
      <c r="F172" s="9" t="s">
        <v>617</v>
      </c>
      <c r="G172" s="9" t="s">
        <v>620</v>
      </c>
      <c r="H172" s="10">
        <v>7</v>
      </c>
      <c r="I172" s="10">
        <v>3</v>
      </c>
      <c r="J172" s="10">
        <v>5</v>
      </c>
      <c r="K172" s="10">
        <f t="shared" si="13"/>
        <v>6.2</v>
      </c>
      <c r="L172" s="11">
        <f t="shared" si="14"/>
        <v>2.0666666666666669</v>
      </c>
      <c r="M172" s="11">
        <f t="shared" si="15"/>
        <v>-0.11428571428571425</v>
      </c>
    </row>
    <row r="173" spans="1:13" x14ac:dyDescent="0.3">
      <c r="A173" s="8" t="s">
        <v>196</v>
      </c>
      <c r="B173" s="9" t="s">
        <v>486</v>
      </c>
      <c r="C173" s="9" t="s">
        <v>120</v>
      </c>
      <c r="D173" s="9" t="s">
        <v>135</v>
      </c>
      <c r="E173" s="9" t="s">
        <v>627</v>
      </c>
      <c r="F173" s="9" t="s">
        <v>617</v>
      </c>
      <c r="G173" s="9" t="s">
        <v>621</v>
      </c>
      <c r="H173" s="10">
        <v>17</v>
      </c>
      <c r="I173" s="10">
        <v>6</v>
      </c>
      <c r="J173" s="10">
        <v>16</v>
      </c>
      <c r="K173" s="10">
        <f t="shared" si="13"/>
        <v>19.84</v>
      </c>
      <c r="L173" s="11">
        <f t="shared" si="14"/>
        <v>3.3066666666666666</v>
      </c>
      <c r="M173" s="11">
        <f t="shared" si="15"/>
        <v>0.16705882352941176</v>
      </c>
    </row>
    <row r="174" spans="1:13" x14ac:dyDescent="0.3">
      <c r="A174" s="8" t="s">
        <v>199</v>
      </c>
      <c r="B174" s="9" t="s">
        <v>489</v>
      </c>
      <c r="C174" s="9" t="s">
        <v>120</v>
      </c>
      <c r="D174" s="9" t="s">
        <v>135</v>
      </c>
      <c r="E174" s="9" t="s">
        <v>627</v>
      </c>
      <c r="F174" s="9" t="s">
        <v>624</v>
      </c>
      <c r="G174" s="9" t="s">
        <v>623</v>
      </c>
      <c r="H174" s="10">
        <v>1</v>
      </c>
      <c r="I174" s="10">
        <v>0</v>
      </c>
      <c r="J174" s="10">
        <v>0</v>
      </c>
      <c r="K174" s="10">
        <f t="shared" si="13"/>
        <v>0</v>
      </c>
      <c r="L174" s="11">
        <f t="shared" si="14"/>
        <v>0</v>
      </c>
      <c r="M174" s="11">
        <f t="shared" si="15"/>
        <v>-1</v>
      </c>
    </row>
    <row r="175" spans="1:13" x14ac:dyDescent="0.3">
      <c r="A175" s="8" t="s">
        <v>198</v>
      </c>
      <c r="B175" s="9" t="s">
        <v>488</v>
      </c>
      <c r="C175" s="9" t="s">
        <v>120</v>
      </c>
      <c r="D175" s="9" t="s">
        <v>135</v>
      </c>
      <c r="E175" s="9" t="s">
        <v>627</v>
      </c>
      <c r="F175" s="9" t="s">
        <v>617</v>
      </c>
      <c r="G175" s="9" t="s">
        <v>623</v>
      </c>
      <c r="H175" s="10">
        <v>7</v>
      </c>
      <c r="I175" s="10">
        <v>3</v>
      </c>
      <c r="J175" s="10">
        <v>5</v>
      </c>
      <c r="K175" s="10">
        <f t="shared" si="13"/>
        <v>6.2</v>
      </c>
      <c r="L175" s="11">
        <f t="shared" si="14"/>
        <v>2.0666666666666669</v>
      </c>
      <c r="M175" s="11">
        <f t="shared" si="15"/>
        <v>-0.11428571428571425</v>
      </c>
    </row>
    <row r="176" spans="1:13" x14ac:dyDescent="0.3">
      <c r="A176" s="8" t="s">
        <v>200</v>
      </c>
      <c r="B176" s="9" t="s">
        <v>490</v>
      </c>
      <c r="C176" s="9" t="s">
        <v>120</v>
      </c>
      <c r="D176" s="9" t="s">
        <v>137</v>
      </c>
      <c r="E176" s="9" t="s">
        <v>627</v>
      </c>
      <c r="F176" s="9" t="s">
        <v>617</v>
      </c>
      <c r="G176" s="9" t="s">
        <v>619</v>
      </c>
      <c r="H176" s="10">
        <v>48</v>
      </c>
      <c r="I176" s="10">
        <v>22</v>
      </c>
      <c r="J176" s="10">
        <v>39</v>
      </c>
      <c r="K176" s="10">
        <f t="shared" si="13"/>
        <v>48.36</v>
      </c>
      <c r="L176" s="11">
        <f t="shared" si="14"/>
        <v>2.1981818181818182</v>
      </c>
      <c r="M176" s="11">
        <f t="shared" si="15"/>
        <v>7.4999999999999884E-3</v>
      </c>
    </row>
    <row r="177" spans="1:22" x14ac:dyDescent="0.3">
      <c r="A177" s="8" t="s">
        <v>201</v>
      </c>
      <c r="B177" s="9" t="s">
        <v>491</v>
      </c>
      <c r="C177" s="9" t="s">
        <v>120</v>
      </c>
      <c r="D177" s="9" t="s">
        <v>135</v>
      </c>
      <c r="E177" s="9" t="s">
        <v>627</v>
      </c>
      <c r="F177" s="9" t="s">
        <v>617</v>
      </c>
      <c r="G177" s="9" t="s">
        <v>622</v>
      </c>
      <c r="H177" s="10">
        <v>10</v>
      </c>
      <c r="I177" s="10">
        <v>3</v>
      </c>
      <c r="J177" s="10">
        <v>4</v>
      </c>
      <c r="K177" s="10">
        <f t="shared" si="13"/>
        <v>4.96</v>
      </c>
      <c r="L177" s="11">
        <f t="shared" si="14"/>
        <v>1.6533333333333333</v>
      </c>
      <c r="M177" s="11">
        <f t="shared" si="15"/>
        <v>-0.504</v>
      </c>
    </row>
    <row r="178" spans="1:22" x14ac:dyDescent="0.3">
      <c r="A178" s="8" t="s">
        <v>202</v>
      </c>
      <c r="B178" s="9" t="s">
        <v>492</v>
      </c>
      <c r="C178" s="9" t="s">
        <v>120</v>
      </c>
      <c r="D178" s="9" t="s">
        <v>129</v>
      </c>
      <c r="E178" s="9" t="s">
        <v>627</v>
      </c>
      <c r="F178" s="9" t="s">
        <v>617</v>
      </c>
      <c r="G178" s="9" t="s">
        <v>621</v>
      </c>
      <c r="H178" s="10">
        <v>3</v>
      </c>
      <c r="I178" s="10">
        <v>4</v>
      </c>
      <c r="J178" s="10">
        <v>8</v>
      </c>
      <c r="K178" s="10">
        <f t="shared" si="13"/>
        <v>9.92</v>
      </c>
      <c r="L178" s="11">
        <f t="shared" si="14"/>
        <v>2.48</v>
      </c>
      <c r="M178" s="11">
        <f t="shared" si="15"/>
        <v>2.3066666666666666</v>
      </c>
    </row>
    <row r="179" spans="1:22" x14ac:dyDescent="0.3">
      <c r="A179" s="8" t="s">
        <v>203</v>
      </c>
      <c r="B179" s="9" t="s">
        <v>493</v>
      </c>
      <c r="C179" s="9" t="s">
        <v>120</v>
      </c>
      <c r="D179" s="9" t="s">
        <v>135</v>
      </c>
      <c r="E179" s="9" t="s">
        <v>627</v>
      </c>
      <c r="F179" s="9" t="s">
        <v>617</v>
      </c>
      <c r="G179" s="9" t="s">
        <v>622</v>
      </c>
      <c r="H179" s="10">
        <v>27</v>
      </c>
      <c r="I179" s="10">
        <v>15</v>
      </c>
      <c r="J179" s="10">
        <v>39</v>
      </c>
      <c r="K179" s="10">
        <f t="shared" si="13"/>
        <v>48.36</v>
      </c>
      <c r="L179" s="11">
        <f t="shared" si="14"/>
        <v>3.2239999999999998</v>
      </c>
      <c r="M179" s="11">
        <f t="shared" si="15"/>
        <v>0.7911111111111111</v>
      </c>
    </row>
    <row r="180" spans="1:22" x14ac:dyDescent="0.3">
      <c r="A180" s="8" t="s">
        <v>239</v>
      </c>
      <c r="B180" s="9" t="s">
        <v>529</v>
      </c>
      <c r="C180" s="9" t="s">
        <v>120</v>
      </c>
      <c r="D180" s="9" t="s">
        <v>135</v>
      </c>
      <c r="E180" s="9" t="s">
        <v>627</v>
      </c>
      <c r="F180" s="9" t="s">
        <v>617</v>
      </c>
      <c r="G180" s="9" t="s">
        <v>621</v>
      </c>
      <c r="H180" s="10">
        <v>1</v>
      </c>
      <c r="I180" s="10">
        <v>2</v>
      </c>
      <c r="J180" s="10">
        <v>2</v>
      </c>
      <c r="K180" s="10">
        <f t="shared" si="13"/>
        <v>2.48</v>
      </c>
      <c r="L180" s="11">
        <f t="shared" si="14"/>
        <v>1.24</v>
      </c>
      <c r="M180" s="11">
        <f t="shared" si="15"/>
        <v>1.48</v>
      </c>
    </row>
    <row r="181" spans="1:22" x14ac:dyDescent="0.3">
      <c r="A181" s="8" t="s">
        <v>234</v>
      </c>
      <c r="B181" s="9" t="s">
        <v>524</v>
      </c>
      <c r="C181" s="9" t="s">
        <v>120</v>
      </c>
      <c r="D181" s="9" t="s">
        <v>137</v>
      </c>
      <c r="E181" s="9" t="s">
        <v>627</v>
      </c>
      <c r="F181" s="9" t="s">
        <v>617</v>
      </c>
      <c r="G181" s="9" t="s">
        <v>620</v>
      </c>
      <c r="H181" s="10">
        <v>2</v>
      </c>
      <c r="I181" s="10">
        <v>4</v>
      </c>
      <c r="J181" s="10">
        <v>0</v>
      </c>
      <c r="K181" s="10">
        <f t="shared" si="13"/>
        <v>0</v>
      </c>
      <c r="L181" s="11">
        <f t="shared" si="14"/>
        <v>0</v>
      </c>
      <c r="M181" s="11">
        <f t="shared" si="15"/>
        <v>-1</v>
      </c>
    </row>
    <row r="182" spans="1:22" x14ac:dyDescent="0.3">
      <c r="A182" s="8" t="s">
        <v>237</v>
      </c>
      <c r="B182" s="9" t="s">
        <v>527</v>
      </c>
      <c r="C182" s="9" t="s">
        <v>120</v>
      </c>
      <c r="D182" s="9" t="s">
        <v>137</v>
      </c>
      <c r="E182" s="9" t="s">
        <v>627</v>
      </c>
      <c r="F182" s="9" t="s">
        <v>617</v>
      </c>
      <c r="G182" s="9" t="s">
        <v>620</v>
      </c>
      <c r="H182" s="10">
        <v>14</v>
      </c>
      <c r="I182" s="10">
        <v>13</v>
      </c>
      <c r="J182" s="10">
        <v>12</v>
      </c>
      <c r="K182" s="10">
        <f t="shared" si="13"/>
        <v>14.879999999999999</v>
      </c>
      <c r="L182" s="11">
        <f t="shared" si="14"/>
        <v>1.1446153846153846</v>
      </c>
      <c r="M182" s="11">
        <f t="shared" si="15"/>
        <v>6.2857142857142792E-2</v>
      </c>
    </row>
    <row r="183" spans="1:22" x14ac:dyDescent="0.3">
      <c r="A183" s="8" t="s">
        <v>190</v>
      </c>
      <c r="B183" s="9" t="s">
        <v>480</v>
      </c>
      <c r="C183" s="9" t="s">
        <v>120</v>
      </c>
      <c r="D183" s="9" t="s">
        <v>137</v>
      </c>
      <c r="E183" s="9" t="s">
        <v>627</v>
      </c>
      <c r="F183" s="9" t="s">
        <v>617</v>
      </c>
      <c r="G183" s="9" t="s">
        <v>620</v>
      </c>
      <c r="H183" s="10">
        <v>20</v>
      </c>
      <c r="I183" s="10">
        <v>7</v>
      </c>
      <c r="J183" s="10">
        <v>19</v>
      </c>
      <c r="K183" s="10">
        <f t="shared" si="13"/>
        <v>23.56</v>
      </c>
      <c r="L183" s="11">
        <f t="shared" si="14"/>
        <v>3.3657142857142857</v>
      </c>
      <c r="M183" s="11">
        <f t="shared" si="15"/>
        <v>0.17799999999999994</v>
      </c>
    </row>
    <row r="184" spans="1:22" x14ac:dyDescent="0.3">
      <c r="A184" s="8" t="s">
        <v>242</v>
      </c>
      <c r="B184" s="9" t="s">
        <v>532</v>
      </c>
      <c r="C184" s="9" t="s">
        <v>120</v>
      </c>
      <c r="D184" s="9" t="s">
        <v>137</v>
      </c>
      <c r="E184" s="9" t="s">
        <v>627</v>
      </c>
      <c r="F184" s="9" t="s">
        <v>617</v>
      </c>
      <c r="G184" s="9" t="s">
        <v>620</v>
      </c>
      <c r="H184" s="10">
        <v>24</v>
      </c>
      <c r="I184" s="10">
        <v>20</v>
      </c>
      <c r="J184" s="10">
        <v>17</v>
      </c>
      <c r="K184" s="10">
        <f t="shared" si="13"/>
        <v>21.080000000000002</v>
      </c>
      <c r="L184" s="11">
        <f t="shared" si="14"/>
        <v>1.054</v>
      </c>
      <c r="M184" s="11">
        <f t="shared" si="15"/>
        <v>-0.12166666666666659</v>
      </c>
    </row>
    <row r="185" spans="1:22" s="15" customFormat="1" ht="15.05" customHeight="1" x14ac:dyDescent="0.3">
      <c r="A185" s="4" t="s">
        <v>18</v>
      </c>
      <c r="B185" s="7"/>
      <c r="C185" s="7"/>
      <c r="D185" s="7"/>
      <c r="E185" s="7"/>
      <c r="F185" s="7"/>
      <c r="G185" s="7"/>
      <c r="H185" s="12">
        <f>SUM(H5:H184)</f>
        <v>826</v>
      </c>
      <c r="I185" s="12">
        <f>SUM(I5:I184)</f>
        <v>542</v>
      </c>
      <c r="J185" s="12">
        <f>SUM(J5:J184)</f>
        <v>700</v>
      </c>
      <c r="K185" s="12">
        <f>SUM(K5:K184)</f>
        <v>868</v>
      </c>
      <c r="L185" s="13">
        <f>IFERROR((K185/I185),0)</f>
        <v>1.6014760147601477</v>
      </c>
      <c r="M185" s="14">
        <f>IFERROR((K185-H185)/H185,0)</f>
        <v>5.0847457627118647E-2</v>
      </c>
      <c r="P185"/>
      <c r="Q185"/>
      <c r="R185"/>
      <c r="S185"/>
      <c r="T185"/>
      <c r="U185"/>
      <c r="V185"/>
    </row>
    <row r="186" spans="1:22" ht="15.05" customHeight="1" x14ac:dyDescent="0.3"/>
  </sheetData>
  <autoFilter ref="A4:M185" xr:uid="{9C37F107-75DF-4C86-A97B-8DB1A6F13EC7}"/>
  <mergeCells count="2">
    <mergeCell ref="A3:M3"/>
    <mergeCell ref="P3:V3"/>
  </mergeCells>
  <conditionalFormatting sqref="A5:A184">
    <cfRule type="duplicateValues" dxfId="16" priority="5"/>
  </conditionalFormatting>
  <conditionalFormatting sqref="L5:L185">
    <cfRule type="cellIs" dxfId="15" priority="4" operator="lessThan">
      <formula>1</formula>
    </cfRule>
  </conditionalFormatting>
  <conditionalFormatting sqref="U5:U7 U11:U25">
    <cfRule type="cellIs" dxfId="14" priority="2" operator="lessThan">
      <formula>1</formula>
    </cfRule>
    <cfRule type="cellIs" dxfId="13" priority="3" operator="lessThan">
      <formula>0</formula>
    </cfRule>
  </conditionalFormatting>
  <conditionalFormatting sqref="V5:V8 L5:M185 V11:V26">
    <cfRule type="cellIs" dxfId="12" priority="1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7B32B-4E0C-4067-8012-075E751E7602}">
  <dimension ref="A1:Z191"/>
  <sheetViews>
    <sheetView showGridLines="0" zoomScale="70" zoomScaleNormal="70" workbookViewId="0">
      <pane ySplit="4" topLeftCell="A5" activePane="bottomLeft" state="frozen"/>
      <selection activeCell="J6" sqref="J6"/>
      <selection pane="bottomLeft" activeCell="J6" sqref="J6"/>
    </sheetView>
  </sheetViews>
  <sheetFormatPr defaultRowHeight="15.05" x14ac:dyDescent="0.3"/>
  <cols>
    <col min="1" max="1" width="10.33203125" bestFit="1" customWidth="1"/>
    <col min="2" max="2" width="41.109375" customWidth="1"/>
    <col min="3" max="3" width="15.109375" bestFit="1" customWidth="1"/>
    <col min="4" max="4" width="23" bestFit="1" customWidth="1"/>
    <col min="5" max="6" width="23" customWidth="1"/>
    <col min="7" max="7" width="19.44140625" bestFit="1" customWidth="1"/>
    <col min="8" max="8" width="19.44140625" customWidth="1"/>
    <col min="9" max="15" width="18" customWidth="1"/>
    <col min="18" max="18" width="25.88671875" customWidth="1"/>
    <col min="19" max="26" width="15.109375" customWidth="1"/>
  </cols>
  <sheetData>
    <row r="1" spans="1:26" x14ac:dyDescent="0.3">
      <c r="A1" s="1">
        <v>25</v>
      </c>
      <c r="B1" s="1">
        <v>31</v>
      </c>
    </row>
    <row r="2" spans="1:26" x14ac:dyDescent="0.3">
      <c r="A2" s="16"/>
    </row>
    <row r="3" spans="1:26" s="3" customFormat="1" ht="23.5" customHeight="1" x14ac:dyDescent="0.3">
      <c r="A3" s="2" t="str">
        <f>"RACING SAMSUNG A37 - A57 (01 - "&amp;A1&amp;" MEI 2026)"</f>
        <v>RACING SAMSUNG A37 - A57 (01 - 25 MEI 2026)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R3" s="2" t="str">
        <f>A3</f>
        <v>RACING SAMSUNG A37 - A57 (01 - 25 MEI 2026)</v>
      </c>
      <c r="S3" s="2"/>
      <c r="T3" s="2"/>
      <c r="U3" s="2"/>
      <c r="V3" s="2"/>
      <c r="W3" s="2"/>
      <c r="X3" s="2"/>
      <c r="Y3" s="2"/>
      <c r="Z3" s="2"/>
    </row>
    <row r="4" spans="1:26" s="3" customFormat="1" ht="29.45" customHeight="1" x14ac:dyDescent="0.3">
      <c r="A4" s="4" t="s">
        <v>0</v>
      </c>
      <c r="B4" s="5" t="s">
        <v>1</v>
      </c>
      <c r="C4" s="5" t="s">
        <v>2</v>
      </c>
      <c r="D4" s="5" t="s">
        <v>3</v>
      </c>
      <c r="E4" s="5" t="s">
        <v>4</v>
      </c>
      <c r="F4" s="5" t="s">
        <v>5</v>
      </c>
      <c r="G4" s="5" t="s">
        <v>6</v>
      </c>
      <c r="H4" s="6" t="s">
        <v>7</v>
      </c>
      <c r="I4" s="6" t="s">
        <v>276</v>
      </c>
      <c r="J4" s="6" t="s">
        <v>277</v>
      </c>
      <c r="K4" s="6" t="s">
        <v>9</v>
      </c>
      <c r="L4" s="6" t="s">
        <v>10</v>
      </c>
      <c r="M4" s="6" t="s">
        <v>278</v>
      </c>
      <c r="N4" s="6" t="s">
        <v>279</v>
      </c>
      <c r="O4" s="6" t="s">
        <v>12</v>
      </c>
      <c r="R4" s="7" t="s">
        <v>2</v>
      </c>
      <c r="S4" s="6" t="s">
        <v>7</v>
      </c>
      <c r="T4" s="6" t="s">
        <v>276</v>
      </c>
      <c r="U4" s="6" t="s">
        <v>277</v>
      </c>
      <c r="V4" s="6" t="s">
        <v>9</v>
      </c>
      <c r="W4" s="6" t="s">
        <v>10</v>
      </c>
      <c r="X4" s="6" t="s">
        <v>11</v>
      </c>
      <c r="Y4" s="6" t="s">
        <v>11</v>
      </c>
      <c r="Z4" s="6" t="s">
        <v>12</v>
      </c>
    </row>
    <row r="5" spans="1:26" x14ac:dyDescent="0.3">
      <c r="A5" s="8" t="s">
        <v>167</v>
      </c>
      <c r="B5" s="9" t="s">
        <v>457</v>
      </c>
      <c r="C5" s="9" t="s">
        <v>16</v>
      </c>
      <c r="D5" s="9" t="s">
        <v>44</v>
      </c>
      <c r="E5" s="9" t="s">
        <v>616</v>
      </c>
      <c r="F5" s="9" t="s">
        <v>617</v>
      </c>
      <c r="G5" s="9" t="s">
        <v>622</v>
      </c>
      <c r="H5" s="10">
        <v>34</v>
      </c>
      <c r="I5" s="10">
        <v>56</v>
      </c>
      <c r="J5" s="10">
        <v>40</v>
      </c>
      <c r="K5" s="10">
        <v>27</v>
      </c>
      <c r="L5" s="10">
        <f t="shared" ref="L5:L68" si="0">IFERROR((K5/$A$1*$B$1),0)</f>
        <v>33.480000000000004</v>
      </c>
      <c r="M5" s="11">
        <f>IFERROR((L5/I5),0)</f>
        <v>0.59785714285714298</v>
      </c>
      <c r="N5" s="11">
        <f>IFERROR((L5/J5),0)</f>
        <v>0.83700000000000008</v>
      </c>
      <c r="O5" s="11">
        <f t="shared" ref="O5:O68" si="1">IFERROR((L5-H5)/H5,0)</f>
        <v>-1.5294117647058706E-2</v>
      </c>
      <c r="R5" s="9" t="s">
        <v>14</v>
      </c>
      <c r="S5" s="10">
        <f t="shared" ref="S5:W7" si="2">SUMIF($C:$C,$R5,H:H)</f>
        <v>309</v>
      </c>
      <c r="T5" s="10">
        <f t="shared" si="2"/>
        <v>780</v>
      </c>
      <c r="U5" s="10">
        <f t="shared" si="2"/>
        <v>561</v>
      </c>
      <c r="V5" s="10">
        <f t="shared" si="2"/>
        <v>334</v>
      </c>
      <c r="W5" s="10">
        <f t="shared" si="2"/>
        <v>414.16000000000014</v>
      </c>
      <c r="X5" s="11">
        <f>IFERROR((W5/T5),0)</f>
        <v>0.53097435897435918</v>
      </c>
      <c r="Y5" s="11">
        <f>IFERROR((W5/U5),0)</f>
        <v>0.73825311942959027</v>
      </c>
      <c r="Z5" s="11">
        <f>IFERROR((W5-S5)/S5,0)</f>
        <v>0.34032362459546972</v>
      </c>
    </row>
    <row r="6" spans="1:26" x14ac:dyDescent="0.3">
      <c r="A6" s="8" t="s">
        <v>13</v>
      </c>
      <c r="B6" s="9" t="s">
        <v>332</v>
      </c>
      <c r="C6" s="9" t="s">
        <v>16</v>
      </c>
      <c r="D6" s="9" t="s">
        <v>22</v>
      </c>
      <c r="E6" s="9" t="s">
        <v>616</v>
      </c>
      <c r="F6" s="9" t="s">
        <v>617</v>
      </c>
      <c r="G6" s="9" t="s">
        <v>618</v>
      </c>
      <c r="H6" s="10">
        <v>17</v>
      </c>
      <c r="I6" s="10">
        <v>41</v>
      </c>
      <c r="J6" s="10">
        <v>29</v>
      </c>
      <c r="K6" s="10">
        <v>19</v>
      </c>
      <c r="L6" s="10">
        <f t="shared" si="0"/>
        <v>23.56</v>
      </c>
      <c r="M6" s="11">
        <f t="shared" ref="M6:M69" si="3">IFERROR((L6/I6),0)</f>
        <v>0.57463414634146337</v>
      </c>
      <c r="N6" s="11">
        <f t="shared" ref="N6:N69" si="4">IFERROR((L6/J6),0)</f>
        <v>0.81241379310344819</v>
      </c>
      <c r="O6" s="11">
        <f t="shared" si="1"/>
        <v>0.3858823529411764</v>
      </c>
      <c r="R6" s="9" t="s">
        <v>16</v>
      </c>
      <c r="S6" s="10">
        <f t="shared" si="2"/>
        <v>449</v>
      </c>
      <c r="T6" s="10">
        <f t="shared" si="2"/>
        <v>1282</v>
      </c>
      <c r="U6" s="10">
        <f t="shared" si="2"/>
        <v>914</v>
      </c>
      <c r="V6" s="10">
        <f t="shared" si="2"/>
        <v>621</v>
      </c>
      <c r="W6" s="10">
        <f t="shared" si="2"/>
        <v>770.0400000000003</v>
      </c>
      <c r="X6" s="11">
        <f>IFERROR((W6/T6),0)</f>
        <v>0.60065522620904865</v>
      </c>
      <c r="Y6" s="11">
        <f t="shared" ref="Y6:Y8" si="5">IFERROR((W6/U6),0)</f>
        <v>0.84249452954048176</v>
      </c>
      <c r="Z6" s="11">
        <f>IFERROR((W6-S6)/S6,0)</f>
        <v>0.71501113585746168</v>
      </c>
    </row>
    <row r="7" spans="1:26" x14ac:dyDescent="0.3">
      <c r="A7" s="8" t="s">
        <v>168</v>
      </c>
      <c r="B7" s="9" t="s">
        <v>458</v>
      </c>
      <c r="C7" s="9" t="s">
        <v>14</v>
      </c>
      <c r="D7" s="9" t="s">
        <v>24</v>
      </c>
      <c r="E7" s="9" t="s">
        <v>616</v>
      </c>
      <c r="F7" s="9" t="s">
        <v>617</v>
      </c>
      <c r="G7" s="9" t="s">
        <v>619</v>
      </c>
      <c r="H7" s="10">
        <v>24</v>
      </c>
      <c r="I7" s="10">
        <v>39</v>
      </c>
      <c r="J7" s="10">
        <v>27</v>
      </c>
      <c r="K7" s="10">
        <v>15</v>
      </c>
      <c r="L7" s="10">
        <f t="shared" si="0"/>
        <v>18.599999999999998</v>
      </c>
      <c r="M7" s="11">
        <f t="shared" si="3"/>
        <v>0.47692307692307689</v>
      </c>
      <c r="N7" s="11">
        <f t="shared" si="4"/>
        <v>0.68888888888888877</v>
      </c>
      <c r="O7" s="11">
        <f t="shared" si="1"/>
        <v>-0.22500000000000009</v>
      </c>
      <c r="R7" s="9" t="s">
        <v>120</v>
      </c>
      <c r="S7" s="10">
        <f t="shared" si="2"/>
        <v>652</v>
      </c>
      <c r="T7" s="10">
        <f t="shared" si="2"/>
        <v>1164</v>
      </c>
      <c r="U7" s="10">
        <f t="shared" si="2"/>
        <v>815</v>
      </c>
      <c r="V7" s="10">
        <f t="shared" si="2"/>
        <v>697</v>
      </c>
      <c r="W7" s="10">
        <f t="shared" si="2"/>
        <v>864.28000000000009</v>
      </c>
      <c r="X7" s="11">
        <f>IFERROR((W7/T7),0)</f>
        <v>0.74250859106529221</v>
      </c>
      <c r="Y7" s="11">
        <f t="shared" si="5"/>
        <v>1.0604662576687118</v>
      </c>
      <c r="Z7" s="11">
        <f>IFERROR((W7-S7)/S7,0)</f>
        <v>0.32558282208588968</v>
      </c>
    </row>
    <row r="8" spans="1:26" x14ac:dyDescent="0.3">
      <c r="A8" s="8" t="s">
        <v>39</v>
      </c>
      <c r="B8" s="9" t="s">
        <v>346</v>
      </c>
      <c r="C8" s="9" t="s">
        <v>16</v>
      </c>
      <c r="D8" s="9" t="s">
        <v>38</v>
      </c>
      <c r="E8" s="9" t="s">
        <v>616</v>
      </c>
      <c r="F8" s="9" t="s">
        <v>617</v>
      </c>
      <c r="G8" s="9" t="s">
        <v>621</v>
      </c>
      <c r="H8" s="10">
        <v>16</v>
      </c>
      <c r="I8" s="10">
        <v>44</v>
      </c>
      <c r="J8" s="10">
        <v>31</v>
      </c>
      <c r="K8" s="10">
        <v>32</v>
      </c>
      <c r="L8" s="10">
        <f t="shared" si="0"/>
        <v>39.68</v>
      </c>
      <c r="M8" s="11">
        <f t="shared" si="3"/>
        <v>0.90181818181818185</v>
      </c>
      <c r="N8" s="11">
        <f t="shared" si="4"/>
        <v>1.28</v>
      </c>
      <c r="O8" s="11">
        <f t="shared" si="1"/>
        <v>1.48</v>
      </c>
      <c r="R8" s="4" t="s">
        <v>18</v>
      </c>
      <c r="S8" s="12">
        <f>SUM(S5:S7)</f>
        <v>1410</v>
      </c>
      <c r="T8" s="12">
        <f>SUM(T5:T7)</f>
        <v>3226</v>
      </c>
      <c r="U8" s="12">
        <f>SUM(U5:U7)</f>
        <v>2290</v>
      </c>
      <c r="V8" s="12">
        <f>SUM(V5:V7)</f>
        <v>1652</v>
      </c>
      <c r="W8" s="12">
        <f>SUM(W5:W7)</f>
        <v>2048.4800000000005</v>
      </c>
      <c r="X8" s="13">
        <f>IFERROR((W8/T8),0)</f>
        <v>0.63499070055796669</v>
      </c>
      <c r="Y8" s="13">
        <f t="shared" si="5"/>
        <v>0.89453275109170327</v>
      </c>
      <c r="Z8" s="14">
        <f>IFERROR((W8-S8)/S8,0)</f>
        <v>0.45282269503546135</v>
      </c>
    </row>
    <row r="9" spans="1:26" x14ac:dyDescent="0.3">
      <c r="A9" s="8" t="s">
        <v>126</v>
      </c>
      <c r="B9" s="9" t="s">
        <v>424</v>
      </c>
      <c r="C9" s="9" t="s">
        <v>16</v>
      </c>
      <c r="D9" s="9" t="s">
        <v>36</v>
      </c>
      <c r="E9" s="9" t="s">
        <v>616</v>
      </c>
      <c r="F9" s="9" t="s">
        <v>617</v>
      </c>
      <c r="G9" s="9" t="s">
        <v>621</v>
      </c>
      <c r="H9" s="10">
        <v>19</v>
      </c>
      <c r="I9" s="10">
        <v>25</v>
      </c>
      <c r="J9" s="10">
        <v>17</v>
      </c>
      <c r="K9" s="10">
        <v>10</v>
      </c>
      <c r="L9" s="10">
        <f t="shared" si="0"/>
        <v>12.4</v>
      </c>
      <c r="M9" s="11">
        <f t="shared" si="3"/>
        <v>0.496</v>
      </c>
      <c r="N9" s="11">
        <f t="shared" si="4"/>
        <v>0.72941176470588243</v>
      </c>
      <c r="O9" s="11">
        <f t="shared" si="1"/>
        <v>-0.34736842105263155</v>
      </c>
    </row>
    <row r="10" spans="1:26" x14ac:dyDescent="0.3">
      <c r="A10" s="8" t="s">
        <v>154</v>
      </c>
      <c r="B10" s="9" t="s">
        <v>444</v>
      </c>
      <c r="C10" s="9" t="s">
        <v>14</v>
      </c>
      <c r="D10" s="9" t="s">
        <v>24</v>
      </c>
      <c r="E10" s="9" t="s">
        <v>616</v>
      </c>
      <c r="F10" s="9" t="s">
        <v>617</v>
      </c>
      <c r="G10" s="9" t="s">
        <v>619</v>
      </c>
      <c r="H10" s="10">
        <v>10</v>
      </c>
      <c r="I10" s="10">
        <v>28</v>
      </c>
      <c r="J10" s="10">
        <v>20</v>
      </c>
      <c r="K10" s="10">
        <v>10</v>
      </c>
      <c r="L10" s="10">
        <f t="shared" si="0"/>
        <v>12.4</v>
      </c>
      <c r="M10" s="11">
        <f t="shared" si="3"/>
        <v>0.44285714285714289</v>
      </c>
      <c r="N10" s="11">
        <f t="shared" si="4"/>
        <v>0.62</v>
      </c>
      <c r="O10" s="11">
        <f t="shared" si="1"/>
        <v>0.24000000000000005</v>
      </c>
      <c r="R10" s="7" t="s">
        <v>3</v>
      </c>
      <c r="S10" s="7" t="s">
        <v>7</v>
      </c>
      <c r="T10" s="7" t="s">
        <v>276</v>
      </c>
      <c r="U10" s="7" t="s">
        <v>277</v>
      </c>
      <c r="V10" s="7" t="s">
        <v>9</v>
      </c>
      <c r="W10" s="7" t="s">
        <v>10</v>
      </c>
      <c r="X10" s="7" t="s">
        <v>11</v>
      </c>
      <c r="Y10" s="7" t="s">
        <v>11</v>
      </c>
      <c r="Z10" s="7" t="s">
        <v>12</v>
      </c>
    </row>
    <row r="11" spans="1:26" x14ac:dyDescent="0.3">
      <c r="A11" s="8" t="s">
        <v>37</v>
      </c>
      <c r="B11" s="9" t="s">
        <v>345</v>
      </c>
      <c r="C11" s="9" t="s">
        <v>16</v>
      </c>
      <c r="D11" s="9" t="s">
        <v>38</v>
      </c>
      <c r="E11" s="9" t="s">
        <v>616</v>
      </c>
      <c r="F11" s="9" t="s">
        <v>617</v>
      </c>
      <c r="G11" s="9" t="s">
        <v>621</v>
      </c>
      <c r="H11" s="10">
        <v>20</v>
      </c>
      <c r="I11" s="10">
        <v>33</v>
      </c>
      <c r="J11" s="10">
        <v>23</v>
      </c>
      <c r="K11" s="10">
        <v>23</v>
      </c>
      <c r="L11" s="10">
        <f t="shared" si="0"/>
        <v>28.52</v>
      </c>
      <c r="M11" s="11">
        <f t="shared" si="3"/>
        <v>0.86424242424242426</v>
      </c>
      <c r="N11" s="11">
        <f t="shared" si="4"/>
        <v>1.24</v>
      </c>
      <c r="O11" s="11">
        <f t="shared" si="1"/>
        <v>0.42599999999999999</v>
      </c>
      <c r="R11" s="9" t="s">
        <v>22</v>
      </c>
      <c r="S11" s="10">
        <f t="shared" ref="S11:W25" si="6">SUMIF($D:$D,$R11,H:H)</f>
        <v>40</v>
      </c>
      <c r="T11" s="10">
        <f t="shared" si="6"/>
        <v>130</v>
      </c>
      <c r="U11" s="10">
        <f t="shared" si="6"/>
        <v>92</v>
      </c>
      <c r="V11" s="10">
        <f t="shared" si="6"/>
        <v>70</v>
      </c>
      <c r="W11" s="10">
        <f t="shared" si="6"/>
        <v>86.8</v>
      </c>
      <c r="X11" s="11">
        <f t="shared" ref="X11:X26" si="7">IFERROR((W11/T11),0)</f>
        <v>0.6676923076923077</v>
      </c>
      <c r="Y11" s="11">
        <f>IFERROR((W11/U11),0)</f>
        <v>0.94347826086956521</v>
      </c>
      <c r="Z11" s="11">
        <f t="shared" ref="Z11:Z26" si="8">IFERROR((W11-S11)/S11,0)</f>
        <v>1.17</v>
      </c>
    </row>
    <row r="12" spans="1:26" x14ac:dyDescent="0.3">
      <c r="A12" s="8" t="s">
        <v>43</v>
      </c>
      <c r="B12" s="9" t="s">
        <v>348</v>
      </c>
      <c r="C12" s="9" t="s">
        <v>16</v>
      </c>
      <c r="D12" s="9" t="s">
        <v>40</v>
      </c>
      <c r="E12" s="9" t="s">
        <v>616</v>
      </c>
      <c r="F12" s="9" t="s">
        <v>617</v>
      </c>
      <c r="G12" s="9" t="s">
        <v>623</v>
      </c>
      <c r="H12" s="10">
        <v>13</v>
      </c>
      <c r="I12" s="10">
        <v>34</v>
      </c>
      <c r="J12" s="10">
        <v>24</v>
      </c>
      <c r="K12" s="10">
        <v>7</v>
      </c>
      <c r="L12" s="10">
        <f t="shared" si="0"/>
        <v>8.6800000000000015</v>
      </c>
      <c r="M12" s="11">
        <f t="shared" si="3"/>
        <v>0.25529411764705889</v>
      </c>
      <c r="N12" s="11">
        <f t="shared" si="4"/>
        <v>0.36166666666666675</v>
      </c>
      <c r="O12" s="11">
        <f t="shared" si="1"/>
        <v>-0.33230769230769219</v>
      </c>
      <c r="R12" s="9" t="s">
        <v>44</v>
      </c>
      <c r="S12" s="10">
        <f t="shared" si="6"/>
        <v>81</v>
      </c>
      <c r="T12" s="10">
        <f t="shared" si="6"/>
        <v>219</v>
      </c>
      <c r="U12" s="10">
        <f t="shared" si="6"/>
        <v>159</v>
      </c>
      <c r="V12" s="10">
        <f t="shared" si="6"/>
        <v>116</v>
      </c>
      <c r="W12" s="10">
        <f t="shared" si="6"/>
        <v>143.84000000000003</v>
      </c>
      <c r="X12" s="11">
        <f t="shared" si="7"/>
        <v>0.65680365296803667</v>
      </c>
      <c r="Y12" s="11">
        <f t="shared" ref="Y12:Y26" si="9">IFERROR((W12/U12),0)</f>
        <v>0.90465408805031466</v>
      </c>
      <c r="Z12" s="11">
        <f t="shared" si="8"/>
        <v>0.77580246913580286</v>
      </c>
    </row>
    <row r="13" spans="1:26" x14ac:dyDescent="0.3">
      <c r="A13" s="8" t="s">
        <v>59</v>
      </c>
      <c r="B13" s="9" t="s">
        <v>363</v>
      </c>
      <c r="C13" s="9" t="s">
        <v>14</v>
      </c>
      <c r="D13" s="9" t="s">
        <v>30</v>
      </c>
      <c r="E13" s="9" t="s">
        <v>616</v>
      </c>
      <c r="F13" s="9" t="s">
        <v>617</v>
      </c>
      <c r="G13" s="9" t="s">
        <v>620</v>
      </c>
      <c r="H13" s="10">
        <v>15</v>
      </c>
      <c r="I13" s="10">
        <v>26</v>
      </c>
      <c r="J13" s="10">
        <v>18</v>
      </c>
      <c r="K13" s="10">
        <v>20</v>
      </c>
      <c r="L13" s="10">
        <f t="shared" si="0"/>
        <v>24.8</v>
      </c>
      <c r="M13" s="11">
        <f t="shared" si="3"/>
        <v>0.9538461538461539</v>
      </c>
      <c r="N13" s="11">
        <f t="shared" si="4"/>
        <v>1.3777777777777778</v>
      </c>
      <c r="O13" s="11">
        <f t="shared" si="1"/>
        <v>0.65333333333333343</v>
      </c>
      <c r="R13" s="9" t="s">
        <v>42</v>
      </c>
      <c r="S13" s="10">
        <f t="shared" si="6"/>
        <v>40</v>
      </c>
      <c r="T13" s="10">
        <f t="shared" si="6"/>
        <v>145</v>
      </c>
      <c r="U13" s="10">
        <f t="shared" si="6"/>
        <v>107</v>
      </c>
      <c r="V13" s="10">
        <f t="shared" si="6"/>
        <v>57</v>
      </c>
      <c r="W13" s="10">
        <f t="shared" si="6"/>
        <v>70.679999999999993</v>
      </c>
      <c r="X13" s="11">
        <f t="shared" si="7"/>
        <v>0.4874482758620689</v>
      </c>
      <c r="Y13" s="11">
        <f t="shared" si="9"/>
        <v>0.66056074766355133</v>
      </c>
      <c r="Z13" s="11">
        <f t="shared" si="8"/>
        <v>0.76699999999999979</v>
      </c>
    </row>
    <row r="14" spans="1:26" x14ac:dyDescent="0.3">
      <c r="A14" s="8" t="s">
        <v>29</v>
      </c>
      <c r="B14" s="9" t="s">
        <v>341</v>
      </c>
      <c r="C14" s="9" t="s">
        <v>16</v>
      </c>
      <c r="D14" s="9" t="s">
        <v>34</v>
      </c>
      <c r="E14" s="9" t="s">
        <v>616</v>
      </c>
      <c r="F14" s="9" t="s">
        <v>617</v>
      </c>
      <c r="G14" s="9" t="s">
        <v>621</v>
      </c>
      <c r="H14" s="10">
        <v>3</v>
      </c>
      <c r="I14" s="10">
        <v>24</v>
      </c>
      <c r="J14" s="10">
        <v>17</v>
      </c>
      <c r="K14" s="10">
        <v>4</v>
      </c>
      <c r="L14" s="10">
        <f t="shared" si="0"/>
        <v>4.96</v>
      </c>
      <c r="M14" s="11">
        <f t="shared" si="3"/>
        <v>0.20666666666666667</v>
      </c>
      <c r="N14" s="11">
        <f t="shared" si="4"/>
        <v>0.29176470588235293</v>
      </c>
      <c r="O14" s="11">
        <f t="shared" si="1"/>
        <v>0.65333333333333332</v>
      </c>
      <c r="R14" s="9" t="s">
        <v>36</v>
      </c>
      <c r="S14" s="10">
        <f t="shared" si="6"/>
        <v>58</v>
      </c>
      <c r="T14" s="10">
        <f t="shared" si="6"/>
        <v>157</v>
      </c>
      <c r="U14" s="10">
        <f t="shared" si="6"/>
        <v>110</v>
      </c>
      <c r="V14" s="10">
        <f t="shared" si="6"/>
        <v>63</v>
      </c>
      <c r="W14" s="10">
        <f t="shared" si="6"/>
        <v>78.12</v>
      </c>
      <c r="X14" s="11">
        <f t="shared" si="7"/>
        <v>0.49757961783439492</v>
      </c>
      <c r="Y14" s="11">
        <f t="shared" si="9"/>
        <v>0.71018181818181825</v>
      </c>
      <c r="Z14" s="11">
        <f t="shared" si="8"/>
        <v>0.34689655172413802</v>
      </c>
    </row>
    <row r="15" spans="1:26" x14ac:dyDescent="0.3">
      <c r="A15" s="8" t="s">
        <v>119</v>
      </c>
      <c r="B15" s="9" t="s">
        <v>418</v>
      </c>
      <c r="C15" s="9" t="s">
        <v>14</v>
      </c>
      <c r="D15" s="9" t="s">
        <v>32</v>
      </c>
      <c r="E15" s="9" t="s">
        <v>616</v>
      </c>
      <c r="F15" s="9" t="s">
        <v>617</v>
      </c>
      <c r="G15" s="9" t="s">
        <v>619</v>
      </c>
      <c r="H15" s="10">
        <v>18</v>
      </c>
      <c r="I15" s="10">
        <v>28</v>
      </c>
      <c r="J15" s="10">
        <v>20</v>
      </c>
      <c r="K15" s="10">
        <v>14</v>
      </c>
      <c r="L15" s="10">
        <f t="shared" si="0"/>
        <v>17.360000000000003</v>
      </c>
      <c r="M15" s="11">
        <f t="shared" si="3"/>
        <v>0.62000000000000011</v>
      </c>
      <c r="N15" s="11">
        <f t="shared" si="4"/>
        <v>0.8680000000000001</v>
      </c>
      <c r="O15" s="11">
        <f t="shared" si="1"/>
        <v>-3.5555555555555389E-2</v>
      </c>
      <c r="R15" s="9" t="s">
        <v>32</v>
      </c>
      <c r="S15" s="10">
        <f t="shared" si="6"/>
        <v>96</v>
      </c>
      <c r="T15" s="10">
        <f t="shared" si="6"/>
        <v>212</v>
      </c>
      <c r="U15" s="10">
        <f t="shared" si="6"/>
        <v>152</v>
      </c>
      <c r="V15" s="10">
        <f t="shared" si="6"/>
        <v>88</v>
      </c>
      <c r="W15" s="10">
        <f t="shared" si="6"/>
        <v>109.12</v>
      </c>
      <c r="X15" s="11">
        <f t="shared" si="7"/>
        <v>0.51471698113207554</v>
      </c>
      <c r="Y15" s="11">
        <f t="shared" si="9"/>
        <v>0.71789473684210525</v>
      </c>
      <c r="Z15" s="11">
        <f t="shared" si="8"/>
        <v>0.13666666666666671</v>
      </c>
    </row>
    <row r="16" spans="1:26" x14ac:dyDescent="0.3">
      <c r="A16" s="8" t="s">
        <v>35</v>
      </c>
      <c r="B16" s="9" t="s">
        <v>344</v>
      </c>
      <c r="C16" s="9" t="s">
        <v>16</v>
      </c>
      <c r="D16" s="9" t="s">
        <v>34</v>
      </c>
      <c r="E16" s="9" t="s">
        <v>616</v>
      </c>
      <c r="F16" s="9" t="s">
        <v>617</v>
      </c>
      <c r="G16" s="9" t="s">
        <v>621</v>
      </c>
      <c r="H16" s="10">
        <v>13</v>
      </c>
      <c r="I16" s="10">
        <v>20</v>
      </c>
      <c r="J16" s="10">
        <v>14</v>
      </c>
      <c r="K16" s="10">
        <v>6</v>
      </c>
      <c r="L16" s="10">
        <f t="shared" si="0"/>
        <v>7.4399999999999995</v>
      </c>
      <c r="M16" s="11">
        <f t="shared" si="3"/>
        <v>0.372</v>
      </c>
      <c r="N16" s="11">
        <f t="shared" si="4"/>
        <v>0.53142857142857136</v>
      </c>
      <c r="O16" s="11">
        <f t="shared" si="1"/>
        <v>-0.4276923076923077</v>
      </c>
      <c r="R16" s="9" t="s">
        <v>26</v>
      </c>
      <c r="S16" s="10">
        <f t="shared" si="6"/>
        <v>53</v>
      </c>
      <c r="T16" s="10">
        <f t="shared" si="6"/>
        <v>139</v>
      </c>
      <c r="U16" s="10">
        <f t="shared" si="6"/>
        <v>100</v>
      </c>
      <c r="V16" s="10">
        <f t="shared" si="6"/>
        <v>77</v>
      </c>
      <c r="W16" s="10">
        <f t="shared" si="6"/>
        <v>95.48</v>
      </c>
      <c r="X16" s="11">
        <f t="shared" si="7"/>
        <v>0.68690647482014389</v>
      </c>
      <c r="Y16" s="11">
        <f t="shared" si="9"/>
        <v>0.95480000000000009</v>
      </c>
      <c r="Z16" s="11">
        <f t="shared" si="8"/>
        <v>0.80150943396226426</v>
      </c>
    </row>
    <row r="17" spans="1:26" x14ac:dyDescent="0.3">
      <c r="A17" s="8" t="s">
        <v>45</v>
      </c>
      <c r="B17" s="9" t="s">
        <v>349</v>
      </c>
      <c r="C17" s="9" t="s">
        <v>16</v>
      </c>
      <c r="D17" s="9" t="s">
        <v>34</v>
      </c>
      <c r="E17" s="9" t="s">
        <v>616</v>
      </c>
      <c r="F17" s="9" t="s">
        <v>617</v>
      </c>
      <c r="G17" s="9" t="s">
        <v>621</v>
      </c>
      <c r="H17" s="10">
        <v>14</v>
      </c>
      <c r="I17" s="10">
        <v>28</v>
      </c>
      <c r="J17" s="10">
        <v>19</v>
      </c>
      <c r="K17" s="10">
        <v>22</v>
      </c>
      <c r="L17" s="10">
        <f t="shared" si="0"/>
        <v>27.28</v>
      </c>
      <c r="M17" s="11">
        <f t="shared" si="3"/>
        <v>0.97428571428571431</v>
      </c>
      <c r="N17" s="11">
        <f t="shared" si="4"/>
        <v>1.4357894736842105</v>
      </c>
      <c r="O17" s="11">
        <f t="shared" si="1"/>
        <v>0.94857142857142862</v>
      </c>
      <c r="R17" s="9" t="s">
        <v>30</v>
      </c>
      <c r="S17" s="10">
        <f t="shared" si="6"/>
        <v>56</v>
      </c>
      <c r="T17" s="10">
        <f t="shared" si="6"/>
        <v>157</v>
      </c>
      <c r="U17" s="10">
        <f t="shared" si="6"/>
        <v>114</v>
      </c>
      <c r="V17" s="10">
        <f t="shared" si="6"/>
        <v>66</v>
      </c>
      <c r="W17" s="10">
        <f t="shared" si="6"/>
        <v>81.839999999999989</v>
      </c>
      <c r="X17" s="11">
        <f t="shared" si="7"/>
        <v>0.52127388535031838</v>
      </c>
      <c r="Y17" s="11">
        <f t="shared" si="9"/>
        <v>0.71789473684210514</v>
      </c>
      <c r="Z17" s="11">
        <f t="shared" si="8"/>
        <v>0.46142857142857124</v>
      </c>
    </row>
    <row r="18" spans="1:26" x14ac:dyDescent="0.3">
      <c r="A18" s="8" t="s">
        <v>52</v>
      </c>
      <c r="B18" s="9" t="s">
        <v>356</v>
      </c>
      <c r="C18" s="9" t="s">
        <v>16</v>
      </c>
      <c r="D18" s="9" t="s">
        <v>40</v>
      </c>
      <c r="E18" s="9" t="s">
        <v>616</v>
      </c>
      <c r="F18" s="9" t="s">
        <v>617</v>
      </c>
      <c r="G18" s="9" t="s">
        <v>623</v>
      </c>
      <c r="H18" s="10">
        <v>11</v>
      </c>
      <c r="I18" s="10">
        <v>33</v>
      </c>
      <c r="J18" s="10">
        <v>23</v>
      </c>
      <c r="K18" s="10">
        <v>10</v>
      </c>
      <c r="L18" s="10">
        <f t="shared" si="0"/>
        <v>12.4</v>
      </c>
      <c r="M18" s="11">
        <f t="shared" si="3"/>
        <v>0.37575757575757579</v>
      </c>
      <c r="N18" s="11">
        <f t="shared" si="4"/>
        <v>0.53913043478260869</v>
      </c>
      <c r="O18" s="11">
        <f t="shared" si="1"/>
        <v>0.12727272727272732</v>
      </c>
      <c r="R18" s="9" t="s">
        <v>28</v>
      </c>
      <c r="S18" s="10">
        <f t="shared" si="6"/>
        <v>18</v>
      </c>
      <c r="T18" s="10">
        <f t="shared" si="6"/>
        <v>104</v>
      </c>
      <c r="U18" s="10">
        <f t="shared" si="6"/>
        <v>76</v>
      </c>
      <c r="V18" s="10">
        <f t="shared" si="6"/>
        <v>42</v>
      </c>
      <c r="W18" s="10">
        <f t="shared" si="6"/>
        <v>52.080000000000005</v>
      </c>
      <c r="X18" s="11">
        <f t="shared" si="7"/>
        <v>0.50076923076923086</v>
      </c>
      <c r="Y18" s="11">
        <f t="shared" si="9"/>
        <v>0.68526315789473691</v>
      </c>
      <c r="Z18" s="11">
        <f t="shared" si="8"/>
        <v>1.8933333333333335</v>
      </c>
    </row>
    <row r="19" spans="1:26" x14ac:dyDescent="0.3">
      <c r="A19" s="8" t="s">
        <v>47</v>
      </c>
      <c r="B19" s="9" t="s">
        <v>351</v>
      </c>
      <c r="C19" s="9" t="s">
        <v>16</v>
      </c>
      <c r="D19" s="9" t="s">
        <v>40</v>
      </c>
      <c r="E19" s="9" t="s">
        <v>616</v>
      </c>
      <c r="F19" s="9" t="s">
        <v>617</v>
      </c>
      <c r="G19" s="9" t="s">
        <v>623</v>
      </c>
      <c r="H19" s="10">
        <v>8</v>
      </c>
      <c r="I19" s="10">
        <v>26</v>
      </c>
      <c r="J19" s="10">
        <v>18</v>
      </c>
      <c r="K19" s="10">
        <v>14</v>
      </c>
      <c r="L19" s="10">
        <f t="shared" si="0"/>
        <v>17.360000000000003</v>
      </c>
      <c r="M19" s="11">
        <f t="shared" si="3"/>
        <v>0.66769230769230781</v>
      </c>
      <c r="N19" s="11">
        <f t="shared" si="4"/>
        <v>0.96444444444444466</v>
      </c>
      <c r="O19" s="11">
        <f t="shared" si="1"/>
        <v>1.1700000000000004</v>
      </c>
      <c r="R19" s="9" t="s">
        <v>40</v>
      </c>
      <c r="S19" s="10">
        <f t="shared" si="6"/>
        <v>94</v>
      </c>
      <c r="T19" s="10">
        <f t="shared" si="6"/>
        <v>231</v>
      </c>
      <c r="U19" s="10">
        <f t="shared" si="6"/>
        <v>162</v>
      </c>
      <c r="V19" s="10">
        <f t="shared" si="6"/>
        <v>125</v>
      </c>
      <c r="W19" s="10">
        <f t="shared" si="6"/>
        <v>154.99999999999997</v>
      </c>
      <c r="X19" s="11">
        <f t="shared" si="7"/>
        <v>0.67099567099567092</v>
      </c>
      <c r="Y19" s="11">
        <f t="shared" si="9"/>
        <v>0.95679012345678993</v>
      </c>
      <c r="Z19" s="11">
        <f t="shared" si="8"/>
        <v>0.64893617021276562</v>
      </c>
    </row>
    <row r="20" spans="1:26" x14ac:dyDescent="0.3">
      <c r="A20" s="8" t="s">
        <v>51</v>
      </c>
      <c r="B20" s="9" t="s">
        <v>355</v>
      </c>
      <c r="C20" s="9" t="s">
        <v>16</v>
      </c>
      <c r="D20" s="9" t="s">
        <v>44</v>
      </c>
      <c r="E20" s="9" t="s">
        <v>616</v>
      </c>
      <c r="F20" s="9" t="s">
        <v>617</v>
      </c>
      <c r="G20" s="9" t="s">
        <v>622</v>
      </c>
      <c r="H20" s="10">
        <v>9</v>
      </c>
      <c r="I20" s="10">
        <v>23</v>
      </c>
      <c r="J20" s="10">
        <v>16</v>
      </c>
      <c r="K20" s="10">
        <v>16</v>
      </c>
      <c r="L20" s="10">
        <f t="shared" si="0"/>
        <v>19.84</v>
      </c>
      <c r="M20" s="11">
        <f t="shared" si="3"/>
        <v>0.86260869565217391</v>
      </c>
      <c r="N20" s="11">
        <f t="shared" si="4"/>
        <v>1.24</v>
      </c>
      <c r="O20" s="11">
        <f t="shared" si="1"/>
        <v>1.2044444444444444</v>
      </c>
      <c r="R20" s="9" t="s">
        <v>34</v>
      </c>
      <c r="S20" s="10">
        <f t="shared" si="6"/>
        <v>63</v>
      </c>
      <c r="T20" s="10">
        <f t="shared" si="6"/>
        <v>224</v>
      </c>
      <c r="U20" s="10">
        <f t="shared" si="6"/>
        <v>158</v>
      </c>
      <c r="V20" s="10">
        <f t="shared" si="6"/>
        <v>87</v>
      </c>
      <c r="W20" s="10">
        <f t="shared" si="6"/>
        <v>107.87999999999998</v>
      </c>
      <c r="X20" s="11">
        <f t="shared" si="7"/>
        <v>0.48160714285714279</v>
      </c>
      <c r="Y20" s="11">
        <f t="shared" si="9"/>
        <v>0.68278481012658221</v>
      </c>
      <c r="Z20" s="11">
        <f t="shared" si="8"/>
        <v>0.71238095238095211</v>
      </c>
    </row>
    <row r="21" spans="1:26" x14ac:dyDescent="0.3">
      <c r="A21" s="8" t="s">
        <v>128</v>
      </c>
      <c r="B21" s="9" t="s">
        <v>426</v>
      </c>
      <c r="C21" s="9" t="s">
        <v>16</v>
      </c>
      <c r="D21" s="9" t="s">
        <v>42</v>
      </c>
      <c r="E21" s="9" t="s">
        <v>616</v>
      </c>
      <c r="F21" s="9" t="s">
        <v>617</v>
      </c>
      <c r="G21" s="9" t="s">
        <v>618</v>
      </c>
      <c r="H21" s="10">
        <v>12</v>
      </c>
      <c r="I21" s="10">
        <v>32</v>
      </c>
      <c r="J21" s="10">
        <v>23</v>
      </c>
      <c r="K21" s="10">
        <v>25</v>
      </c>
      <c r="L21" s="10">
        <f t="shared" si="0"/>
        <v>31</v>
      </c>
      <c r="M21" s="11">
        <f t="shared" si="3"/>
        <v>0.96875</v>
      </c>
      <c r="N21" s="11">
        <f t="shared" si="4"/>
        <v>1.3478260869565217</v>
      </c>
      <c r="O21" s="11">
        <f t="shared" si="1"/>
        <v>1.5833333333333333</v>
      </c>
      <c r="R21" s="9" t="s">
        <v>24</v>
      </c>
      <c r="S21" s="10">
        <f t="shared" si="6"/>
        <v>86</v>
      </c>
      <c r="T21" s="10">
        <f t="shared" si="6"/>
        <v>168</v>
      </c>
      <c r="U21" s="10">
        <f t="shared" si="6"/>
        <v>119</v>
      </c>
      <c r="V21" s="10">
        <f t="shared" si="6"/>
        <v>61</v>
      </c>
      <c r="W21" s="10">
        <f t="shared" si="6"/>
        <v>75.64</v>
      </c>
      <c r="X21" s="11">
        <f t="shared" si="7"/>
        <v>0.45023809523809522</v>
      </c>
      <c r="Y21" s="11">
        <f t="shared" si="9"/>
        <v>0.63563025210084034</v>
      </c>
      <c r="Z21" s="11">
        <f t="shared" si="8"/>
        <v>-0.12046511627906976</v>
      </c>
    </row>
    <row r="22" spans="1:26" x14ac:dyDescent="0.3">
      <c r="A22" s="8" t="s">
        <v>78</v>
      </c>
      <c r="B22" s="9" t="s">
        <v>380</v>
      </c>
      <c r="C22" s="9" t="s">
        <v>16</v>
      </c>
      <c r="D22" s="9" t="s">
        <v>38</v>
      </c>
      <c r="E22" s="9" t="s">
        <v>616</v>
      </c>
      <c r="F22" s="9" t="s">
        <v>617</v>
      </c>
      <c r="G22" s="9" t="s">
        <v>621</v>
      </c>
      <c r="H22" s="10">
        <v>4</v>
      </c>
      <c r="I22" s="10">
        <v>14</v>
      </c>
      <c r="J22" s="10">
        <v>10</v>
      </c>
      <c r="K22" s="10">
        <v>6</v>
      </c>
      <c r="L22" s="10">
        <f t="shared" si="0"/>
        <v>7.4399999999999995</v>
      </c>
      <c r="M22" s="11">
        <f t="shared" si="3"/>
        <v>0.53142857142857136</v>
      </c>
      <c r="N22" s="11">
        <f t="shared" si="4"/>
        <v>0.74399999999999999</v>
      </c>
      <c r="O22" s="11">
        <f t="shared" si="1"/>
        <v>0.85999999999999988</v>
      </c>
      <c r="R22" s="9" t="s">
        <v>38</v>
      </c>
      <c r="S22" s="10">
        <f t="shared" si="6"/>
        <v>73</v>
      </c>
      <c r="T22" s="10">
        <f t="shared" si="6"/>
        <v>176</v>
      </c>
      <c r="U22" s="10">
        <f t="shared" si="6"/>
        <v>126</v>
      </c>
      <c r="V22" s="10">
        <f t="shared" si="6"/>
        <v>103</v>
      </c>
      <c r="W22" s="10">
        <f t="shared" si="6"/>
        <v>127.72</v>
      </c>
      <c r="X22" s="11">
        <f t="shared" si="7"/>
        <v>0.72568181818181821</v>
      </c>
      <c r="Y22" s="11">
        <f t="shared" si="9"/>
        <v>1.0136507936507937</v>
      </c>
      <c r="Z22" s="11">
        <f t="shared" si="8"/>
        <v>0.74958904109589042</v>
      </c>
    </row>
    <row r="23" spans="1:26" x14ac:dyDescent="0.3">
      <c r="A23" s="8" t="s">
        <v>41</v>
      </c>
      <c r="B23" s="9" t="s">
        <v>347</v>
      </c>
      <c r="C23" s="9" t="s">
        <v>14</v>
      </c>
      <c r="D23" s="9" t="s">
        <v>32</v>
      </c>
      <c r="E23" s="9" t="s">
        <v>616</v>
      </c>
      <c r="F23" s="9" t="s">
        <v>617</v>
      </c>
      <c r="G23" s="9" t="s">
        <v>619</v>
      </c>
      <c r="H23" s="10">
        <v>26</v>
      </c>
      <c r="I23" s="10">
        <v>30</v>
      </c>
      <c r="J23" s="10">
        <v>22</v>
      </c>
      <c r="K23" s="10">
        <v>11</v>
      </c>
      <c r="L23" s="10">
        <f t="shared" si="0"/>
        <v>13.64</v>
      </c>
      <c r="M23" s="11">
        <f t="shared" si="3"/>
        <v>0.45466666666666666</v>
      </c>
      <c r="N23" s="11">
        <f t="shared" si="4"/>
        <v>0.62</v>
      </c>
      <c r="O23" s="11">
        <f t="shared" si="1"/>
        <v>-0.47538461538461535</v>
      </c>
      <c r="R23" s="9" t="s">
        <v>135</v>
      </c>
      <c r="S23" s="10">
        <f t="shared" si="6"/>
        <v>336</v>
      </c>
      <c r="T23" s="10">
        <f t="shared" si="6"/>
        <v>532</v>
      </c>
      <c r="U23" s="10">
        <f t="shared" si="6"/>
        <v>373</v>
      </c>
      <c r="V23" s="10">
        <f t="shared" si="6"/>
        <v>348</v>
      </c>
      <c r="W23" s="10">
        <f t="shared" si="6"/>
        <v>431.52</v>
      </c>
      <c r="X23" s="11">
        <f t="shared" si="7"/>
        <v>0.81112781954887214</v>
      </c>
      <c r="Y23" s="11">
        <f t="shared" si="9"/>
        <v>1.1568900804289544</v>
      </c>
      <c r="Z23" s="11">
        <f t="shared" si="8"/>
        <v>0.28428571428571425</v>
      </c>
    </row>
    <row r="24" spans="1:26" x14ac:dyDescent="0.3">
      <c r="A24" s="8" t="s">
        <v>19</v>
      </c>
      <c r="B24" s="9" t="s">
        <v>335</v>
      </c>
      <c r="C24" s="9" t="s">
        <v>14</v>
      </c>
      <c r="D24" s="9" t="s">
        <v>26</v>
      </c>
      <c r="E24" s="9" t="s">
        <v>616</v>
      </c>
      <c r="F24" s="9" t="s">
        <v>617</v>
      </c>
      <c r="G24" s="9" t="s">
        <v>619</v>
      </c>
      <c r="H24" s="10">
        <v>10</v>
      </c>
      <c r="I24" s="10">
        <v>21</v>
      </c>
      <c r="J24" s="10">
        <v>15</v>
      </c>
      <c r="K24" s="10">
        <v>20</v>
      </c>
      <c r="L24" s="10">
        <f t="shared" si="0"/>
        <v>24.8</v>
      </c>
      <c r="M24" s="11">
        <f t="shared" si="3"/>
        <v>1.180952380952381</v>
      </c>
      <c r="N24" s="11">
        <f t="shared" si="4"/>
        <v>1.6533333333333333</v>
      </c>
      <c r="O24" s="11">
        <f t="shared" si="1"/>
        <v>1.48</v>
      </c>
      <c r="R24" s="9" t="s">
        <v>137</v>
      </c>
      <c r="S24" s="10">
        <f t="shared" si="6"/>
        <v>313</v>
      </c>
      <c r="T24" s="10">
        <f t="shared" si="6"/>
        <v>615</v>
      </c>
      <c r="U24" s="10">
        <f t="shared" si="6"/>
        <v>429</v>
      </c>
      <c r="V24" s="10">
        <f t="shared" si="6"/>
        <v>347</v>
      </c>
      <c r="W24" s="10">
        <f t="shared" si="6"/>
        <v>430.28</v>
      </c>
      <c r="X24" s="11">
        <f t="shared" si="7"/>
        <v>0.69964227642276422</v>
      </c>
      <c r="Y24" s="11">
        <f t="shared" si="9"/>
        <v>1.0029836829836829</v>
      </c>
      <c r="Z24" s="11">
        <f t="shared" si="8"/>
        <v>0.37469648562300312</v>
      </c>
    </row>
    <row r="25" spans="1:26" x14ac:dyDescent="0.3">
      <c r="A25" s="8" t="s">
        <v>58</v>
      </c>
      <c r="B25" s="9" t="s">
        <v>362</v>
      </c>
      <c r="C25" s="9" t="s">
        <v>16</v>
      </c>
      <c r="D25" s="9" t="s">
        <v>36</v>
      </c>
      <c r="E25" s="9" t="s">
        <v>616</v>
      </c>
      <c r="F25" s="9" t="s">
        <v>617</v>
      </c>
      <c r="G25" s="9" t="s">
        <v>622</v>
      </c>
      <c r="H25" s="10">
        <v>6</v>
      </c>
      <c r="I25" s="10">
        <v>21</v>
      </c>
      <c r="J25" s="10">
        <v>14</v>
      </c>
      <c r="K25" s="10">
        <v>10</v>
      </c>
      <c r="L25" s="10">
        <f t="shared" si="0"/>
        <v>12.4</v>
      </c>
      <c r="M25" s="11">
        <f t="shared" si="3"/>
        <v>0.59047619047619049</v>
      </c>
      <c r="N25" s="11">
        <f t="shared" si="4"/>
        <v>0.88571428571428579</v>
      </c>
      <c r="O25" s="11">
        <f t="shared" si="1"/>
        <v>1.0666666666666667</v>
      </c>
      <c r="R25" s="9" t="s">
        <v>129</v>
      </c>
      <c r="S25" s="10">
        <f t="shared" si="6"/>
        <v>3</v>
      </c>
      <c r="T25" s="10">
        <f t="shared" si="6"/>
        <v>17</v>
      </c>
      <c r="U25" s="10">
        <f t="shared" si="6"/>
        <v>13</v>
      </c>
      <c r="V25" s="10">
        <f t="shared" si="6"/>
        <v>2</v>
      </c>
      <c r="W25" s="10">
        <f t="shared" si="6"/>
        <v>2.48</v>
      </c>
      <c r="X25" s="11">
        <f t="shared" si="7"/>
        <v>0.14588235294117646</v>
      </c>
      <c r="Y25" s="11">
        <f t="shared" si="9"/>
        <v>0.19076923076923077</v>
      </c>
      <c r="Z25" s="11">
        <f t="shared" si="8"/>
        <v>-0.17333333333333334</v>
      </c>
    </row>
    <row r="26" spans="1:26" x14ac:dyDescent="0.3">
      <c r="A26" s="8" t="s">
        <v>17</v>
      </c>
      <c r="B26" s="9" t="s">
        <v>334</v>
      </c>
      <c r="C26" s="9" t="s">
        <v>14</v>
      </c>
      <c r="D26" s="9" t="s">
        <v>24</v>
      </c>
      <c r="E26" s="9" t="s">
        <v>616</v>
      </c>
      <c r="F26" s="9" t="s">
        <v>617</v>
      </c>
      <c r="G26" s="9" t="s">
        <v>619</v>
      </c>
      <c r="H26" s="10">
        <v>10</v>
      </c>
      <c r="I26" s="10">
        <v>19</v>
      </c>
      <c r="J26" s="10">
        <v>14</v>
      </c>
      <c r="K26" s="10">
        <v>7</v>
      </c>
      <c r="L26" s="10">
        <f t="shared" si="0"/>
        <v>8.6800000000000015</v>
      </c>
      <c r="M26" s="11">
        <f t="shared" si="3"/>
        <v>0.45684210526315799</v>
      </c>
      <c r="N26" s="11">
        <f t="shared" si="4"/>
        <v>0.62000000000000011</v>
      </c>
      <c r="O26" s="11">
        <f t="shared" si="1"/>
        <v>-0.13199999999999984</v>
      </c>
      <c r="R26" s="4" t="s">
        <v>18</v>
      </c>
      <c r="S26" s="12">
        <f>SUM(S11:S25)</f>
        <v>1410</v>
      </c>
      <c r="T26" s="12">
        <f>SUM(T11:T25)</f>
        <v>3226</v>
      </c>
      <c r="U26" s="12">
        <f>SUM(U11:U25)</f>
        <v>2290</v>
      </c>
      <c r="V26" s="12">
        <f>SUM(V11:V25)</f>
        <v>1652</v>
      </c>
      <c r="W26" s="12">
        <f>SUM(W11:W25)</f>
        <v>2048.48</v>
      </c>
      <c r="X26" s="13">
        <f t="shared" si="7"/>
        <v>0.63499070055796658</v>
      </c>
      <c r="Y26" s="13">
        <f t="shared" si="9"/>
        <v>0.89453275109170305</v>
      </c>
      <c r="Z26" s="14">
        <f t="shared" si="8"/>
        <v>0.45282269503546102</v>
      </c>
    </row>
    <row r="27" spans="1:26" x14ac:dyDescent="0.3">
      <c r="A27" s="8" t="s">
        <v>49</v>
      </c>
      <c r="B27" s="9" t="s">
        <v>353</v>
      </c>
      <c r="C27" s="9" t="s">
        <v>16</v>
      </c>
      <c r="D27" s="9" t="s">
        <v>44</v>
      </c>
      <c r="E27" s="9" t="s">
        <v>616</v>
      </c>
      <c r="F27" s="9" t="s">
        <v>617</v>
      </c>
      <c r="G27" s="9" t="s">
        <v>622</v>
      </c>
      <c r="H27" s="10">
        <v>15</v>
      </c>
      <c r="I27" s="10">
        <v>18</v>
      </c>
      <c r="J27" s="10">
        <v>13</v>
      </c>
      <c r="K27" s="10">
        <v>10</v>
      </c>
      <c r="L27" s="10">
        <f t="shared" si="0"/>
        <v>12.4</v>
      </c>
      <c r="M27" s="11">
        <f t="shared" si="3"/>
        <v>0.68888888888888888</v>
      </c>
      <c r="N27" s="11">
        <f t="shared" si="4"/>
        <v>0.9538461538461539</v>
      </c>
      <c r="O27" s="11">
        <f t="shared" si="1"/>
        <v>-0.17333333333333331</v>
      </c>
    </row>
    <row r="28" spans="1:26" x14ac:dyDescent="0.3">
      <c r="A28" s="8" t="s">
        <v>79</v>
      </c>
      <c r="B28" s="9" t="s">
        <v>381</v>
      </c>
      <c r="C28" s="9" t="s">
        <v>16</v>
      </c>
      <c r="D28" s="9" t="s">
        <v>42</v>
      </c>
      <c r="E28" s="9" t="s">
        <v>616</v>
      </c>
      <c r="F28" s="9" t="s">
        <v>617</v>
      </c>
      <c r="G28" s="9" t="s">
        <v>618</v>
      </c>
      <c r="H28" s="10">
        <v>7</v>
      </c>
      <c r="I28" s="10">
        <v>17</v>
      </c>
      <c r="J28" s="10">
        <v>12</v>
      </c>
      <c r="K28" s="10">
        <v>6</v>
      </c>
      <c r="L28" s="10">
        <f t="shared" si="0"/>
        <v>7.4399999999999995</v>
      </c>
      <c r="M28" s="11">
        <f t="shared" si="3"/>
        <v>0.43764705882352939</v>
      </c>
      <c r="N28" s="11">
        <f t="shared" si="4"/>
        <v>0.62</v>
      </c>
      <c r="O28" s="11">
        <f t="shared" si="1"/>
        <v>6.2857142857142792E-2</v>
      </c>
    </row>
    <row r="29" spans="1:26" x14ac:dyDescent="0.3">
      <c r="A29" s="8" t="s">
        <v>157</v>
      </c>
      <c r="B29" s="9" t="s">
        <v>447</v>
      </c>
      <c r="C29" s="9" t="s">
        <v>16</v>
      </c>
      <c r="D29" s="9" t="s">
        <v>42</v>
      </c>
      <c r="E29" s="9" t="s">
        <v>616</v>
      </c>
      <c r="F29" s="9" t="s">
        <v>624</v>
      </c>
      <c r="G29" s="9" t="s">
        <v>618</v>
      </c>
      <c r="H29" s="10">
        <v>0</v>
      </c>
      <c r="I29" s="10">
        <v>12</v>
      </c>
      <c r="J29" s="10">
        <v>9</v>
      </c>
      <c r="K29" s="10">
        <v>0</v>
      </c>
      <c r="L29" s="10">
        <f t="shared" si="0"/>
        <v>0</v>
      </c>
      <c r="M29" s="11">
        <f t="shared" si="3"/>
        <v>0</v>
      </c>
      <c r="N29" s="11">
        <f t="shared" si="4"/>
        <v>0</v>
      </c>
      <c r="O29" s="11">
        <f t="shared" si="1"/>
        <v>0</v>
      </c>
    </row>
    <row r="30" spans="1:26" x14ac:dyDescent="0.3">
      <c r="A30" s="8" t="s">
        <v>15</v>
      </c>
      <c r="B30" s="9" t="s">
        <v>333</v>
      </c>
      <c r="C30" s="9" t="s">
        <v>14</v>
      </c>
      <c r="D30" s="9" t="s">
        <v>24</v>
      </c>
      <c r="E30" s="9" t="s">
        <v>616</v>
      </c>
      <c r="F30" s="9" t="s">
        <v>617</v>
      </c>
      <c r="G30" s="9" t="s">
        <v>619</v>
      </c>
      <c r="H30" s="10">
        <v>14</v>
      </c>
      <c r="I30" s="10">
        <v>19</v>
      </c>
      <c r="J30" s="10">
        <v>13</v>
      </c>
      <c r="K30" s="10">
        <v>8</v>
      </c>
      <c r="L30" s="10">
        <f t="shared" si="0"/>
        <v>9.92</v>
      </c>
      <c r="M30" s="11">
        <f t="shared" si="3"/>
        <v>0.52210526315789474</v>
      </c>
      <c r="N30" s="11">
        <f t="shared" si="4"/>
        <v>0.7630769230769231</v>
      </c>
      <c r="O30" s="11">
        <f t="shared" si="1"/>
        <v>-0.29142857142857143</v>
      </c>
    </row>
    <row r="31" spans="1:26" x14ac:dyDescent="0.3">
      <c r="A31" s="8" t="s">
        <v>71</v>
      </c>
      <c r="B31" s="9" t="s">
        <v>373</v>
      </c>
      <c r="C31" s="9" t="s">
        <v>16</v>
      </c>
      <c r="D31" s="9" t="s">
        <v>44</v>
      </c>
      <c r="E31" s="9" t="s">
        <v>616</v>
      </c>
      <c r="F31" s="9" t="s">
        <v>617</v>
      </c>
      <c r="G31" s="9" t="s">
        <v>622</v>
      </c>
      <c r="H31" s="10">
        <v>4</v>
      </c>
      <c r="I31" s="10">
        <v>20</v>
      </c>
      <c r="J31" s="10">
        <v>14</v>
      </c>
      <c r="K31" s="10">
        <v>5</v>
      </c>
      <c r="L31" s="10">
        <f t="shared" si="0"/>
        <v>6.2</v>
      </c>
      <c r="M31" s="11">
        <f t="shared" si="3"/>
        <v>0.31</v>
      </c>
      <c r="N31" s="11">
        <f t="shared" si="4"/>
        <v>0.44285714285714289</v>
      </c>
      <c r="O31" s="11">
        <f t="shared" si="1"/>
        <v>0.55000000000000004</v>
      </c>
    </row>
    <row r="32" spans="1:26" x14ac:dyDescent="0.3">
      <c r="A32" s="8" t="s">
        <v>48</v>
      </c>
      <c r="B32" s="9" t="s">
        <v>352</v>
      </c>
      <c r="C32" s="9" t="s">
        <v>16</v>
      </c>
      <c r="D32" s="9" t="s">
        <v>42</v>
      </c>
      <c r="E32" s="9" t="s">
        <v>616</v>
      </c>
      <c r="F32" s="9" t="s">
        <v>617</v>
      </c>
      <c r="G32" s="9" t="s">
        <v>618</v>
      </c>
      <c r="H32" s="10">
        <v>5</v>
      </c>
      <c r="I32" s="10">
        <v>18</v>
      </c>
      <c r="J32" s="10">
        <v>13</v>
      </c>
      <c r="K32" s="10">
        <v>11</v>
      </c>
      <c r="L32" s="10">
        <f t="shared" si="0"/>
        <v>13.64</v>
      </c>
      <c r="M32" s="11">
        <f t="shared" si="3"/>
        <v>0.75777777777777777</v>
      </c>
      <c r="N32" s="11">
        <f t="shared" si="4"/>
        <v>1.0492307692307692</v>
      </c>
      <c r="O32" s="11">
        <f t="shared" si="1"/>
        <v>1.7280000000000002</v>
      </c>
      <c r="Z32" s="15"/>
    </row>
    <row r="33" spans="1:15" x14ac:dyDescent="0.3">
      <c r="A33" s="8" t="s">
        <v>54</v>
      </c>
      <c r="B33" s="9" t="s">
        <v>358</v>
      </c>
      <c r="C33" s="9" t="s">
        <v>14</v>
      </c>
      <c r="D33" s="9" t="s">
        <v>30</v>
      </c>
      <c r="E33" s="9" t="s">
        <v>616</v>
      </c>
      <c r="F33" s="9" t="s">
        <v>617</v>
      </c>
      <c r="G33" s="9" t="s">
        <v>620</v>
      </c>
      <c r="H33" s="10">
        <v>9</v>
      </c>
      <c r="I33" s="10">
        <v>12</v>
      </c>
      <c r="J33" s="10">
        <v>8</v>
      </c>
      <c r="K33" s="10">
        <v>10</v>
      </c>
      <c r="L33" s="10">
        <f t="shared" si="0"/>
        <v>12.4</v>
      </c>
      <c r="M33" s="11">
        <f t="shared" si="3"/>
        <v>1.0333333333333334</v>
      </c>
      <c r="N33" s="11">
        <f t="shared" si="4"/>
        <v>1.55</v>
      </c>
      <c r="O33" s="11">
        <f t="shared" si="1"/>
        <v>0.37777777777777782</v>
      </c>
    </row>
    <row r="34" spans="1:15" x14ac:dyDescent="0.3">
      <c r="A34" s="8" t="s">
        <v>107</v>
      </c>
      <c r="B34" s="9" t="s">
        <v>409</v>
      </c>
      <c r="C34" s="9" t="s">
        <v>16</v>
      </c>
      <c r="D34" s="9" t="s">
        <v>34</v>
      </c>
      <c r="E34" s="9" t="s">
        <v>616</v>
      </c>
      <c r="F34" s="9" t="s">
        <v>617</v>
      </c>
      <c r="G34" s="9" t="s">
        <v>621</v>
      </c>
      <c r="H34" s="10">
        <v>2</v>
      </c>
      <c r="I34" s="10">
        <v>19</v>
      </c>
      <c r="J34" s="10">
        <v>13</v>
      </c>
      <c r="K34" s="10">
        <v>2</v>
      </c>
      <c r="L34" s="10">
        <f t="shared" si="0"/>
        <v>2.48</v>
      </c>
      <c r="M34" s="11">
        <f t="shared" si="3"/>
        <v>0.13052631578947368</v>
      </c>
      <c r="N34" s="11">
        <f t="shared" si="4"/>
        <v>0.19076923076923077</v>
      </c>
      <c r="O34" s="11">
        <f t="shared" si="1"/>
        <v>0.24</v>
      </c>
    </row>
    <row r="35" spans="1:15" x14ac:dyDescent="0.3">
      <c r="A35" s="8" t="s">
        <v>25</v>
      </c>
      <c r="B35" s="9" t="s">
        <v>339</v>
      </c>
      <c r="C35" s="9" t="s">
        <v>14</v>
      </c>
      <c r="D35" s="9" t="s">
        <v>26</v>
      </c>
      <c r="E35" s="9" t="s">
        <v>616</v>
      </c>
      <c r="F35" s="9" t="s">
        <v>617</v>
      </c>
      <c r="G35" s="9" t="s">
        <v>619</v>
      </c>
      <c r="H35" s="10">
        <v>9</v>
      </c>
      <c r="I35" s="10">
        <v>18</v>
      </c>
      <c r="J35" s="10">
        <v>13</v>
      </c>
      <c r="K35" s="10">
        <v>9</v>
      </c>
      <c r="L35" s="10">
        <f t="shared" si="0"/>
        <v>11.16</v>
      </c>
      <c r="M35" s="11">
        <f t="shared" si="3"/>
        <v>0.62</v>
      </c>
      <c r="N35" s="11">
        <f t="shared" si="4"/>
        <v>0.8584615384615385</v>
      </c>
      <c r="O35" s="11">
        <f t="shared" si="1"/>
        <v>0.24000000000000002</v>
      </c>
    </row>
    <row r="36" spans="1:15" x14ac:dyDescent="0.3">
      <c r="A36" s="8" t="s">
        <v>140</v>
      </c>
      <c r="B36" s="9" t="s">
        <v>430</v>
      </c>
      <c r="C36" s="9" t="s">
        <v>14</v>
      </c>
      <c r="D36" s="9" t="s">
        <v>26</v>
      </c>
      <c r="E36" s="9" t="s">
        <v>616</v>
      </c>
      <c r="F36" s="9" t="s">
        <v>617</v>
      </c>
      <c r="G36" s="9" t="s">
        <v>619</v>
      </c>
      <c r="H36" s="10">
        <v>6</v>
      </c>
      <c r="I36" s="10">
        <v>17</v>
      </c>
      <c r="J36" s="10">
        <v>12</v>
      </c>
      <c r="K36" s="10">
        <v>11</v>
      </c>
      <c r="L36" s="10">
        <f t="shared" si="0"/>
        <v>13.64</v>
      </c>
      <c r="M36" s="11">
        <f t="shared" si="3"/>
        <v>0.8023529411764706</v>
      </c>
      <c r="N36" s="11">
        <f t="shared" si="4"/>
        <v>1.1366666666666667</v>
      </c>
      <c r="O36" s="11">
        <f t="shared" si="1"/>
        <v>1.2733333333333334</v>
      </c>
    </row>
    <row r="37" spans="1:15" x14ac:dyDescent="0.3">
      <c r="A37" s="8" t="s">
        <v>76</v>
      </c>
      <c r="B37" s="9" t="s">
        <v>378</v>
      </c>
      <c r="C37" s="9" t="s">
        <v>16</v>
      </c>
      <c r="D37" s="9" t="s">
        <v>22</v>
      </c>
      <c r="E37" s="9" t="s">
        <v>616</v>
      </c>
      <c r="F37" s="9" t="s">
        <v>617</v>
      </c>
      <c r="G37" s="9" t="s">
        <v>618</v>
      </c>
      <c r="H37" s="10">
        <v>5</v>
      </c>
      <c r="I37" s="10">
        <v>14</v>
      </c>
      <c r="J37" s="10">
        <v>10</v>
      </c>
      <c r="K37" s="10">
        <v>12</v>
      </c>
      <c r="L37" s="10">
        <f t="shared" si="0"/>
        <v>14.879999999999999</v>
      </c>
      <c r="M37" s="11">
        <f t="shared" si="3"/>
        <v>1.0628571428571427</v>
      </c>
      <c r="N37" s="11">
        <f t="shared" si="4"/>
        <v>1.488</v>
      </c>
      <c r="O37" s="11">
        <f t="shared" si="1"/>
        <v>1.9759999999999998</v>
      </c>
    </row>
    <row r="38" spans="1:15" x14ac:dyDescent="0.3">
      <c r="A38" s="8" t="s">
        <v>46</v>
      </c>
      <c r="B38" s="9" t="s">
        <v>350</v>
      </c>
      <c r="C38" s="9" t="s">
        <v>16</v>
      </c>
      <c r="D38" s="9" t="s">
        <v>22</v>
      </c>
      <c r="E38" s="9" t="s">
        <v>616</v>
      </c>
      <c r="F38" s="9" t="s">
        <v>617</v>
      </c>
      <c r="G38" s="9" t="s">
        <v>618</v>
      </c>
      <c r="H38" s="10">
        <v>10</v>
      </c>
      <c r="I38" s="10">
        <v>17</v>
      </c>
      <c r="J38" s="10">
        <v>12</v>
      </c>
      <c r="K38" s="10">
        <v>10</v>
      </c>
      <c r="L38" s="10">
        <f t="shared" si="0"/>
        <v>12.4</v>
      </c>
      <c r="M38" s="11">
        <f t="shared" si="3"/>
        <v>0.72941176470588243</v>
      </c>
      <c r="N38" s="11">
        <f t="shared" si="4"/>
        <v>1.0333333333333334</v>
      </c>
      <c r="O38" s="11">
        <f t="shared" si="1"/>
        <v>0.24000000000000005</v>
      </c>
    </row>
    <row r="39" spans="1:15" x14ac:dyDescent="0.3">
      <c r="A39" s="8" t="s">
        <v>124</v>
      </c>
      <c r="B39" s="9" t="s">
        <v>422</v>
      </c>
      <c r="C39" s="9" t="s">
        <v>16</v>
      </c>
      <c r="D39" s="9" t="s">
        <v>38</v>
      </c>
      <c r="E39" s="9" t="s">
        <v>616</v>
      </c>
      <c r="F39" s="9" t="s">
        <v>617</v>
      </c>
      <c r="G39" s="9" t="s">
        <v>621</v>
      </c>
      <c r="H39" s="10">
        <v>11</v>
      </c>
      <c r="I39" s="10">
        <v>22</v>
      </c>
      <c r="J39" s="10">
        <v>16</v>
      </c>
      <c r="K39" s="10">
        <v>12</v>
      </c>
      <c r="L39" s="10">
        <f t="shared" si="0"/>
        <v>14.879999999999999</v>
      </c>
      <c r="M39" s="11">
        <f t="shared" si="3"/>
        <v>0.67636363636363628</v>
      </c>
      <c r="N39" s="11">
        <f t="shared" si="4"/>
        <v>0.92999999999999994</v>
      </c>
      <c r="O39" s="11">
        <f t="shared" si="1"/>
        <v>0.35272727272727261</v>
      </c>
    </row>
    <row r="40" spans="1:15" x14ac:dyDescent="0.3">
      <c r="A40" s="8" t="s">
        <v>85</v>
      </c>
      <c r="B40" s="9" t="s">
        <v>387</v>
      </c>
      <c r="C40" s="9" t="s">
        <v>16</v>
      </c>
      <c r="D40" s="9" t="s">
        <v>34</v>
      </c>
      <c r="E40" s="9" t="s">
        <v>616</v>
      </c>
      <c r="F40" s="9" t="s">
        <v>617</v>
      </c>
      <c r="G40" s="9" t="s">
        <v>621</v>
      </c>
      <c r="H40" s="10">
        <v>6</v>
      </c>
      <c r="I40" s="10">
        <v>19</v>
      </c>
      <c r="J40" s="10">
        <v>13</v>
      </c>
      <c r="K40" s="10">
        <v>9</v>
      </c>
      <c r="L40" s="10">
        <f t="shared" si="0"/>
        <v>11.16</v>
      </c>
      <c r="M40" s="11">
        <f t="shared" si="3"/>
        <v>0.58736842105263154</v>
      </c>
      <c r="N40" s="11">
        <f t="shared" si="4"/>
        <v>0.8584615384615385</v>
      </c>
      <c r="O40" s="11">
        <f t="shared" si="1"/>
        <v>0.86</v>
      </c>
    </row>
    <row r="41" spans="1:15" x14ac:dyDescent="0.3">
      <c r="A41" s="8" t="s">
        <v>144</v>
      </c>
      <c r="B41" s="9" t="s">
        <v>434</v>
      </c>
      <c r="C41" s="9" t="s">
        <v>16</v>
      </c>
      <c r="D41" s="9" t="s">
        <v>40</v>
      </c>
      <c r="E41" s="9" t="s">
        <v>616</v>
      </c>
      <c r="F41" s="9" t="s">
        <v>617</v>
      </c>
      <c r="G41" s="9" t="s">
        <v>623</v>
      </c>
      <c r="H41" s="10">
        <v>5</v>
      </c>
      <c r="I41" s="10">
        <v>12</v>
      </c>
      <c r="J41" s="10">
        <v>9</v>
      </c>
      <c r="K41" s="10">
        <v>10</v>
      </c>
      <c r="L41" s="10">
        <f t="shared" si="0"/>
        <v>12.4</v>
      </c>
      <c r="M41" s="11">
        <f t="shared" si="3"/>
        <v>1.0333333333333334</v>
      </c>
      <c r="N41" s="11">
        <f t="shared" si="4"/>
        <v>1.3777777777777778</v>
      </c>
      <c r="O41" s="11">
        <f t="shared" si="1"/>
        <v>1.48</v>
      </c>
    </row>
    <row r="42" spans="1:15" x14ac:dyDescent="0.3">
      <c r="A42" s="8" t="s">
        <v>90</v>
      </c>
      <c r="B42" s="9" t="s">
        <v>392</v>
      </c>
      <c r="C42" s="9" t="s">
        <v>16</v>
      </c>
      <c r="D42" s="9" t="s">
        <v>34</v>
      </c>
      <c r="E42" s="9" t="s">
        <v>616</v>
      </c>
      <c r="F42" s="9" t="s">
        <v>617</v>
      </c>
      <c r="G42" s="9" t="s">
        <v>621</v>
      </c>
      <c r="H42" s="10">
        <v>2</v>
      </c>
      <c r="I42" s="10">
        <v>18</v>
      </c>
      <c r="J42" s="10">
        <v>13</v>
      </c>
      <c r="K42" s="10">
        <v>4</v>
      </c>
      <c r="L42" s="10">
        <f t="shared" si="0"/>
        <v>4.96</v>
      </c>
      <c r="M42" s="11">
        <f t="shared" si="3"/>
        <v>0.27555555555555555</v>
      </c>
      <c r="N42" s="11">
        <f t="shared" si="4"/>
        <v>0.38153846153846155</v>
      </c>
      <c r="O42" s="11">
        <f t="shared" si="1"/>
        <v>1.48</v>
      </c>
    </row>
    <row r="43" spans="1:15" x14ac:dyDescent="0.3">
      <c r="A43" s="8" t="s">
        <v>152</v>
      </c>
      <c r="B43" s="9" t="s">
        <v>442</v>
      </c>
      <c r="C43" s="9" t="s">
        <v>16</v>
      </c>
      <c r="D43" s="9" t="s">
        <v>40</v>
      </c>
      <c r="E43" s="9" t="s">
        <v>616</v>
      </c>
      <c r="F43" s="9" t="s">
        <v>617</v>
      </c>
      <c r="G43" s="9" t="s">
        <v>623</v>
      </c>
      <c r="H43" s="10">
        <v>7</v>
      </c>
      <c r="I43" s="10">
        <v>19</v>
      </c>
      <c r="J43" s="10">
        <v>13</v>
      </c>
      <c r="K43" s="10">
        <v>4</v>
      </c>
      <c r="L43" s="10">
        <f t="shared" si="0"/>
        <v>4.96</v>
      </c>
      <c r="M43" s="11">
        <f t="shared" si="3"/>
        <v>0.26105263157894737</v>
      </c>
      <c r="N43" s="11">
        <f t="shared" si="4"/>
        <v>0.38153846153846155</v>
      </c>
      <c r="O43" s="11">
        <f t="shared" si="1"/>
        <v>-0.29142857142857143</v>
      </c>
    </row>
    <row r="44" spans="1:15" x14ac:dyDescent="0.3">
      <c r="A44" s="8" t="s">
        <v>159</v>
      </c>
      <c r="B44" s="9" t="s">
        <v>449</v>
      </c>
      <c r="C44" s="9" t="s">
        <v>16</v>
      </c>
      <c r="D44" s="9" t="s">
        <v>40</v>
      </c>
      <c r="E44" s="9" t="s">
        <v>616</v>
      </c>
      <c r="F44" s="9" t="s">
        <v>617</v>
      </c>
      <c r="G44" s="9" t="s">
        <v>623</v>
      </c>
      <c r="H44" s="10">
        <v>8</v>
      </c>
      <c r="I44" s="10">
        <v>15</v>
      </c>
      <c r="J44" s="10">
        <v>10</v>
      </c>
      <c r="K44" s="10">
        <v>12</v>
      </c>
      <c r="L44" s="10">
        <f t="shared" si="0"/>
        <v>14.879999999999999</v>
      </c>
      <c r="M44" s="11">
        <f t="shared" si="3"/>
        <v>0.99199999999999988</v>
      </c>
      <c r="N44" s="11">
        <f t="shared" si="4"/>
        <v>1.488</v>
      </c>
      <c r="O44" s="11">
        <f t="shared" si="1"/>
        <v>0.85999999999999988</v>
      </c>
    </row>
    <row r="45" spans="1:15" x14ac:dyDescent="0.3">
      <c r="A45" s="8" t="s">
        <v>56</v>
      </c>
      <c r="B45" s="9" t="s">
        <v>360</v>
      </c>
      <c r="C45" s="9" t="s">
        <v>16</v>
      </c>
      <c r="D45" s="9" t="s">
        <v>44</v>
      </c>
      <c r="E45" s="9" t="s">
        <v>616</v>
      </c>
      <c r="F45" s="9" t="s">
        <v>617</v>
      </c>
      <c r="G45" s="9" t="s">
        <v>622</v>
      </c>
      <c r="H45" s="10">
        <v>4</v>
      </c>
      <c r="I45" s="10">
        <v>20</v>
      </c>
      <c r="J45" s="10">
        <v>15</v>
      </c>
      <c r="K45" s="10">
        <v>15</v>
      </c>
      <c r="L45" s="10">
        <f t="shared" si="0"/>
        <v>18.599999999999998</v>
      </c>
      <c r="M45" s="11">
        <f t="shared" si="3"/>
        <v>0.92999999999999994</v>
      </c>
      <c r="N45" s="11">
        <f t="shared" si="4"/>
        <v>1.2399999999999998</v>
      </c>
      <c r="O45" s="11">
        <f t="shared" si="1"/>
        <v>3.6499999999999995</v>
      </c>
    </row>
    <row r="46" spans="1:15" x14ac:dyDescent="0.3">
      <c r="A46" s="8" t="s">
        <v>148</v>
      </c>
      <c r="B46" s="9" t="s">
        <v>438</v>
      </c>
      <c r="C46" s="9" t="s">
        <v>14</v>
      </c>
      <c r="D46" s="9" t="s">
        <v>30</v>
      </c>
      <c r="E46" s="9" t="s">
        <v>616</v>
      </c>
      <c r="F46" s="9" t="s">
        <v>617</v>
      </c>
      <c r="G46" s="9" t="s">
        <v>620</v>
      </c>
      <c r="H46" s="10">
        <v>4</v>
      </c>
      <c r="I46" s="10">
        <v>18</v>
      </c>
      <c r="J46" s="10">
        <v>12</v>
      </c>
      <c r="K46" s="10">
        <v>4</v>
      </c>
      <c r="L46" s="10">
        <f t="shared" si="0"/>
        <v>4.96</v>
      </c>
      <c r="M46" s="11">
        <f t="shared" si="3"/>
        <v>0.27555555555555555</v>
      </c>
      <c r="N46" s="11">
        <f t="shared" si="4"/>
        <v>0.41333333333333333</v>
      </c>
      <c r="O46" s="11">
        <f t="shared" si="1"/>
        <v>0.24</v>
      </c>
    </row>
    <row r="47" spans="1:15" x14ac:dyDescent="0.3">
      <c r="A47" s="8" t="s">
        <v>153</v>
      </c>
      <c r="B47" s="9" t="s">
        <v>443</v>
      </c>
      <c r="C47" s="9" t="s">
        <v>16</v>
      </c>
      <c r="D47" s="9" t="s">
        <v>40</v>
      </c>
      <c r="E47" s="9" t="s">
        <v>616</v>
      </c>
      <c r="F47" s="9" t="s">
        <v>617</v>
      </c>
      <c r="G47" s="9" t="s">
        <v>623</v>
      </c>
      <c r="H47" s="10">
        <v>5</v>
      </c>
      <c r="I47" s="10">
        <v>9</v>
      </c>
      <c r="J47" s="10">
        <v>7</v>
      </c>
      <c r="K47" s="10">
        <v>12</v>
      </c>
      <c r="L47" s="10">
        <f t="shared" si="0"/>
        <v>14.879999999999999</v>
      </c>
      <c r="M47" s="11">
        <f t="shared" si="3"/>
        <v>1.6533333333333333</v>
      </c>
      <c r="N47" s="11">
        <f t="shared" si="4"/>
        <v>2.1257142857142854</v>
      </c>
      <c r="O47" s="11">
        <f t="shared" si="1"/>
        <v>1.9759999999999998</v>
      </c>
    </row>
    <row r="48" spans="1:15" x14ac:dyDescent="0.3">
      <c r="A48" s="8" t="s">
        <v>92</v>
      </c>
      <c r="B48" s="9" t="s">
        <v>394</v>
      </c>
      <c r="C48" s="9" t="s">
        <v>16</v>
      </c>
      <c r="D48" s="9" t="s">
        <v>34</v>
      </c>
      <c r="E48" s="9" t="s">
        <v>616</v>
      </c>
      <c r="F48" s="9" t="s">
        <v>617</v>
      </c>
      <c r="G48" s="9" t="s">
        <v>621</v>
      </c>
      <c r="H48" s="10">
        <v>7</v>
      </c>
      <c r="I48" s="10">
        <v>15</v>
      </c>
      <c r="J48" s="10">
        <v>11</v>
      </c>
      <c r="K48" s="10">
        <v>16</v>
      </c>
      <c r="L48" s="10">
        <f t="shared" si="0"/>
        <v>19.84</v>
      </c>
      <c r="M48" s="11">
        <f t="shared" si="3"/>
        <v>1.3226666666666667</v>
      </c>
      <c r="N48" s="11">
        <f t="shared" si="4"/>
        <v>1.8036363636363637</v>
      </c>
      <c r="O48" s="11">
        <f t="shared" si="1"/>
        <v>1.8342857142857143</v>
      </c>
    </row>
    <row r="49" spans="1:15" x14ac:dyDescent="0.3">
      <c r="A49" s="8" t="s">
        <v>131</v>
      </c>
      <c r="B49" s="9" t="s">
        <v>427</v>
      </c>
      <c r="C49" s="9" t="s">
        <v>16</v>
      </c>
      <c r="D49" s="9" t="s">
        <v>36</v>
      </c>
      <c r="E49" s="9" t="s">
        <v>616</v>
      </c>
      <c r="F49" s="9" t="s">
        <v>617</v>
      </c>
      <c r="G49" s="9" t="s">
        <v>622</v>
      </c>
      <c r="H49" s="10">
        <v>6</v>
      </c>
      <c r="I49" s="10">
        <v>16</v>
      </c>
      <c r="J49" s="10">
        <v>11</v>
      </c>
      <c r="K49" s="10">
        <v>8</v>
      </c>
      <c r="L49" s="10">
        <f t="shared" si="0"/>
        <v>9.92</v>
      </c>
      <c r="M49" s="11">
        <f t="shared" si="3"/>
        <v>0.62</v>
      </c>
      <c r="N49" s="11">
        <f t="shared" si="4"/>
        <v>0.90181818181818185</v>
      </c>
      <c r="O49" s="11">
        <f t="shared" si="1"/>
        <v>0.65333333333333332</v>
      </c>
    </row>
    <row r="50" spans="1:15" x14ac:dyDescent="0.3">
      <c r="A50" s="8" t="s">
        <v>53</v>
      </c>
      <c r="B50" s="9" t="s">
        <v>357</v>
      </c>
      <c r="C50" s="9" t="s">
        <v>16</v>
      </c>
      <c r="D50" s="9" t="s">
        <v>44</v>
      </c>
      <c r="E50" s="9" t="s">
        <v>616</v>
      </c>
      <c r="F50" s="9" t="s">
        <v>617</v>
      </c>
      <c r="G50" s="9" t="s">
        <v>622</v>
      </c>
      <c r="H50" s="10">
        <v>5</v>
      </c>
      <c r="I50" s="10">
        <v>17</v>
      </c>
      <c r="J50" s="10">
        <v>12</v>
      </c>
      <c r="K50" s="10">
        <v>11</v>
      </c>
      <c r="L50" s="10">
        <f t="shared" si="0"/>
        <v>13.64</v>
      </c>
      <c r="M50" s="11">
        <f t="shared" si="3"/>
        <v>0.8023529411764706</v>
      </c>
      <c r="N50" s="11">
        <f t="shared" si="4"/>
        <v>1.1366666666666667</v>
      </c>
      <c r="O50" s="11">
        <f t="shared" si="1"/>
        <v>1.7280000000000002</v>
      </c>
    </row>
    <row r="51" spans="1:15" x14ac:dyDescent="0.3">
      <c r="A51" s="8" t="s">
        <v>143</v>
      </c>
      <c r="B51" s="9" t="s">
        <v>433</v>
      </c>
      <c r="C51" s="9" t="s">
        <v>16</v>
      </c>
      <c r="D51" s="9" t="s">
        <v>22</v>
      </c>
      <c r="E51" s="9" t="s">
        <v>616</v>
      </c>
      <c r="F51" s="9" t="s">
        <v>617</v>
      </c>
      <c r="G51" s="9" t="s">
        <v>618</v>
      </c>
      <c r="H51" s="10">
        <v>3</v>
      </c>
      <c r="I51" s="10">
        <v>15</v>
      </c>
      <c r="J51" s="10">
        <v>11</v>
      </c>
      <c r="K51" s="10">
        <v>7</v>
      </c>
      <c r="L51" s="10">
        <f t="shared" si="0"/>
        <v>8.6800000000000015</v>
      </c>
      <c r="M51" s="11">
        <f t="shared" si="3"/>
        <v>0.57866666666666677</v>
      </c>
      <c r="N51" s="11">
        <f t="shared" si="4"/>
        <v>0.78909090909090918</v>
      </c>
      <c r="O51" s="11">
        <f t="shared" si="1"/>
        <v>1.8933333333333338</v>
      </c>
    </row>
    <row r="52" spans="1:15" x14ac:dyDescent="0.3">
      <c r="A52" s="8" t="s">
        <v>83</v>
      </c>
      <c r="B52" s="9" t="s">
        <v>385</v>
      </c>
      <c r="C52" s="9" t="s">
        <v>14</v>
      </c>
      <c r="D52" s="9" t="s">
        <v>32</v>
      </c>
      <c r="E52" s="9" t="s">
        <v>616</v>
      </c>
      <c r="F52" s="9" t="s">
        <v>617</v>
      </c>
      <c r="G52" s="9" t="s">
        <v>619</v>
      </c>
      <c r="H52" s="10">
        <v>3</v>
      </c>
      <c r="I52" s="10">
        <v>10</v>
      </c>
      <c r="J52" s="10">
        <v>7</v>
      </c>
      <c r="K52" s="10">
        <v>6</v>
      </c>
      <c r="L52" s="10">
        <f t="shared" si="0"/>
        <v>7.4399999999999995</v>
      </c>
      <c r="M52" s="11">
        <f t="shared" si="3"/>
        <v>0.74399999999999999</v>
      </c>
      <c r="N52" s="11">
        <f t="shared" si="4"/>
        <v>1.0628571428571427</v>
      </c>
      <c r="O52" s="11">
        <f t="shared" si="1"/>
        <v>1.4799999999999998</v>
      </c>
    </row>
    <row r="53" spans="1:15" x14ac:dyDescent="0.3">
      <c r="A53" s="8" t="s">
        <v>125</v>
      </c>
      <c r="B53" s="9" t="s">
        <v>423</v>
      </c>
      <c r="C53" s="9" t="s">
        <v>16</v>
      </c>
      <c r="D53" s="9" t="s">
        <v>36</v>
      </c>
      <c r="E53" s="9" t="s">
        <v>616</v>
      </c>
      <c r="F53" s="9" t="s">
        <v>617</v>
      </c>
      <c r="G53" s="9" t="s">
        <v>622</v>
      </c>
      <c r="H53" s="10">
        <v>8</v>
      </c>
      <c r="I53" s="10">
        <v>14</v>
      </c>
      <c r="J53" s="10">
        <v>10</v>
      </c>
      <c r="K53" s="10">
        <v>13</v>
      </c>
      <c r="L53" s="10">
        <f t="shared" si="0"/>
        <v>16.12</v>
      </c>
      <c r="M53" s="11">
        <f t="shared" si="3"/>
        <v>1.1514285714285715</v>
      </c>
      <c r="N53" s="11">
        <f t="shared" si="4"/>
        <v>1.6120000000000001</v>
      </c>
      <c r="O53" s="11">
        <f t="shared" si="1"/>
        <v>1.0150000000000001</v>
      </c>
    </row>
    <row r="54" spans="1:15" x14ac:dyDescent="0.3">
      <c r="A54" s="8" t="s">
        <v>161</v>
      </c>
      <c r="B54" s="9" t="s">
        <v>451</v>
      </c>
      <c r="C54" s="9" t="s">
        <v>16</v>
      </c>
      <c r="D54" s="9" t="s">
        <v>36</v>
      </c>
      <c r="E54" s="9" t="s">
        <v>616</v>
      </c>
      <c r="F54" s="9" t="s">
        <v>617</v>
      </c>
      <c r="G54" s="9" t="s">
        <v>622</v>
      </c>
      <c r="H54" s="10">
        <v>2</v>
      </c>
      <c r="I54" s="10">
        <v>11</v>
      </c>
      <c r="J54" s="10">
        <v>8</v>
      </c>
      <c r="K54" s="10">
        <v>4</v>
      </c>
      <c r="L54" s="10">
        <f t="shared" si="0"/>
        <v>4.96</v>
      </c>
      <c r="M54" s="11">
        <f t="shared" si="3"/>
        <v>0.45090909090909093</v>
      </c>
      <c r="N54" s="11">
        <f t="shared" si="4"/>
        <v>0.62</v>
      </c>
      <c r="O54" s="11">
        <f t="shared" si="1"/>
        <v>1.48</v>
      </c>
    </row>
    <row r="55" spans="1:15" x14ac:dyDescent="0.3">
      <c r="A55" s="8" t="s">
        <v>115</v>
      </c>
      <c r="B55" s="9" t="s">
        <v>417</v>
      </c>
      <c r="C55" s="9" t="s">
        <v>16</v>
      </c>
      <c r="D55" s="9" t="s">
        <v>34</v>
      </c>
      <c r="E55" s="9" t="s">
        <v>616</v>
      </c>
      <c r="F55" s="9" t="s">
        <v>617</v>
      </c>
      <c r="G55" s="9" t="s">
        <v>621</v>
      </c>
      <c r="H55" s="10">
        <v>0</v>
      </c>
      <c r="I55" s="10">
        <v>8</v>
      </c>
      <c r="J55" s="10">
        <v>6</v>
      </c>
      <c r="K55" s="10">
        <v>1</v>
      </c>
      <c r="L55" s="10">
        <f t="shared" si="0"/>
        <v>1.24</v>
      </c>
      <c r="M55" s="11">
        <f t="shared" si="3"/>
        <v>0.155</v>
      </c>
      <c r="N55" s="11">
        <f t="shared" si="4"/>
        <v>0.20666666666666667</v>
      </c>
      <c r="O55" s="11">
        <f t="shared" si="1"/>
        <v>0</v>
      </c>
    </row>
    <row r="56" spans="1:15" x14ac:dyDescent="0.3">
      <c r="A56" s="8" t="s">
        <v>96</v>
      </c>
      <c r="B56" s="9" t="s">
        <v>398</v>
      </c>
      <c r="C56" s="9" t="s">
        <v>14</v>
      </c>
      <c r="D56" s="9" t="s">
        <v>32</v>
      </c>
      <c r="E56" s="9" t="s">
        <v>616</v>
      </c>
      <c r="F56" s="9" t="s">
        <v>617</v>
      </c>
      <c r="G56" s="9" t="s">
        <v>619</v>
      </c>
      <c r="H56" s="10">
        <v>3</v>
      </c>
      <c r="I56" s="10">
        <v>13</v>
      </c>
      <c r="J56" s="10">
        <v>10</v>
      </c>
      <c r="K56" s="10">
        <v>5</v>
      </c>
      <c r="L56" s="10">
        <f t="shared" si="0"/>
        <v>6.2</v>
      </c>
      <c r="M56" s="11">
        <f t="shared" si="3"/>
        <v>0.47692307692307695</v>
      </c>
      <c r="N56" s="11">
        <f t="shared" si="4"/>
        <v>0.62</v>
      </c>
      <c r="O56" s="11">
        <f t="shared" si="1"/>
        <v>1.0666666666666667</v>
      </c>
    </row>
    <row r="57" spans="1:15" x14ac:dyDescent="0.3">
      <c r="A57" s="8" t="s">
        <v>20</v>
      </c>
      <c r="B57" s="9" t="s">
        <v>336</v>
      </c>
      <c r="C57" s="9" t="s">
        <v>14</v>
      </c>
      <c r="D57" s="9" t="s">
        <v>28</v>
      </c>
      <c r="E57" s="9" t="s">
        <v>616</v>
      </c>
      <c r="F57" s="9" t="s">
        <v>617</v>
      </c>
      <c r="G57" s="9" t="s">
        <v>620</v>
      </c>
      <c r="H57" s="10">
        <v>6</v>
      </c>
      <c r="I57" s="10">
        <v>18</v>
      </c>
      <c r="J57" s="10">
        <v>13</v>
      </c>
      <c r="K57" s="10">
        <v>7</v>
      </c>
      <c r="L57" s="10">
        <f t="shared" si="0"/>
        <v>8.6800000000000015</v>
      </c>
      <c r="M57" s="11">
        <f t="shared" si="3"/>
        <v>0.48222222222222233</v>
      </c>
      <c r="N57" s="11">
        <f t="shared" si="4"/>
        <v>0.66769230769230781</v>
      </c>
      <c r="O57" s="11">
        <f t="shared" si="1"/>
        <v>0.44666666666666693</v>
      </c>
    </row>
    <row r="58" spans="1:15" x14ac:dyDescent="0.3">
      <c r="A58" s="8" t="s">
        <v>89</v>
      </c>
      <c r="B58" s="9" t="s">
        <v>391</v>
      </c>
      <c r="C58" s="9" t="s">
        <v>16</v>
      </c>
      <c r="D58" s="9" t="s">
        <v>36</v>
      </c>
      <c r="E58" s="9" t="s">
        <v>616</v>
      </c>
      <c r="F58" s="9" t="s">
        <v>617</v>
      </c>
      <c r="G58" s="9" t="s">
        <v>622</v>
      </c>
      <c r="H58" s="10">
        <v>4</v>
      </c>
      <c r="I58" s="10">
        <v>18</v>
      </c>
      <c r="J58" s="10">
        <v>13</v>
      </c>
      <c r="K58" s="10">
        <v>4</v>
      </c>
      <c r="L58" s="10">
        <f t="shared" si="0"/>
        <v>4.96</v>
      </c>
      <c r="M58" s="11">
        <f t="shared" si="3"/>
        <v>0.27555555555555555</v>
      </c>
      <c r="N58" s="11">
        <f t="shared" si="4"/>
        <v>0.38153846153846155</v>
      </c>
      <c r="O58" s="11">
        <f t="shared" si="1"/>
        <v>0.24</v>
      </c>
    </row>
    <row r="59" spans="1:15" x14ac:dyDescent="0.3">
      <c r="A59" s="8" t="s">
        <v>95</v>
      </c>
      <c r="B59" s="9" t="s">
        <v>397</v>
      </c>
      <c r="C59" s="9" t="s">
        <v>16</v>
      </c>
      <c r="D59" s="9" t="s">
        <v>38</v>
      </c>
      <c r="E59" s="9" t="s">
        <v>616</v>
      </c>
      <c r="F59" s="9" t="s">
        <v>617</v>
      </c>
      <c r="G59" s="9" t="s">
        <v>621</v>
      </c>
      <c r="H59" s="10">
        <v>5</v>
      </c>
      <c r="I59" s="10">
        <v>23</v>
      </c>
      <c r="J59" s="10">
        <v>16</v>
      </c>
      <c r="K59" s="10">
        <v>7</v>
      </c>
      <c r="L59" s="10">
        <f t="shared" si="0"/>
        <v>8.6800000000000015</v>
      </c>
      <c r="M59" s="11">
        <f t="shared" si="3"/>
        <v>0.37739130434782614</v>
      </c>
      <c r="N59" s="11">
        <f t="shared" si="4"/>
        <v>0.54250000000000009</v>
      </c>
      <c r="O59" s="11">
        <f t="shared" si="1"/>
        <v>0.73600000000000032</v>
      </c>
    </row>
    <row r="60" spans="1:15" x14ac:dyDescent="0.3">
      <c r="A60" s="8" t="s">
        <v>69</v>
      </c>
      <c r="B60" s="9" t="s">
        <v>371</v>
      </c>
      <c r="C60" s="9" t="s">
        <v>14</v>
      </c>
      <c r="D60" s="9" t="s">
        <v>32</v>
      </c>
      <c r="E60" s="9" t="s">
        <v>616</v>
      </c>
      <c r="F60" s="9" t="s">
        <v>617</v>
      </c>
      <c r="G60" s="9" t="s">
        <v>619</v>
      </c>
      <c r="H60" s="10">
        <v>2</v>
      </c>
      <c r="I60" s="10">
        <v>18</v>
      </c>
      <c r="J60" s="10">
        <v>13</v>
      </c>
      <c r="K60" s="10">
        <v>7</v>
      </c>
      <c r="L60" s="10">
        <f t="shared" si="0"/>
        <v>8.6800000000000015</v>
      </c>
      <c r="M60" s="11">
        <f t="shared" si="3"/>
        <v>0.48222222222222233</v>
      </c>
      <c r="N60" s="11">
        <f t="shared" si="4"/>
        <v>0.66769230769230781</v>
      </c>
      <c r="O60" s="11">
        <f t="shared" si="1"/>
        <v>3.3400000000000007</v>
      </c>
    </row>
    <row r="61" spans="1:15" x14ac:dyDescent="0.3">
      <c r="A61" s="8" t="s">
        <v>158</v>
      </c>
      <c r="B61" s="9" t="s">
        <v>448</v>
      </c>
      <c r="C61" s="9" t="s">
        <v>16</v>
      </c>
      <c r="D61" s="9" t="s">
        <v>40</v>
      </c>
      <c r="E61" s="9" t="s">
        <v>616</v>
      </c>
      <c r="F61" s="9" t="s">
        <v>617</v>
      </c>
      <c r="G61" s="9" t="s">
        <v>623</v>
      </c>
      <c r="H61" s="10">
        <v>9</v>
      </c>
      <c r="I61" s="10">
        <v>16</v>
      </c>
      <c r="J61" s="10">
        <v>11</v>
      </c>
      <c r="K61" s="10">
        <v>9</v>
      </c>
      <c r="L61" s="10">
        <f t="shared" si="0"/>
        <v>11.16</v>
      </c>
      <c r="M61" s="11">
        <f t="shared" si="3"/>
        <v>0.69750000000000001</v>
      </c>
      <c r="N61" s="11">
        <f t="shared" si="4"/>
        <v>1.0145454545454546</v>
      </c>
      <c r="O61" s="11">
        <f t="shared" si="1"/>
        <v>0.24000000000000002</v>
      </c>
    </row>
    <row r="62" spans="1:15" x14ac:dyDescent="0.3">
      <c r="A62" s="8" t="s">
        <v>66</v>
      </c>
      <c r="B62" s="9" t="s">
        <v>368</v>
      </c>
      <c r="C62" s="9" t="s">
        <v>14</v>
      </c>
      <c r="D62" s="9" t="s">
        <v>28</v>
      </c>
      <c r="E62" s="9" t="s">
        <v>616</v>
      </c>
      <c r="F62" s="9" t="s">
        <v>617</v>
      </c>
      <c r="G62" s="9" t="s">
        <v>620</v>
      </c>
      <c r="H62" s="10">
        <v>1</v>
      </c>
      <c r="I62" s="10">
        <v>14</v>
      </c>
      <c r="J62" s="10">
        <v>10</v>
      </c>
      <c r="K62" s="10">
        <v>7</v>
      </c>
      <c r="L62" s="10">
        <f t="shared" si="0"/>
        <v>8.6800000000000015</v>
      </c>
      <c r="M62" s="11">
        <f t="shared" si="3"/>
        <v>0.62000000000000011</v>
      </c>
      <c r="N62" s="11">
        <f t="shared" si="4"/>
        <v>0.8680000000000001</v>
      </c>
      <c r="O62" s="11">
        <f t="shared" si="1"/>
        <v>7.6800000000000015</v>
      </c>
    </row>
    <row r="63" spans="1:15" x14ac:dyDescent="0.3">
      <c r="A63" s="8" t="s">
        <v>65</v>
      </c>
      <c r="B63" s="9" t="s">
        <v>367</v>
      </c>
      <c r="C63" s="9" t="s">
        <v>14</v>
      </c>
      <c r="D63" s="9" t="s">
        <v>26</v>
      </c>
      <c r="E63" s="9" t="s">
        <v>616</v>
      </c>
      <c r="F63" s="9" t="s">
        <v>617</v>
      </c>
      <c r="G63" s="9" t="s">
        <v>619</v>
      </c>
      <c r="H63" s="10">
        <v>3</v>
      </c>
      <c r="I63" s="10">
        <v>10</v>
      </c>
      <c r="J63" s="10">
        <v>7</v>
      </c>
      <c r="K63" s="10">
        <v>2</v>
      </c>
      <c r="L63" s="10">
        <f t="shared" si="0"/>
        <v>2.48</v>
      </c>
      <c r="M63" s="11">
        <f t="shared" si="3"/>
        <v>0.248</v>
      </c>
      <c r="N63" s="11">
        <f t="shared" si="4"/>
        <v>0.35428571428571426</v>
      </c>
      <c r="O63" s="11">
        <f t="shared" si="1"/>
        <v>-0.17333333333333334</v>
      </c>
    </row>
    <row r="64" spans="1:15" x14ac:dyDescent="0.3">
      <c r="A64" s="8" t="s">
        <v>75</v>
      </c>
      <c r="B64" s="9" t="s">
        <v>377</v>
      </c>
      <c r="C64" s="9" t="s">
        <v>16</v>
      </c>
      <c r="D64" s="9" t="s">
        <v>42</v>
      </c>
      <c r="E64" s="9" t="s">
        <v>616</v>
      </c>
      <c r="F64" s="9" t="s">
        <v>617</v>
      </c>
      <c r="G64" s="9" t="s">
        <v>618</v>
      </c>
      <c r="H64" s="10">
        <v>0</v>
      </c>
      <c r="I64" s="10">
        <v>13</v>
      </c>
      <c r="J64" s="10">
        <v>10</v>
      </c>
      <c r="K64" s="10">
        <v>5</v>
      </c>
      <c r="L64" s="10">
        <f t="shared" si="0"/>
        <v>6.2</v>
      </c>
      <c r="M64" s="11">
        <f t="shared" si="3"/>
        <v>0.47692307692307695</v>
      </c>
      <c r="N64" s="11">
        <f t="shared" si="4"/>
        <v>0.62</v>
      </c>
      <c r="O64" s="11">
        <f t="shared" si="1"/>
        <v>0</v>
      </c>
    </row>
    <row r="65" spans="1:15" x14ac:dyDescent="0.3">
      <c r="A65" s="8" t="s">
        <v>166</v>
      </c>
      <c r="B65" s="9" t="s">
        <v>456</v>
      </c>
      <c r="C65" s="9" t="s">
        <v>16</v>
      </c>
      <c r="D65" s="9" t="s">
        <v>34</v>
      </c>
      <c r="E65" s="9" t="s">
        <v>616</v>
      </c>
      <c r="F65" s="9" t="s">
        <v>617</v>
      </c>
      <c r="G65" s="9" t="s">
        <v>621</v>
      </c>
      <c r="H65" s="10">
        <v>1</v>
      </c>
      <c r="I65" s="10">
        <v>16</v>
      </c>
      <c r="J65" s="10">
        <v>11</v>
      </c>
      <c r="K65" s="10">
        <v>2</v>
      </c>
      <c r="L65" s="10">
        <f t="shared" si="0"/>
        <v>2.48</v>
      </c>
      <c r="M65" s="11">
        <f t="shared" si="3"/>
        <v>0.155</v>
      </c>
      <c r="N65" s="11">
        <f t="shared" si="4"/>
        <v>0.22545454545454546</v>
      </c>
      <c r="O65" s="11">
        <f t="shared" si="1"/>
        <v>1.48</v>
      </c>
    </row>
    <row r="66" spans="1:15" x14ac:dyDescent="0.3">
      <c r="A66" s="8" t="s">
        <v>97</v>
      </c>
      <c r="B66" s="9" t="s">
        <v>399</v>
      </c>
      <c r="C66" s="9" t="s">
        <v>16</v>
      </c>
      <c r="D66" s="9" t="s">
        <v>44</v>
      </c>
      <c r="E66" s="9" t="s">
        <v>616</v>
      </c>
      <c r="F66" s="9" t="s">
        <v>617</v>
      </c>
      <c r="G66" s="9" t="s">
        <v>622</v>
      </c>
      <c r="H66" s="10">
        <v>1</v>
      </c>
      <c r="I66" s="10">
        <v>8</v>
      </c>
      <c r="J66" s="10">
        <v>6</v>
      </c>
      <c r="K66" s="10">
        <v>6</v>
      </c>
      <c r="L66" s="10">
        <f t="shared" si="0"/>
        <v>7.4399999999999995</v>
      </c>
      <c r="M66" s="11">
        <f t="shared" si="3"/>
        <v>0.92999999999999994</v>
      </c>
      <c r="N66" s="11">
        <f t="shared" si="4"/>
        <v>1.24</v>
      </c>
      <c r="O66" s="11">
        <f t="shared" si="1"/>
        <v>6.4399999999999995</v>
      </c>
    </row>
    <row r="67" spans="1:15" x14ac:dyDescent="0.3">
      <c r="A67" s="8" t="s">
        <v>55</v>
      </c>
      <c r="B67" s="9" t="s">
        <v>359</v>
      </c>
      <c r="C67" s="9" t="s">
        <v>16</v>
      </c>
      <c r="D67" s="9" t="s">
        <v>40</v>
      </c>
      <c r="E67" s="9" t="s">
        <v>616</v>
      </c>
      <c r="F67" s="9" t="s">
        <v>617</v>
      </c>
      <c r="G67" s="9" t="s">
        <v>623</v>
      </c>
      <c r="H67" s="10">
        <v>14</v>
      </c>
      <c r="I67" s="10">
        <v>14</v>
      </c>
      <c r="J67" s="10">
        <v>10</v>
      </c>
      <c r="K67" s="10">
        <v>17</v>
      </c>
      <c r="L67" s="10">
        <f t="shared" si="0"/>
        <v>21.080000000000002</v>
      </c>
      <c r="M67" s="11">
        <f t="shared" si="3"/>
        <v>1.5057142857142858</v>
      </c>
      <c r="N67" s="11">
        <f t="shared" si="4"/>
        <v>2.1080000000000001</v>
      </c>
      <c r="O67" s="11">
        <f t="shared" si="1"/>
        <v>0.50571428571428589</v>
      </c>
    </row>
    <row r="68" spans="1:15" x14ac:dyDescent="0.3">
      <c r="A68" s="8" t="s">
        <v>23</v>
      </c>
      <c r="B68" s="9" t="s">
        <v>338</v>
      </c>
      <c r="C68" s="9" t="s">
        <v>14</v>
      </c>
      <c r="D68" s="9" t="s">
        <v>32</v>
      </c>
      <c r="E68" s="9" t="s">
        <v>616</v>
      </c>
      <c r="F68" s="9" t="s">
        <v>617</v>
      </c>
      <c r="G68" s="9" t="s">
        <v>619</v>
      </c>
      <c r="H68" s="10">
        <v>9</v>
      </c>
      <c r="I68" s="10">
        <v>11</v>
      </c>
      <c r="J68" s="10">
        <v>8</v>
      </c>
      <c r="K68" s="10">
        <v>10</v>
      </c>
      <c r="L68" s="10">
        <f t="shared" si="0"/>
        <v>12.4</v>
      </c>
      <c r="M68" s="11">
        <f t="shared" si="3"/>
        <v>1.1272727272727272</v>
      </c>
      <c r="N68" s="11">
        <f t="shared" si="4"/>
        <v>1.55</v>
      </c>
      <c r="O68" s="11">
        <f t="shared" si="1"/>
        <v>0.37777777777777782</v>
      </c>
    </row>
    <row r="69" spans="1:15" x14ac:dyDescent="0.3">
      <c r="A69" s="8" t="s">
        <v>164</v>
      </c>
      <c r="B69" s="9" t="s">
        <v>454</v>
      </c>
      <c r="C69" s="9" t="s">
        <v>16</v>
      </c>
      <c r="D69" s="9" t="s">
        <v>34</v>
      </c>
      <c r="E69" s="9" t="s">
        <v>616</v>
      </c>
      <c r="F69" s="9" t="s">
        <v>617</v>
      </c>
      <c r="G69" s="9" t="s">
        <v>621</v>
      </c>
      <c r="H69" s="10">
        <v>3</v>
      </c>
      <c r="I69" s="10">
        <v>16</v>
      </c>
      <c r="J69" s="10">
        <v>11</v>
      </c>
      <c r="K69" s="10">
        <v>3</v>
      </c>
      <c r="L69" s="10">
        <f t="shared" ref="L69:L132" si="10">IFERROR((K69/$A$1*$B$1),0)</f>
        <v>3.7199999999999998</v>
      </c>
      <c r="M69" s="11">
        <f t="shared" si="3"/>
        <v>0.23249999999999998</v>
      </c>
      <c r="N69" s="11">
        <f t="shared" si="4"/>
        <v>0.33818181818181814</v>
      </c>
      <c r="O69" s="11">
        <f t="shared" ref="O69:O132" si="11">IFERROR((L69-H69)/H69,0)</f>
        <v>0.23999999999999991</v>
      </c>
    </row>
    <row r="70" spans="1:15" x14ac:dyDescent="0.3">
      <c r="A70" s="8" t="s">
        <v>27</v>
      </c>
      <c r="B70" s="9" t="s">
        <v>340</v>
      </c>
      <c r="C70" s="9" t="s">
        <v>14</v>
      </c>
      <c r="D70" s="9" t="s">
        <v>24</v>
      </c>
      <c r="E70" s="9" t="s">
        <v>616</v>
      </c>
      <c r="F70" s="9" t="s">
        <v>617</v>
      </c>
      <c r="G70" s="9" t="s">
        <v>619</v>
      </c>
      <c r="H70" s="10">
        <v>14</v>
      </c>
      <c r="I70" s="10">
        <v>12</v>
      </c>
      <c r="J70" s="10">
        <v>9</v>
      </c>
      <c r="K70" s="10">
        <v>5</v>
      </c>
      <c r="L70" s="10">
        <f t="shared" si="10"/>
        <v>6.2</v>
      </c>
      <c r="M70" s="11">
        <f t="shared" ref="M70:M133" si="12">IFERROR((L70/I70),0)</f>
        <v>0.51666666666666672</v>
      </c>
      <c r="N70" s="11">
        <f t="shared" ref="N70:N133" si="13">IFERROR((L70/J70),0)</f>
        <v>0.68888888888888888</v>
      </c>
      <c r="O70" s="11">
        <f t="shared" si="11"/>
        <v>-0.55714285714285716</v>
      </c>
    </row>
    <row r="71" spans="1:15" x14ac:dyDescent="0.3">
      <c r="A71" s="8" t="s">
        <v>88</v>
      </c>
      <c r="B71" s="9" t="s">
        <v>390</v>
      </c>
      <c r="C71" s="9" t="s">
        <v>16</v>
      </c>
      <c r="D71" s="9" t="s">
        <v>34</v>
      </c>
      <c r="E71" s="9" t="s">
        <v>616</v>
      </c>
      <c r="F71" s="9" t="s">
        <v>617</v>
      </c>
      <c r="G71" s="9" t="s">
        <v>621</v>
      </c>
      <c r="H71" s="10">
        <v>1</v>
      </c>
      <c r="I71" s="10">
        <v>7</v>
      </c>
      <c r="J71" s="10">
        <v>5</v>
      </c>
      <c r="K71" s="10">
        <v>6</v>
      </c>
      <c r="L71" s="10">
        <f t="shared" si="10"/>
        <v>7.4399999999999995</v>
      </c>
      <c r="M71" s="11">
        <f t="shared" si="12"/>
        <v>1.0628571428571427</v>
      </c>
      <c r="N71" s="11">
        <f t="shared" si="13"/>
        <v>1.488</v>
      </c>
      <c r="O71" s="11">
        <f t="shared" si="11"/>
        <v>6.4399999999999995</v>
      </c>
    </row>
    <row r="72" spans="1:15" x14ac:dyDescent="0.3">
      <c r="A72" s="8" t="s">
        <v>204</v>
      </c>
      <c r="B72" s="9" t="s">
        <v>494</v>
      </c>
      <c r="C72" s="9" t="s">
        <v>16</v>
      </c>
      <c r="D72" s="9" t="s">
        <v>38</v>
      </c>
      <c r="E72" s="9" t="s">
        <v>616</v>
      </c>
      <c r="F72" s="9" t="s">
        <v>617</v>
      </c>
      <c r="G72" s="9" t="s">
        <v>621</v>
      </c>
      <c r="H72" s="10">
        <v>9</v>
      </c>
      <c r="I72" s="10">
        <v>6</v>
      </c>
      <c r="J72" s="10">
        <v>4</v>
      </c>
      <c r="K72" s="10">
        <v>6</v>
      </c>
      <c r="L72" s="10">
        <f t="shared" si="10"/>
        <v>7.4399999999999995</v>
      </c>
      <c r="M72" s="11">
        <f t="shared" si="12"/>
        <v>1.24</v>
      </c>
      <c r="N72" s="11">
        <f t="shared" si="13"/>
        <v>1.8599999999999999</v>
      </c>
      <c r="O72" s="11">
        <f t="shared" si="11"/>
        <v>-0.17333333333333339</v>
      </c>
    </row>
    <row r="73" spans="1:15" x14ac:dyDescent="0.3">
      <c r="A73" s="8" t="s">
        <v>93</v>
      </c>
      <c r="B73" s="9" t="s">
        <v>395</v>
      </c>
      <c r="C73" s="9" t="s">
        <v>14</v>
      </c>
      <c r="D73" s="9" t="s">
        <v>30</v>
      </c>
      <c r="E73" s="9" t="s">
        <v>616</v>
      </c>
      <c r="F73" s="9" t="s">
        <v>617</v>
      </c>
      <c r="G73" s="9" t="s">
        <v>620</v>
      </c>
      <c r="H73" s="10">
        <v>6</v>
      </c>
      <c r="I73" s="10">
        <v>10</v>
      </c>
      <c r="J73" s="10">
        <v>8</v>
      </c>
      <c r="K73" s="10">
        <v>4</v>
      </c>
      <c r="L73" s="10">
        <f t="shared" si="10"/>
        <v>4.96</v>
      </c>
      <c r="M73" s="11">
        <f t="shared" si="12"/>
        <v>0.496</v>
      </c>
      <c r="N73" s="11">
        <f t="shared" si="13"/>
        <v>0.62</v>
      </c>
      <c r="O73" s="11">
        <f t="shared" si="11"/>
        <v>-0.17333333333333334</v>
      </c>
    </row>
    <row r="74" spans="1:15" x14ac:dyDescent="0.3">
      <c r="A74" s="8" t="s">
        <v>103</v>
      </c>
      <c r="B74" s="9" t="s">
        <v>405</v>
      </c>
      <c r="C74" s="9" t="s">
        <v>14</v>
      </c>
      <c r="D74" s="9" t="s">
        <v>26</v>
      </c>
      <c r="E74" s="9" t="s">
        <v>616</v>
      </c>
      <c r="F74" s="9" t="s">
        <v>617</v>
      </c>
      <c r="G74" s="9" t="s">
        <v>619</v>
      </c>
      <c r="H74" s="10">
        <v>5</v>
      </c>
      <c r="I74" s="10">
        <v>18</v>
      </c>
      <c r="J74" s="10">
        <v>13</v>
      </c>
      <c r="K74" s="10">
        <v>5</v>
      </c>
      <c r="L74" s="10">
        <f t="shared" si="10"/>
        <v>6.2</v>
      </c>
      <c r="M74" s="11">
        <f t="shared" si="12"/>
        <v>0.34444444444444444</v>
      </c>
      <c r="N74" s="11">
        <f t="shared" si="13"/>
        <v>0.47692307692307695</v>
      </c>
      <c r="O74" s="11">
        <f t="shared" si="11"/>
        <v>0.24000000000000005</v>
      </c>
    </row>
    <row r="75" spans="1:15" x14ac:dyDescent="0.3">
      <c r="A75" s="8" t="s">
        <v>72</v>
      </c>
      <c r="B75" s="9" t="s">
        <v>374</v>
      </c>
      <c r="C75" s="9" t="s">
        <v>14</v>
      </c>
      <c r="D75" s="9" t="s">
        <v>30</v>
      </c>
      <c r="E75" s="9" t="s">
        <v>616</v>
      </c>
      <c r="F75" s="9" t="s">
        <v>617</v>
      </c>
      <c r="G75" s="9" t="s">
        <v>620</v>
      </c>
      <c r="H75" s="10">
        <v>2</v>
      </c>
      <c r="I75" s="10">
        <v>19</v>
      </c>
      <c r="J75" s="10">
        <v>14</v>
      </c>
      <c r="K75" s="10">
        <v>5</v>
      </c>
      <c r="L75" s="10">
        <f t="shared" si="10"/>
        <v>6.2</v>
      </c>
      <c r="M75" s="11">
        <f t="shared" si="12"/>
        <v>0.32631578947368423</v>
      </c>
      <c r="N75" s="11">
        <f t="shared" si="13"/>
        <v>0.44285714285714289</v>
      </c>
      <c r="O75" s="11">
        <f t="shared" si="11"/>
        <v>2.1</v>
      </c>
    </row>
    <row r="76" spans="1:15" x14ac:dyDescent="0.3">
      <c r="A76" s="8" t="s">
        <v>21</v>
      </c>
      <c r="B76" s="9" t="s">
        <v>337</v>
      </c>
      <c r="C76" s="9" t="s">
        <v>14</v>
      </c>
      <c r="D76" s="9" t="s">
        <v>30</v>
      </c>
      <c r="E76" s="9" t="s">
        <v>616</v>
      </c>
      <c r="F76" s="9" t="s">
        <v>617</v>
      </c>
      <c r="G76" s="9" t="s">
        <v>620</v>
      </c>
      <c r="H76" s="10">
        <v>4</v>
      </c>
      <c r="I76" s="10">
        <v>18</v>
      </c>
      <c r="J76" s="10">
        <v>13</v>
      </c>
      <c r="K76" s="10">
        <v>4</v>
      </c>
      <c r="L76" s="10">
        <f t="shared" si="10"/>
        <v>4.96</v>
      </c>
      <c r="M76" s="11">
        <f t="shared" si="12"/>
        <v>0.27555555555555555</v>
      </c>
      <c r="N76" s="11">
        <f t="shared" si="13"/>
        <v>0.38153846153846155</v>
      </c>
      <c r="O76" s="11">
        <f t="shared" si="11"/>
        <v>0.24</v>
      </c>
    </row>
    <row r="77" spans="1:15" x14ac:dyDescent="0.3">
      <c r="A77" s="8" t="s">
        <v>94</v>
      </c>
      <c r="B77" s="9" t="s">
        <v>396</v>
      </c>
      <c r="C77" s="9" t="s">
        <v>14</v>
      </c>
      <c r="D77" s="9" t="s">
        <v>32</v>
      </c>
      <c r="E77" s="9" t="s">
        <v>616</v>
      </c>
      <c r="F77" s="9" t="s">
        <v>617</v>
      </c>
      <c r="G77" s="9" t="s">
        <v>619</v>
      </c>
      <c r="H77" s="10">
        <v>5</v>
      </c>
      <c r="I77" s="10">
        <v>13</v>
      </c>
      <c r="J77" s="10">
        <v>9</v>
      </c>
      <c r="K77" s="10">
        <v>6</v>
      </c>
      <c r="L77" s="10">
        <f t="shared" si="10"/>
        <v>7.4399999999999995</v>
      </c>
      <c r="M77" s="11">
        <f t="shared" si="12"/>
        <v>0.5723076923076923</v>
      </c>
      <c r="N77" s="11">
        <f t="shared" si="13"/>
        <v>0.82666666666666666</v>
      </c>
      <c r="O77" s="11">
        <f t="shared" si="11"/>
        <v>0.48799999999999988</v>
      </c>
    </row>
    <row r="78" spans="1:15" x14ac:dyDescent="0.3">
      <c r="A78" s="8" t="s">
        <v>87</v>
      </c>
      <c r="B78" s="9" t="s">
        <v>389</v>
      </c>
      <c r="C78" s="9" t="s">
        <v>14</v>
      </c>
      <c r="D78" s="9" t="s">
        <v>32</v>
      </c>
      <c r="E78" s="9" t="s">
        <v>616</v>
      </c>
      <c r="F78" s="9" t="s">
        <v>617</v>
      </c>
      <c r="G78" s="9" t="s">
        <v>619</v>
      </c>
      <c r="H78" s="10">
        <v>3</v>
      </c>
      <c r="I78" s="10">
        <v>14</v>
      </c>
      <c r="J78" s="10">
        <v>10</v>
      </c>
      <c r="K78" s="10">
        <v>4</v>
      </c>
      <c r="L78" s="10">
        <f t="shared" si="10"/>
        <v>4.96</v>
      </c>
      <c r="M78" s="11">
        <f t="shared" si="12"/>
        <v>0.35428571428571426</v>
      </c>
      <c r="N78" s="11">
        <f t="shared" si="13"/>
        <v>0.496</v>
      </c>
      <c r="O78" s="11">
        <f t="shared" si="11"/>
        <v>0.65333333333333332</v>
      </c>
    </row>
    <row r="79" spans="1:15" x14ac:dyDescent="0.3">
      <c r="A79" s="8" t="s">
        <v>146</v>
      </c>
      <c r="B79" s="9" t="s">
        <v>436</v>
      </c>
      <c r="C79" s="9" t="s">
        <v>16</v>
      </c>
      <c r="D79" s="9" t="s">
        <v>40</v>
      </c>
      <c r="E79" s="9" t="s">
        <v>616</v>
      </c>
      <c r="F79" s="9" t="s">
        <v>617</v>
      </c>
      <c r="G79" s="9" t="s">
        <v>623</v>
      </c>
      <c r="H79" s="10">
        <v>6</v>
      </c>
      <c r="I79" s="10">
        <v>13</v>
      </c>
      <c r="J79" s="10">
        <v>9</v>
      </c>
      <c r="K79" s="10">
        <v>10</v>
      </c>
      <c r="L79" s="10">
        <f t="shared" si="10"/>
        <v>12.4</v>
      </c>
      <c r="M79" s="11">
        <f t="shared" si="12"/>
        <v>0.9538461538461539</v>
      </c>
      <c r="N79" s="11">
        <f t="shared" si="13"/>
        <v>1.3777777777777778</v>
      </c>
      <c r="O79" s="11">
        <f t="shared" si="11"/>
        <v>1.0666666666666667</v>
      </c>
    </row>
    <row r="80" spans="1:15" x14ac:dyDescent="0.3">
      <c r="A80" s="8" t="s">
        <v>84</v>
      </c>
      <c r="B80" s="9" t="s">
        <v>386</v>
      </c>
      <c r="C80" s="9" t="s">
        <v>16</v>
      </c>
      <c r="D80" s="9" t="s">
        <v>44</v>
      </c>
      <c r="E80" s="9" t="s">
        <v>616</v>
      </c>
      <c r="F80" s="9" t="s">
        <v>617</v>
      </c>
      <c r="G80" s="9" t="s">
        <v>622</v>
      </c>
      <c r="H80" s="10">
        <v>0</v>
      </c>
      <c r="I80" s="10">
        <v>8</v>
      </c>
      <c r="J80" s="10">
        <v>6</v>
      </c>
      <c r="K80" s="10">
        <v>5</v>
      </c>
      <c r="L80" s="10">
        <f t="shared" si="10"/>
        <v>6.2</v>
      </c>
      <c r="M80" s="11">
        <f t="shared" si="12"/>
        <v>0.77500000000000002</v>
      </c>
      <c r="N80" s="11">
        <f t="shared" si="13"/>
        <v>1.0333333333333334</v>
      </c>
      <c r="O80" s="11">
        <f t="shared" si="11"/>
        <v>0</v>
      </c>
    </row>
    <row r="81" spans="1:15" x14ac:dyDescent="0.3">
      <c r="A81" s="8" t="s">
        <v>114</v>
      </c>
      <c r="B81" s="9" t="s">
        <v>416</v>
      </c>
      <c r="C81" s="9" t="s">
        <v>16</v>
      </c>
      <c r="D81" s="9" t="s">
        <v>38</v>
      </c>
      <c r="E81" s="9" t="s">
        <v>616</v>
      </c>
      <c r="F81" s="9" t="s">
        <v>617</v>
      </c>
      <c r="G81" s="9" t="s">
        <v>621</v>
      </c>
      <c r="H81" s="10">
        <v>3</v>
      </c>
      <c r="I81" s="10">
        <v>7</v>
      </c>
      <c r="J81" s="10">
        <v>5</v>
      </c>
      <c r="K81" s="10">
        <v>9</v>
      </c>
      <c r="L81" s="10">
        <f t="shared" si="10"/>
        <v>11.16</v>
      </c>
      <c r="M81" s="11">
        <f t="shared" si="12"/>
        <v>1.5942857142857143</v>
      </c>
      <c r="N81" s="11">
        <f t="shared" si="13"/>
        <v>2.2320000000000002</v>
      </c>
      <c r="O81" s="11">
        <f t="shared" si="11"/>
        <v>2.72</v>
      </c>
    </row>
    <row r="82" spans="1:15" x14ac:dyDescent="0.3">
      <c r="A82" s="8" t="s">
        <v>57</v>
      </c>
      <c r="B82" s="9" t="s">
        <v>361</v>
      </c>
      <c r="C82" s="9" t="s">
        <v>14</v>
      </c>
      <c r="D82" s="9" t="s">
        <v>28</v>
      </c>
      <c r="E82" s="9" t="s">
        <v>616</v>
      </c>
      <c r="F82" s="9" t="s">
        <v>617</v>
      </c>
      <c r="G82" s="9" t="s">
        <v>620</v>
      </c>
      <c r="H82" s="10">
        <v>2</v>
      </c>
      <c r="I82" s="10">
        <v>15</v>
      </c>
      <c r="J82" s="10">
        <v>10</v>
      </c>
      <c r="K82" s="10">
        <v>7</v>
      </c>
      <c r="L82" s="10">
        <f t="shared" si="10"/>
        <v>8.6800000000000015</v>
      </c>
      <c r="M82" s="11">
        <f t="shared" si="12"/>
        <v>0.57866666666666677</v>
      </c>
      <c r="N82" s="11">
        <f t="shared" si="13"/>
        <v>0.8680000000000001</v>
      </c>
      <c r="O82" s="11">
        <f t="shared" si="11"/>
        <v>3.3400000000000007</v>
      </c>
    </row>
    <row r="83" spans="1:15" x14ac:dyDescent="0.3">
      <c r="A83" s="8" t="s">
        <v>50</v>
      </c>
      <c r="B83" s="9" t="s">
        <v>354</v>
      </c>
      <c r="C83" s="9" t="s">
        <v>14</v>
      </c>
      <c r="D83" s="9" t="s">
        <v>30</v>
      </c>
      <c r="E83" s="9" t="s">
        <v>616</v>
      </c>
      <c r="F83" s="9" t="s">
        <v>617</v>
      </c>
      <c r="G83" s="9" t="s">
        <v>620</v>
      </c>
      <c r="H83" s="10">
        <v>8</v>
      </c>
      <c r="I83" s="10">
        <v>13</v>
      </c>
      <c r="J83" s="10">
        <v>9</v>
      </c>
      <c r="K83" s="10">
        <v>9</v>
      </c>
      <c r="L83" s="10">
        <f t="shared" si="10"/>
        <v>11.16</v>
      </c>
      <c r="M83" s="11">
        <f t="shared" si="12"/>
        <v>0.8584615384615385</v>
      </c>
      <c r="N83" s="11">
        <f t="shared" si="13"/>
        <v>1.24</v>
      </c>
      <c r="O83" s="11">
        <f t="shared" si="11"/>
        <v>0.39500000000000002</v>
      </c>
    </row>
    <row r="84" spans="1:15" x14ac:dyDescent="0.3">
      <c r="A84" s="8" t="s">
        <v>86</v>
      </c>
      <c r="B84" s="9" t="s">
        <v>388</v>
      </c>
      <c r="C84" s="9" t="s">
        <v>16</v>
      </c>
      <c r="D84" s="9" t="s">
        <v>36</v>
      </c>
      <c r="E84" s="9" t="s">
        <v>616</v>
      </c>
      <c r="F84" s="9" t="s">
        <v>617</v>
      </c>
      <c r="G84" s="9" t="s">
        <v>622</v>
      </c>
      <c r="H84" s="10">
        <v>2</v>
      </c>
      <c r="I84" s="10">
        <v>12</v>
      </c>
      <c r="J84" s="10">
        <v>8</v>
      </c>
      <c r="K84" s="10">
        <v>4</v>
      </c>
      <c r="L84" s="10">
        <f t="shared" si="10"/>
        <v>4.96</v>
      </c>
      <c r="M84" s="11">
        <f t="shared" si="12"/>
        <v>0.41333333333333333</v>
      </c>
      <c r="N84" s="11">
        <f t="shared" si="13"/>
        <v>0.62</v>
      </c>
      <c r="O84" s="11">
        <f t="shared" si="11"/>
        <v>1.48</v>
      </c>
    </row>
    <row r="85" spans="1:15" x14ac:dyDescent="0.3">
      <c r="A85" s="8" t="s">
        <v>106</v>
      </c>
      <c r="B85" s="9" t="s">
        <v>408</v>
      </c>
      <c r="C85" s="9" t="s">
        <v>16</v>
      </c>
      <c r="D85" s="9" t="s">
        <v>34</v>
      </c>
      <c r="E85" s="9" t="s">
        <v>616</v>
      </c>
      <c r="F85" s="9" t="s">
        <v>617</v>
      </c>
      <c r="G85" s="9" t="s">
        <v>621</v>
      </c>
      <c r="H85" s="10">
        <v>5</v>
      </c>
      <c r="I85" s="10">
        <v>14</v>
      </c>
      <c r="J85" s="10">
        <v>10</v>
      </c>
      <c r="K85" s="10">
        <v>4</v>
      </c>
      <c r="L85" s="10">
        <f t="shared" si="10"/>
        <v>4.96</v>
      </c>
      <c r="M85" s="11">
        <f t="shared" si="12"/>
        <v>0.35428571428571426</v>
      </c>
      <c r="N85" s="11">
        <f t="shared" si="13"/>
        <v>0.496</v>
      </c>
      <c r="O85" s="11">
        <f t="shared" si="11"/>
        <v>-8.0000000000000071E-3</v>
      </c>
    </row>
    <row r="86" spans="1:15" x14ac:dyDescent="0.3">
      <c r="A86" s="8" t="s">
        <v>81</v>
      </c>
      <c r="B86" s="9" t="s">
        <v>383</v>
      </c>
      <c r="C86" s="9" t="s">
        <v>16</v>
      </c>
      <c r="D86" s="9" t="s">
        <v>40</v>
      </c>
      <c r="E86" s="9" t="s">
        <v>616</v>
      </c>
      <c r="F86" s="9" t="s">
        <v>617</v>
      </c>
      <c r="G86" s="9" t="s">
        <v>623</v>
      </c>
      <c r="H86" s="10">
        <v>1</v>
      </c>
      <c r="I86" s="10">
        <v>14</v>
      </c>
      <c r="J86" s="10">
        <v>10</v>
      </c>
      <c r="K86" s="10">
        <v>5</v>
      </c>
      <c r="L86" s="10">
        <f t="shared" si="10"/>
        <v>6.2</v>
      </c>
      <c r="M86" s="11">
        <f t="shared" si="12"/>
        <v>0.44285714285714289</v>
      </c>
      <c r="N86" s="11">
        <f t="shared" si="13"/>
        <v>0.62</v>
      </c>
      <c r="O86" s="11">
        <f t="shared" si="11"/>
        <v>5.2</v>
      </c>
    </row>
    <row r="87" spans="1:15" x14ac:dyDescent="0.3">
      <c r="A87" s="8" t="s">
        <v>155</v>
      </c>
      <c r="B87" s="9" t="s">
        <v>445</v>
      </c>
      <c r="C87" s="9" t="s">
        <v>14</v>
      </c>
      <c r="D87" s="9" t="s">
        <v>24</v>
      </c>
      <c r="E87" s="9" t="s">
        <v>616</v>
      </c>
      <c r="F87" s="9" t="s">
        <v>624</v>
      </c>
      <c r="G87" s="9" t="s">
        <v>619</v>
      </c>
      <c r="H87" s="10">
        <v>2</v>
      </c>
      <c r="I87" s="10">
        <v>13</v>
      </c>
      <c r="J87" s="10">
        <v>9</v>
      </c>
      <c r="K87" s="10">
        <v>0</v>
      </c>
      <c r="L87" s="10">
        <f t="shared" si="10"/>
        <v>0</v>
      </c>
      <c r="M87" s="11">
        <f t="shared" si="12"/>
        <v>0</v>
      </c>
      <c r="N87" s="11">
        <f t="shared" si="13"/>
        <v>0</v>
      </c>
      <c r="O87" s="11">
        <f t="shared" si="11"/>
        <v>-1</v>
      </c>
    </row>
    <row r="88" spans="1:15" x14ac:dyDescent="0.3">
      <c r="A88" s="8" t="s">
        <v>149</v>
      </c>
      <c r="B88" s="9" t="s">
        <v>439</v>
      </c>
      <c r="C88" s="9" t="s">
        <v>14</v>
      </c>
      <c r="D88" s="9" t="s">
        <v>32</v>
      </c>
      <c r="E88" s="9" t="s">
        <v>616</v>
      </c>
      <c r="F88" s="9" t="s">
        <v>617</v>
      </c>
      <c r="G88" s="9" t="s">
        <v>619</v>
      </c>
      <c r="H88" s="10">
        <v>13</v>
      </c>
      <c r="I88" s="10">
        <v>12</v>
      </c>
      <c r="J88" s="10">
        <v>8</v>
      </c>
      <c r="K88" s="10">
        <v>7</v>
      </c>
      <c r="L88" s="10">
        <f t="shared" si="10"/>
        <v>8.6800000000000015</v>
      </c>
      <c r="M88" s="11">
        <f t="shared" si="12"/>
        <v>0.72333333333333349</v>
      </c>
      <c r="N88" s="11">
        <f t="shared" si="13"/>
        <v>1.0850000000000002</v>
      </c>
      <c r="O88" s="11">
        <f t="shared" si="11"/>
        <v>-0.33230769230769219</v>
      </c>
    </row>
    <row r="89" spans="1:15" x14ac:dyDescent="0.3">
      <c r="A89" s="8" t="s">
        <v>98</v>
      </c>
      <c r="B89" s="9" t="s">
        <v>400</v>
      </c>
      <c r="C89" s="9" t="s">
        <v>16</v>
      </c>
      <c r="D89" s="9" t="s">
        <v>22</v>
      </c>
      <c r="E89" s="9" t="s">
        <v>616</v>
      </c>
      <c r="F89" s="9" t="s">
        <v>617</v>
      </c>
      <c r="G89" s="9" t="s">
        <v>618</v>
      </c>
      <c r="H89" s="10">
        <v>3</v>
      </c>
      <c r="I89" s="10">
        <v>14</v>
      </c>
      <c r="J89" s="10">
        <v>10</v>
      </c>
      <c r="K89" s="10">
        <v>14</v>
      </c>
      <c r="L89" s="10">
        <f t="shared" si="10"/>
        <v>17.360000000000003</v>
      </c>
      <c r="M89" s="11">
        <f t="shared" si="12"/>
        <v>1.2400000000000002</v>
      </c>
      <c r="N89" s="11">
        <f t="shared" si="13"/>
        <v>1.7360000000000002</v>
      </c>
      <c r="O89" s="11">
        <f t="shared" si="11"/>
        <v>4.786666666666668</v>
      </c>
    </row>
    <row r="90" spans="1:15" x14ac:dyDescent="0.3">
      <c r="A90" s="8" t="s">
        <v>260</v>
      </c>
      <c r="B90" s="9" t="s">
        <v>549</v>
      </c>
      <c r="C90" s="9" t="s">
        <v>14</v>
      </c>
      <c r="D90" s="9" t="s">
        <v>32</v>
      </c>
      <c r="E90" s="9" t="s">
        <v>630</v>
      </c>
      <c r="F90" s="9" t="s">
        <v>617</v>
      </c>
      <c r="G90" s="9" t="s">
        <v>619</v>
      </c>
      <c r="H90" s="10">
        <v>5</v>
      </c>
      <c r="I90" s="10">
        <v>4</v>
      </c>
      <c r="J90" s="10">
        <v>2</v>
      </c>
      <c r="K90" s="10">
        <v>5</v>
      </c>
      <c r="L90" s="10">
        <f t="shared" si="10"/>
        <v>6.2</v>
      </c>
      <c r="M90" s="11">
        <f t="shared" si="12"/>
        <v>1.55</v>
      </c>
      <c r="N90" s="11">
        <f t="shared" si="13"/>
        <v>3.1</v>
      </c>
      <c r="O90" s="11">
        <f t="shared" si="11"/>
        <v>0.24000000000000005</v>
      </c>
    </row>
    <row r="91" spans="1:15" x14ac:dyDescent="0.3">
      <c r="A91" s="8" t="s">
        <v>160</v>
      </c>
      <c r="B91" s="9" t="s">
        <v>450</v>
      </c>
      <c r="C91" s="9" t="s">
        <v>16</v>
      </c>
      <c r="D91" s="9" t="s">
        <v>40</v>
      </c>
      <c r="E91" s="9" t="s">
        <v>616</v>
      </c>
      <c r="F91" s="9" t="s">
        <v>617</v>
      </c>
      <c r="G91" s="9" t="s">
        <v>623</v>
      </c>
      <c r="H91" s="10">
        <v>6</v>
      </c>
      <c r="I91" s="10">
        <v>12</v>
      </c>
      <c r="J91" s="10">
        <v>9</v>
      </c>
      <c r="K91" s="10">
        <v>10</v>
      </c>
      <c r="L91" s="10">
        <f t="shared" si="10"/>
        <v>12.4</v>
      </c>
      <c r="M91" s="11">
        <f t="shared" si="12"/>
        <v>1.0333333333333334</v>
      </c>
      <c r="N91" s="11">
        <f t="shared" si="13"/>
        <v>1.3777777777777778</v>
      </c>
      <c r="O91" s="11">
        <f t="shared" si="11"/>
        <v>1.0666666666666667</v>
      </c>
    </row>
    <row r="92" spans="1:15" x14ac:dyDescent="0.3">
      <c r="A92" s="8" t="s">
        <v>105</v>
      </c>
      <c r="B92" s="9" t="s">
        <v>407</v>
      </c>
      <c r="C92" s="9" t="s">
        <v>14</v>
      </c>
      <c r="D92" s="9" t="s">
        <v>32</v>
      </c>
      <c r="E92" s="9" t="s">
        <v>616</v>
      </c>
      <c r="F92" s="9" t="s">
        <v>617</v>
      </c>
      <c r="G92" s="9" t="s">
        <v>619</v>
      </c>
      <c r="H92" s="10">
        <v>1</v>
      </c>
      <c r="I92" s="10">
        <v>10</v>
      </c>
      <c r="J92" s="10">
        <v>7</v>
      </c>
      <c r="K92" s="10">
        <v>1</v>
      </c>
      <c r="L92" s="10">
        <f t="shared" si="10"/>
        <v>1.24</v>
      </c>
      <c r="M92" s="11">
        <f t="shared" si="12"/>
        <v>0.124</v>
      </c>
      <c r="N92" s="11">
        <f t="shared" si="13"/>
        <v>0.17714285714285713</v>
      </c>
      <c r="O92" s="11">
        <f t="shared" si="11"/>
        <v>0.24</v>
      </c>
    </row>
    <row r="93" spans="1:15" x14ac:dyDescent="0.3">
      <c r="A93" s="8" t="s">
        <v>163</v>
      </c>
      <c r="B93" s="9" t="s">
        <v>453</v>
      </c>
      <c r="C93" s="9" t="s">
        <v>14</v>
      </c>
      <c r="D93" s="9" t="s">
        <v>26</v>
      </c>
      <c r="E93" s="9" t="s">
        <v>616</v>
      </c>
      <c r="F93" s="9" t="s">
        <v>617</v>
      </c>
      <c r="G93" s="9" t="s">
        <v>619</v>
      </c>
      <c r="H93" s="10">
        <v>6</v>
      </c>
      <c r="I93" s="10">
        <v>13</v>
      </c>
      <c r="J93" s="10">
        <v>9</v>
      </c>
      <c r="K93" s="10">
        <v>6</v>
      </c>
      <c r="L93" s="10">
        <f t="shared" si="10"/>
        <v>7.4399999999999995</v>
      </c>
      <c r="M93" s="11">
        <f t="shared" si="12"/>
        <v>0.5723076923076923</v>
      </c>
      <c r="N93" s="11">
        <f t="shared" si="13"/>
        <v>0.82666666666666666</v>
      </c>
      <c r="O93" s="11">
        <f t="shared" si="11"/>
        <v>0.23999999999999991</v>
      </c>
    </row>
    <row r="94" spans="1:15" x14ac:dyDescent="0.3">
      <c r="A94" s="8" t="s">
        <v>136</v>
      </c>
      <c r="B94" s="9" t="s">
        <v>428</v>
      </c>
      <c r="C94" s="9" t="s">
        <v>14</v>
      </c>
      <c r="D94" s="9" t="s">
        <v>26</v>
      </c>
      <c r="E94" s="9" t="s">
        <v>616</v>
      </c>
      <c r="F94" s="9" t="s">
        <v>617</v>
      </c>
      <c r="G94" s="9" t="s">
        <v>619</v>
      </c>
      <c r="H94" s="10">
        <v>9</v>
      </c>
      <c r="I94" s="10">
        <v>12</v>
      </c>
      <c r="J94" s="10">
        <v>8</v>
      </c>
      <c r="K94" s="10">
        <v>13</v>
      </c>
      <c r="L94" s="10">
        <f t="shared" si="10"/>
        <v>16.12</v>
      </c>
      <c r="M94" s="11">
        <f t="shared" si="12"/>
        <v>1.3433333333333335</v>
      </c>
      <c r="N94" s="11">
        <f t="shared" si="13"/>
        <v>2.0150000000000001</v>
      </c>
      <c r="O94" s="11">
        <f t="shared" si="11"/>
        <v>0.79111111111111121</v>
      </c>
    </row>
    <row r="95" spans="1:15" x14ac:dyDescent="0.3">
      <c r="A95" s="8" t="s">
        <v>162</v>
      </c>
      <c r="B95" s="9" t="s">
        <v>452</v>
      </c>
      <c r="C95" s="9" t="s">
        <v>16</v>
      </c>
      <c r="D95" s="9" t="s">
        <v>40</v>
      </c>
      <c r="E95" s="9" t="s">
        <v>616</v>
      </c>
      <c r="F95" s="9" t="s">
        <v>617</v>
      </c>
      <c r="G95" s="9" t="s">
        <v>623</v>
      </c>
      <c r="H95" s="10">
        <v>1</v>
      </c>
      <c r="I95" s="10">
        <v>9</v>
      </c>
      <c r="J95" s="10">
        <v>6</v>
      </c>
      <c r="K95" s="10">
        <v>5</v>
      </c>
      <c r="L95" s="10">
        <f t="shared" si="10"/>
        <v>6.2</v>
      </c>
      <c r="M95" s="11">
        <f t="shared" si="12"/>
        <v>0.68888888888888888</v>
      </c>
      <c r="N95" s="11">
        <f t="shared" si="13"/>
        <v>1.0333333333333334</v>
      </c>
      <c r="O95" s="11">
        <f t="shared" si="11"/>
        <v>5.2</v>
      </c>
    </row>
    <row r="96" spans="1:15" x14ac:dyDescent="0.3">
      <c r="A96" s="8" t="s">
        <v>151</v>
      </c>
      <c r="B96" s="9" t="s">
        <v>441</v>
      </c>
      <c r="C96" s="9" t="s">
        <v>16</v>
      </c>
      <c r="D96" s="9" t="s">
        <v>36</v>
      </c>
      <c r="E96" s="9" t="s">
        <v>616</v>
      </c>
      <c r="F96" s="9" t="s">
        <v>617</v>
      </c>
      <c r="G96" s="9" t="s">
        <v>622</v>
      </c>
      <c r="H96" s="10">
        <v>5</v>
      </c>
      <c r="I96" s="10">
        <v>13</v>
      </c>
      <c r="J96" s="10">
        <v>9</v>
      </c>
      <c r="K96" s="10">
        <v>7</v>
      </c>
      <c r="L96" s="10">
        <f t="shared" si="10"/>
        <v>8.6800000000000015</v>
      </c>
      <c r="M96" s="11">
        <f t="shared" si="12"/>
        <v>0.66769230769230781</v>
      </c>
      <c r="N96" s="11">
        <f t="shared" si="13"/>
        <v>0.96444444444444466</v>
      </c>
      <c r="O96" s="11">
        <f t="shared" si="11"/>
        <v>0.73600000000000032</v>
      </c>
    </row>
    <row r="97" spans="1:15" x14ac:dyDescent="0.3">
      <c r="A97" s="8" t="s">
        <v>73</v>
      </c>
      <c r="B97" s="9" t="s">
        <v>375</v>
      </c>
      <c r="C97" s="9" t="s">
        <v>14</v>
      </c>
      <c r="D97" s="9" t="s">
        <v>26</v>
      </c>
      <c r="E97" s="9" t="s">
        <v>616</v>
      </c>
      <c r="F97" s="9" t="s">
        <v>617</v>
      </c>
      <c r="G97" s="9" t="s">
        <v>619</v>
      </c>
      <c r="H97" s="10">
        <v>2</v>
      </c>
      <c r="I97" s="10">
        <v>14</v>
      </c>
      <c r="J97" s="10">
        <v>10</v>
      </c>
      <c r="K97" s="10">
        <v>5</v>
      </c>
      <c r="L97" s="10">
        <f t="shared" si="10"/>
        <v>6.2</v>
      </c>
      <c r="M97" s="11">
        <f t="shared" si="12"/>
        <v>0.44285714285714289</v>
      </c>
      <c r="N97" s="11">
        <f t="shared" si="13"/>
        <v>0.62</v>
      </c>
      <c r="O97" s="11">
        <f t="shared" si="11"/>
        <v>2.1</v>
      </c>
    </row>
    <row r="98" spans="1:15" x14ac:dyDescent="0.3">
      <c r="A98" s="8" t="s">
        <v>145</v>
      </c>
      <c r="B98" s="9" t="s">
        <v>435</v>
      </c>
      <c r="C98" s="9" t="s">
        <v>14</v>
      </c>
      <c r="D98" s="9" t="s">
        <v>26</v>
      </c>
      <c r="E98" s="9" t="s">
        <v>616</v>
      </c>
      <c r="F98" s="9" t="s">
        <v>617</v>
      </c>
      <c r="G98" s="9" t="s">
        <v>619</v>
      </c>
      <c r="H98" s="10">
        <v>3</v>
      </c>
      <c r="I98" s="10">
        <v>12</v>
      </c>
      <c r="J98" s="10">
        <v>9</v>
      </c>
      <c r="K98" s="10">
        <v>6</v>
      </c>
      <c r="L98" s="10">
        <f t="shared" si="10"/>
        <v>7.4399999999999995</v>
      </c>
      <c r="M98" s="11">
        <f t="shared" si="12"/>
        <v>0.62</v>
      </c>
      <c r="N98" s="11">
        <f t="shared" si="13"/>
        <v>0.82666666666666666</v>
      </c>
      <c r="O98" s="11">
        <f t="shared" si="11"/>
        <v>1.4799999999999998</v>
      </c>
    </row>
    <row r="99" spans="1:15" x14ac:dyDescent="0.3">
      <c r="A99" s="8" t="s">
        <v>121</v>
      </c>
      <c r="B99" s="9" t="s">
        <v>419</v>
      </c>
      <c r="C99" s="9" t="s">
        <v>14</v>
      </c>
      <c r="D99" s="9" t="s">
        <v>28</v>
      </c>
      <c r="E99" s="9" t="s">
        <v>616</v>
      </c>
      <c r="F99" s="9" t="s">
        <v>617</v>
      </c>
      <c r="G99" s="9" t="s">
        <v>620</v>
      </c>
      <c r="H99" s="10">
        <v>4</v>
      </c>
      <c r="I99" s="10">
        <v>14</v>
      </c>
      <c r="J99" s="10">
        <v>10</v>
      </c>
      <c r="K99" s="10">
        <v>8</v>
      </c>
      <c r="L99" s="10">
        <f t="shared" si="10"/>
        <v>9.92</v>
      </c>
      <c r="M99" s="11">
        <f t="shared" si="12"/>
        <v>0.70857142857142852</v>
      </c>
      <c r="N99" s="11">
        <f t="shared" si="13"/>
        <v>0.99199999999999999</v>
      </c>
      <c r="O99" s="11">
        <f t="shared" si="11"/>
        <v>1.48</v>
      </c>
    </row>
    <row r="100" spans="1:15" x14ac:dyDescent="0.3">
      <c r="A100" s="8" t="s">
        <v>141</v>
      </c>
      <c r="B100" s="9" t="s">
        <v>431</v>
      </c>
      <c r="C100" s="9" t="s">
        <v>16</v>
      </c>
      <c r="D100" s="9" t="s">
        <v>36</v>
      </c>
      <c r="E100" s="9" t="s">
        <v>616</v>
      </c>
      <c r="F100" s="9" t="s">
        <v>624</v>
      </c>
      <c r="G100" s="9" t="s">
        <v>622</v>
      </c>
      <c r="H100" s="10">
        <v>3</v>
      </c>
      <c r="I100" s="10">
        <v>6</v>
      </c>
      <c r="J100" s="10">
        <v>5</v>
      </c>
      <c r="K100" s="10">
        <v>0</v>
      </c>
      <c r="L100" s="10">
        <f t="shared" si="10"/>
        <v>0</v>
      </c>
      <c r="M100" s="11">
        <f t="shared" si="12"/>
        <v>0</v>
      </c>
      <c r="N100" s="11">
        <f t="shared" si="13"/>
        <v>0</v>
      </c>
      <c r="O100" s="11">
        <f t="shared" si="11"/>
        <v>-1</v>
      </c>
    </row>
    <row r="101" spans="1:15" x14ac:dyDescent="0.3">
      <c r="A101" s="8" t="s">
        <v>99</v>
      </c>
      <c r="B101" s="9" t="s">
        <v>401</v>
      </c>
      <c r="C101" s="9" t="s">
        <v>16</v>
      </c>
      <c r="D101" s="9" t="s">
        <v>42</v>
      </c>
      <c r="E101" s="9" t="s">
        <v>616</v>
      </c>
      <c r="F101" s="9" t="s">
        <v>617</v>
      </c>
      <c r="G101" s="9" t="s">
        <v>618</v>
      </c>
      <c r="H101" s="10">
        <v>4</v>
      </c>
      <c r="I101" s="10">
        <v>8</v>
      </c>
      <c r="J101" s="10">
        <v>6</v>
      </c>
      <c r="K101" s="10">
        <v>2</v>
      </c>
      <c r="L101" s="10">
        <f t="shared" si="10"/>
        <v>2.48</v>
      </c>
      <c r="M101" s="11">
        <f t="shared" si="12"/>
        <v>0.31</v>
      </c>
      <c r="N101" s="11">
        <f t="shared" si="13"/>
        <v>0.41333333333333333</v>
      </c>
      <c r="O101" s="11">
        <f t="shared" si="11"/>
        <v>-0.38</v>
      </c>
    </row>
    <row r="102" spans="1:15" x14ac:dyDescent="0.3">
      <c r="A102" s="8" t="s">
        <v>82</v>
      </c>
      <c r="B102" s="9" t="s">
        <v>384</v>
      </c>
      <c r="C102" s="9" t="s">
        <v>16</v>
      </c>
      <c r="D102" s="9" t="s">
        <v>44</v>
      </c>
      <c r="E102" s="9" t="s">
        <v>616</v>
      </c>
      <c r="F102" s="9" t="s">
        <v>617</v>
      </c>
      <c r="G102" s="9" t="s">
        <v>622</v>
      </c>
      <c r="H102" s="10">
        <v>1</v>
      </c>
      <c r="I102" s="10">
        <v>8</v>
      </c>
      <c r="J102" s="10">
        <v>6</v>
      </c>
      <c r="K102" s="10">
        <v>5</v>
      </c>
      <c r="L102" s="10">
        <f t="shared" si="10"/>
        <v>6.2</v>
      </c>
      <c r="M102" s="11">
        <f t="shared" si="12"/>
        <v>0.77500000000000002</v>
      </c>
      <c r="N102" s="11">
        <f t="shared" si="13"/>
        <v>1.0333333333333334</v>
      </c>
      <c r="O102" s="11">
        <f t="shared" si="11"/>
        <v>5.2</v>
      </c>
    </row>
    <row r="103" spans="1:15" x14ac:dyDescent="0.3">
      <c r="A103" s="8" t="s">
        <v>77</v>
      </c>
      <c r="B103" s="9" t="s">
        <v>379</v>
      </c>
      <c r="C103" s="9" t="s">
        <v>16</v>
      </c>
      <c r="D103" s="9" t="s">
        <v>44</v>
      </c>
      <c r="E103" s="9" t="s">
        <v>616</v>
      </c>
      <c r="F103" s="9" t="s">
        <v>617</v>
      </c>
      <c r="G103" s="9" t="s">
        <v>622</v>
      </c>
      <c r="H103" s="10">
        <v>4</v>
      </c>
      <c r="I103" s="10">
        <v>8</v>
      </c>
      <c r="J103" s="10">
        <v>6</v>
      </c>
      <c r="K103" s="10">
        <v>1</v>
      </c>
      <c r="L103" s="10">
        <f t="shared" si="10"/>
        <v>1.24</v>
      </c>
      <c r="M103" s="11">
        <f t="shared" si="12"/>
        <v>0.155</v>
      </c>
      <c r="N103" s="11">
        <f t="shared" si="13"/>
        <v>0.20666666666666667</v>
      </c>
      <c r="O103" s="11">
        <f t="shared" si="11"/>
        <v>-0.69</v>
      </c>
    </row>
    <row r="104" spans="1:15" x14ac:dyDescent="0.3">
      <c r="A104" s="8" t="s">
        <v>150</v>
      </c>
      <c r="B104" s="9" t="s">
        <v>440</v>
      </c>
      <c r="C104" s="9" t="s">
        <v>16</v>
      </c>
      <c r="D104" s="9" t="s">
        <v>42</v>
      </c>
      <c r="E104" s="9" t="s">
        <v>616</v>
      </c>
      <c r="F104" s="9" t="s">
        <v>624</v>
      </c>
      <c r="G104" s="9" t="s">
        <v>618</v>
      </c>
      <c r="H104" s="10">
        <v>0</v>
      </c>
      <c r="I104" s="10">
        <v>6</v>
      </c>
      <c r="J104" s="10">
        <v>5</v>
      </c>
      <c r="K104" s="10">
        <v>0</v>
      </c>
      <c r="L104" s="10">
        <f t="shared" si="10"/>
        <v>0</v>
      </c>
      <c r="M104" s="11">
        <f t="shared" si="12"/>
        <v>0</v>
      </c>
      <c r="N104" s="11">
        <f t="shared" si="13"/>
        <v>0</v>
      </c>
      <c r="O104" s="11">
        <f t="shared" si="11"/>
        <v>0</v>
      </c>
    </row>
    <row r="105" spans="1:15" x14ac:dyDescent="0.3">
      <c r="A105" s="8" t="s">
        <v>142</v>
      </c>
      <c r="B105" s="9" t="s">
        <v>432</v>
      </c>
      <c r="C105" s="9" t="s">
        <v>16</v>
      </c>
      <c r="D105" s="9" t="s">
        <v>38</v>
      </c>
      <c r="E105" s="9" t="s">
        <v>616</v>
      </c>
      <c r="F105" s="9" t="s">
        <v>624</v>
      </c>
      <c r="G105" s="9" t="s">
        <v>621</v>
      </c>
      <c r="H105" s="10">
        <v>0</v>
      </c>
      <c r="I105" s="10">
        <v>7</v>
      </c>
      <c r="J105" s="10">
        <v>5</v>
      </c>
      <c r="K105" s="10">
        <v>0</v>
      </c>
      <c r="L105" s="10">
        <f t="shared" si="10"/>
        <v>0</v>
      </c>
      <c r="M105" s="11">
        <f t="shared" si="12"/>
        <v>0</v>
      </c>
      <c r="N105" s="11">
        <f t="shared" si="13"/>
        <v>0</v>
      </c>
      <c r="O105" s="11">
        <f t="shared" si="11"/>
        <v>0</v>
      </c>
    </row>
    <row r="106" spans="1:15" x14ac:dyDescent="0.3">
      <c r="A106" s="8" t="s">
        <v>101</v>
      </c>
      <c r="B106" s="9" t="s">
        <v>403</v>
      </c>
      <c r="C106" s="9" t="s">
        <v>16</v>
      </c>
      <c r="D106" s="9" t="s">
        <v>42</v>
      </c>
      <c r="E106" s="9" t="s">
        <v>616</v>
      </c>
      <c r="F106" s="9" t="s">
        <v>617</v>
      </c>
      <c r="G106" s="9" t="s">
        <v>618</v>
      </c>
      <c r="H106" s="10">
        <v>2</v>
      </c>
      <c r="I106" s="10">
        <v>12</v>
      </c>
      <c r="J106" s="10">
        <v>9</v>
      </c>
      <c r="K106" s="10">
        <v>1</v>
      </c>
      <c r="L106" s="10">
        <f t="shared" si="10"/>
        <v>1.24</v>
      </c>
      <c r="M106" s="11">
        <f t="shared" si="12"/>
        <v>0.10333333333333333</v>
      </c>
      <c r="N106" s="11">
        <f t="shared" si="13"/>
        <v>0.13777777777777778</v>
      </c>
      <c r="O106" s="11">
        <f t="shared" si="11"/>
        <v>-0.38</v>
      </c>
    </row>
    <row r="107" spans="1:15" x14ac:dyDescent="0.3">
      <c r="A107" s="8" t="s">
        <v>104</v>
      </c>
      <c r="B107" s="9" t="s">
        <v>406</v>
      </c>
      <c r="C107" s="9" t="s">
        <v>16</v>
      </c>
      <c r="D107" s="9" t="s">
        <v>36</v>
      </c>
      <c r="E107" s="9" t="s">
        <v>616</v>
      </c>
      <c r="F107" s="9" t="s">
        <v>617</v>
      </c>
      <c r="G107" s="9" t="s">
        <v>622</v>
      </c>
      <c r="H107" s="10">
        <v>2</v>
      </c>
      <c r="I107" s="10">
        <v>12</v>
      </c>
      <c r="J107" s="10">
        <v>8</v>
      </c>
      <c r="K107" s="10">
        <v>1</v>
      </c>
      <c r="L107" s="10">
        <f t="shared" si="10"/>
        <v>1.24</v>
      </c>
      <c r="M107" s="11">
        <f t="shared" si="12"/>
        <v>0.10333333333333333</v>
      </c>
      <c r="N107" s="11">
        <f t="shared" si="13"/>
        <v>0.155</v>
      </c>
      <c r="O107" s="11">
        <f t="shared" si="11"/>
        <v>-0.38</v>
      </c>
    </row>
    <row r="108" spans="1:15" x14ac:dyDescent="0.3">
      <c r="A108" s="8" t="s">
        <v>109</v>
      </c>
      <c r="B108" s="9" t="s">
        <v>411</v>
      </c>
      <c r="C108" s="9" t="s">
        <v>16</v>
      </c>
      <c r="D108" s="9" t="s">
        <v>38</v>
      </c>
      <c r="E108" s="9" t="s">
        <v>616</v>
      </c>
      <c r="F108" s="9" t="s">
        <v>617</v>
      </c>
      <c r="G108" s="9" t="s">
        <v>621</v>
      </c>
      <c r="H108" s="10">
        <v>1</v>
      </c>
      <c r="I108" s="10">
        <v>13</v>
      </c>
      <c r="J108" s="10">
        <v>10</v>
      </c>
      <c r="K108" s="10">
        <v>1</v>
      </c>
      <c r="L108" s="10">
        <f t="shared" si="10"/>
        <v>1.24</v>
      </c>
      <c r="M108" s="11">
        <f t="shared" si="12"/>
        <v>9.5384615384615387E-2</v>
      </c>
      <c r="N108" s="11">
        <f t="shared" si="13"/>
        <v>0.124</v>
      </c>
      <c r="O108" s="11">
        <f t="shared" si="11"/>
        <v>0.24</v>
      </c>
    </row>
    <row r="109" spans="1:15" x14ac:dyDescent="0.3">
      <c r="A109" s="8" t="s">
        <v>112</v>
      </c>
      <c r="B109" s="9" t="s">
        <v>414</v>
      </c>
      <c r="C109" s="9" t="s">
        <v>14</v>
      </c>
      <c r="D109" s="9" t="s">
        <v>32</v>
      </c>
      <c r="E109" s="9" t="s">
        <v>616</v>
      </c>
      <c r="F109" s="9" t="s">
        <v>617</v>
      </c>
      <c r="G109" s="9" t="s">
        <v>619</v>
      </c>
      <c r="H109" s="10">
        <v>0</v>
      </c>
      <c r="I109" s="10">
        <v>8</v>
      </c>
      <c r="J109" s="10">
        <v>6</v>
      </c>
      <c r="K109" s="10">
        <v>3</v>
      </c>
      <c r="L109" s="10">
        <f t="shared" si="10"/>
        <v>3.7199999999999998</v>
      </c>
      <c r="M109" s="11">
        <f t="shared" si="12"/>
        <v>0.46499999999999997</v>
      </c>
      <c r="N109" s="11">
        <f t="shared" si="13"/>
        <v>0.62</v>
      </c>
      <c r="O109" s="11">
        <f t="shared" si="11"/>
        <v>0</v>
      </c>
    </row>
    <row r="110" spans="1:15" x14ac:dyDescent="0.3">
      <c r="A110" s="8" t="s">
        <v>110</v>
      </c>
      <c r="B110" s="9" t="s">
        <v>412</v>
      </c>
      <c r="C110" s="9" t="s">
        <v>14</v>
      </c>
      <c r="D110" s="9" t="s">
        <v>32</v>
      </c>
      <c r="E110" s="9" t="s">
        <v>616</v>
      </c>
      <c r="F110" s="9" t="s">
        <v>617</v>
      </c>
      <c r="G110" s="9" t="s">
        <v>619</v>
      </c>
      <c r="H110" s="10">
        <v>0</v>
      </c>
      <c r="I110" s="10">
        <v>9</v>
      </c>
      <c r="J110" s="10">
        <v>7</v>
      </c>
      <c r="K110" s="10">
        <v>2</v>
      </c>
      <c r="L110" s="10">
        <f t="shared" si="10"/>
        <v>2.48</v>
      </c>
      <c r="M110" s="11">
        <f t="shared" si="12"/>
        <v>0.27555555555555555</v>
      </c>
      <c r="N110" s="11">
        <f t="shared" si="13"/>
        <v>0.35428571428571426</v>
      </c>
      <c r="O110" s="11">
        <f t="shared" si="11"/>
        <v>0</v>
      </c>
    </row>
    <row r="111" spans="1:15" x14ac:dyDescent="0.3">
      <c r="A111" s="8" t="s">
        <v>156</v>
      </c>
      <c r="B111" s="9" t="s">
        <v>446</v>
      </c>
      <c r="C111" s="9" t="s">
        <v>14</v>
      </c>
      <c r="D111" s="9" t="s">
        <v>28</v>
      </c>
      <c r="E111" s="9" t="s">
        <v>616</v>
      </c>
      <c r="F111" s="9" t="s">
        <v>624</v>
      </c>
      <c r="G111" s="9" t="s">
        <v>620</v>
      </c>
      <c r="H111" s="10">
        <v>0</v>
      </c>
      <c r="I111" s="10">
        <v>7</v>
      </c>
      <c r="J111" s="10">
        <v>5</v>
      </c>
      <c r="K111" s="10">
        <v>0</v>
      </c>
      <c r="L111" s="10">
        <f t="shared" si="10"/>
        <v>0</v>
      </c>
      <c r="M111" s="11">
        <f t="shared" si="12"/>
        <v>0</v>
      </c>
      <c r="N111" s="11">
        <f t="shared" si="13"/>
        <v>0</v>
      </c>
      <c r="O111" s="11">
        <f t="shared" si="11"/>
        <v>0</v>
      </c>
    </row>
    <row r="112" spans="1:15" x14ac:dyDescent="0.3">
      <c r="A112" s="8" t="s">
        <v>108</v>
      </c>
      <c r="B112" s="9" t="s">
        <v>410</v>
      </c>
      <c r="C112" s="9" t="s">
        <v>14</v>
      </c>
      <c r="D112" s="9" t="s">
        <v>24</v>
      </c>
      <c r="E112" s="9" t="s">
        <v>616</v>
      </c>
      <c r="F112" s="9" t="s">
        <v>617</v>
      </c>
      <c r="G112" s="9" t="s">
        <v>619</v>
      </c>
      <c r="H112" s="10">
        <v>0</v>
      </c>
      <c r="I112" s="10">
        <v>6</v>
      </c>
      <c r="J112" s="10">
        <v>4</v>
      </c>
      <c r="K112" s="10">
        <v>0</v>
      </c>
      <c r="L112" s="10">
        <f t="shared" si="10"/>
        <v>0</v>
      </c>
      <c r="M112" s="11">
        <f t="shared" si="12"/>
        <v>0</v>
      </c>
      <c r="N112" s="11">
        <f t="shared" si="13"/>
        <v>0</v>
      </c>
      <c r="O112" s="11">
        <f t="shared" si="11"/>
        <v>0</v>
      </c>
    </row>
    <row r="113" spans="1:15" x14ac:dyDescent="0.3">
      <c r="A113" s="8" t="s">
        <v>68</v>
      </c>
      <c r="B113" s="9" t="s">
        <v>370</v>
      </c>
      <c r="C113" s="9" t="s">
        <v>16</v>
      </c>
      <c r="D113" s="9" t="s">
        <v>38</v>
      </c>
      <c r="E113" s="9" t="s">
        <v>616</v>
      </c>
      <c r="F113" s="9" t="s">
        <v>617</v>
      </c>
      <c r="G113" s="9" t="s">
        <v>622</v>
      </c>
      <c r="H113" s="10">
        <v>4</v>
      </c>
      <c r="I113" s="10">
        <v>3</v>
      </c>
      <c r="J113" s="10">
        <v>2</v>
      </c>
      <c r="K113" s="10">
        <v>7</v>
      </c>
      <c r="L113" s="10">
        <f t="shared" si="10"/>
        <v>8.6800000000000015</v>
      </c>
      <c r="M113" s="11">
        <f t="shared" si="12"/>
        <v>2.893333333333334</v>
      </c>
      <c r="N113" s="11">
        <f t="shared" si="13"/>
        <v>4.3400000000000007</v>
      </c>
      <c r="O113" s="11">
        <f t="shared" si="11"/>
        <v>1.1700000000000004</v>
      </c>
    </row>
    <row r="114" spans="1:15" x14ac:dyDescent="0.3">
      <c r="A114" s="8" t="s">
        <v>63</v>
      </c>
      <c r="B114" s="9" t="s">
        <v>365</v>
      </c>
      <c r="C114" s="9" t="s">
        <v>16</v>
      </c>
      <c r="D114" s="9" t="s">
        <v>22</v>
      </c>
      <c r="E114" s="9" t="s">
        <v>616</v>
      </c>
      <c r="F114" s="9" t="s">
        <v>617</v>
      </c>
      <c r="G114" s="9" t="s">
        <v>618</v>
      </c>
      <c r="H114" s="10">
        <v>2</v>
      </c>
      <c r="I114" s="10">
        <v>16</v>
      </c>
      <c r="J114" s="10">
        <v>11</v>
      </c>
      <c r="K114" s="10">
        <v>8</v>
      </c>
      <c r="L114" s="10">
        <f t="shared" si="10"/>
        <v>9.92</v>
      </c>
      <c r="M114" s="11">
        <f t="shared" si="12"/>
        <v>0.62</v>
      </c>
      <c r="N114" s="11">
        <f t="shared" si="13"/>
        <v>0.90181818181818185</v>
      </c>
      <c r="O114" s="11">
        <f t="shared" si="11"/>
        <v>3.96</v>
      </c>
    </row>
    <row r="115" spans="1:15" x14ac:dyDescent="0.3">
      <c r="A115" s="8" t="s">
        <v>70</v>
      </c>
      <c r="B115" s="9" t="s">
        <v>372</v>
      </c>
      <c r="C115" s="9" t="s">
        <v>16</v>
      </c>
      <c r="D115" s="9" t="s">
        <v>42</v>
      </c>
      <c r="E115" s="9" t="s">
        <v>616</v>
      </c>
      <c r="F115" s="9" t="s">
        <v>617</v>
      </c>
      <c r="G115" s="9" t="s">
        <v>618</v>
      </c>
      <c r="H115" s="10">
        <v>5</v>
      </c>
      <c r="I115" s="10">
        <v>10</v>
      </c>
      <c r="J115" s="10">
        <v>7</v>
      </c>
      <c r="K115" s="10">
        <v>4</v>
      </c>
      <c r="L115" s="10">
        <f t="shared" si="10"/>
        <v>4.96</v>
      </c>
      <c r="M115" s="11">
        <f t="shared" si="12"/>
        <v>0.496</v>
      </c>
      <c r="N115" s="11">
        <f t="shared" si="13"/>
        <v>0.70857142857142852</v>
      </c>
      <c r="O115" s="11">
        <f t="shared" si="11"/>
        <v>-8.0000000000000071E-3</v>
      </c>
    </row>
    <row r="116" spans="1:15" x14ac:dyDescent="0.3">
      <c r="A116" s="8" t="s">
        <v>274</v>
      </c>
      <c r="B116" s="9" t="s">
        <v>563</v>
      </c>
      <c r="C116" s="9" t="s">
        <v>14</v>
      </c>
      <c r="D116" s="9" t="s">
        <v>30</v>
      </c>
      <c r="E116" s="9" t="s">
        <v>631</v>
      </c>
      <c r="F116" s="9" t="s">
        <v>624</v>
      </c>
      <c r="G116" s="9" t="s">
        <v>620</v>
      </c>
      <c r="H116" s="10">
        <v>0</v>
      </c>
      <c r="I116" s="10">
        <v>9</v>
      </c>
      <c r="J116" s="10">
        <v>7</v>
      </c>
      <c r="K116" s="10">
        <v>0</v>
      </c>
      <c r="L116" s="10">
        <f t="shared" si="10"/>
        <v>0</v>
      </c>
      <c r="M116" s="11">
        <f t="shared" si="12"/>
        <v>0</v>
      </c>
      <c r="N116" s="11">
        <f t="shared" si="13"/>
        <v>0</v>
      </c>
      <c r="O116" s="11">
        <f t="shared" si="11"/>
        <v>0</v>
      </c>
    </row>
    <row r="117" spans="1:15" x14ac:dyDescent="0.3">
      <c r="A117" s="8" t="s">
        <v>67</v>
      </c>
      <c r="B117" s="9" t="s">
        <v>369</v>
      </c>
      <c r="C117" s="9" t="s">
        <v>14</v>
      </c>
      <c r="D117" s="9" t="s">
        <v>24</v>
      </c>
      <c r="E117" s="9" t="s">
        <v>616</v>
      </c>
      <c r="F117" s="9" t="s">
        <v>617</v>
      </c>
      <c r="G117" s="9" t="s">
        <v>619</v>
      </c>
      <c r="H117" s="10">
        <v>3</v>
      </c>
      <c r="I117" s="10">
        <v>13</v>
      </c>
      <c r="J117" s="10">
        <v>9</v>
      </c>
      <c r="K117" s="10">
        <v>6</v>
      </c>
      <c r="L117" s="10">
        <f t="shared" si="10"/>
        <v>7.4399999999999995</v>
      </c>
      <c r="M117" s="11">
        <f t="shared" si="12"/>
        <v>0.5723076923076923</v>
      </c>
      <c r="N117" s="11">
        <f t="shared" si="13"/>
        <v>0.82666666666666666</v>
      </c>
      <c r="O117" s="11">
        <f t="shared" si="11"/>
        <v>1.4799999999999998</v>
      </c>
    </row>
    <row r="118" spans="1:15" x14ac:dyDescent="0.3">
      <c r="A118" s="8" t="s">
        <v>61</v>
      </c>
      <c r="B118" s="9" t="s">
        <v>364</v>
      </c>
      <c r="C118" s="9" t="s">
        <v>16</v>
      </c>
      <c r="D118" s="9" t="s">
        <v>44</v>
      </c>
      <c r="E118" s="9" t="s">
        <v>616</v>
      </c>
      <c r="F118" s="9" t="s">
        <v>617</v>
      </c>
      <c r="G118" s="9" t="s">
        <v>622</v>
      </c>
      <c r="H118" s="10">
        <v>3</v>
      </c>
      <c r="I118" s="10">
        <v>10</v>
      </c>
      <c r="J118" s="10">
        <v>7</v>
      </c>
      <c r="K118" s="10">
        <v>10</v>
      </c>
      <c r="L118" s="10">
        <f t="shared" si="10"/>
        <v>12.4</v>
      </c>
      <c r="M118" s="11">
        <f t="shared" si="12"/>
        <v>1.24</v>
      </c>
      <c r="N118" s="11">
        <f t="shared" si="13"/>
        <v>1.7714285714285716</v>
      </c>
      <c r="O118" s="11">
        <f t="shared" si="11"/>
        <v>3.1333333333333333</v>
      </c>
    </row>
    <row r="119" spans="1:15" x14ac:dyDescent="0.3">
      <c r="A119" s="8" t="s">
        <v>249</v>
      </c>
      <c r="B119" s="9" t="s">
        <v>538</v>
      </c>
      <c r="C119" s="9" t="s">
        <v>14</v>
      </c>
      <c r="D119" s="9" t="s">
        <v>30</v>
      </c>
      <c r="E119" s="9" t="s">
        <v>616</v>
      </c>
      <c r="F119" s="9" t="s">
        <v>624</v>
      </c>
      <c r="G119" s="9" t="s">
        <v>620</v>
      </c>
      <c r="H119" s="10">
        <v>0</v>
      </c>
      <c r="I119" s="10">
        <v>10</v>
      </c>
      <c r="J119" s="10">
        <v>7</v>
      </c>
      <c r="K119" s="10">
        <v>0</v>
      </c>
      <c r="L119" s="10">
        <f t="shared" si="10"/>
        <v>0</v>
      </c>
      <c r="M119" s="11">
        <f t="shared" si="12"/>
        <v>0</v>
      </c>
      <c r="N119" s="11">
        <f t="shared" si="13"/>
        <v>0</v>
      </c>
      <c r="O119" s="11">
        <f t="shared" si="11"/>
        <v>0</v>
      </c>
    </row>
    <row r="120" spans="1:15" x14ac:dyDescent="0.3">
      <c r="A120" s="8" t="s">
        <v>251</v>
      </c>
      <c r="B120" s="9" t="s">
        <v>540</v>
      </c>
      <c r="C120" s="9" t="s">
        <v>14</v>
      </c>
      <c r="D120" s="9" t="s">
        <v>24</v>
      </c>
      <c r="E120" s="9" t="s">
        <v>616</v>
      </c>
      <c r="F120" s="9" t="s">
        <v>624</v>
      </c>
      <c r="G120" s="9" t="s">
        <v>619</v>
      </c>
      <c r="H120" s="10">
        <v>0</v>
      </c>
      <c r="I120" s="10">
        <v>9</v>
      </c>
      <c r="J120" s="10">
        <v>6</v>
      </c>
      <c r="K120" s="10">
        <v>0</v>
      </c>
      <c r="L120" s="10">
        <f t="shared" si="10"/>
        <v>0</v>
      </c>
      <c r="M120" s="11">
        <f t="shared" si="12"/>
        <v>0</v>
      </c>
      <c r="N120" s="11">
        <f t="shared" si="13"/>
        <v>0</v>
      </c>
      <c r="O120" s="11">
        <f t="shared" si="11"/>
        <v>0</v>
      </c>
    </row>
    <row r="121" spans="1:15" x14ac:dyDescent="0.3">
      <c r="A121" s="8" t="s">
        <v>272</v>
      </c>
      <c r="B121" s="9" t="s">
        <v>561</v>
      </c>
      <c r="C121" s="9" t="s">
        <v>14</v>
      </c>
      <c r="D121" s="9" t="s">
        <v>26</v>
      </c>
      <c r="E121" s="9" t="s">
        <v>631</v>
      </c>
      <c r="F121" s="9" t="s">
        <v>624</v>
      </c>
      <c r="G121" s="9" t="s">
        <v>619</v>
      </c>
      <c r="H121" s="10">
        <v>0</v>
      </c>
      <c r="I121" s="10">
        <v>2</v>
      </c>
      <c r="J121" s="10">
        <v>2</v>
      </c>
      <c r="K121" s="10">
        <v>0</v>
      </c>
      <c r="L121" s="10">
        <f t="shared" si="10"/>
        <v>0</v>
      </c>
      <c r="M121" s="11">
        <f t="shared" si="12"/>
        <v>0</v>
      </c>
      <c r="N121" s="11">
        <f t="shared" si="13"/>
        <v>0</v>
      </c>
      <c r="O121" s="11">
        <f t="shared" si="11"/>
        <v>0</v>
      </c>
    </row>
    <row r="122" spans="1:15" x14ac:dyDescent="0.3">
      <c r="A122" s="8" t="s">
        <v>273</v>
      </c>
      <c r="B122" s="9" t="s">
        <v>562</v>
      </c>
      <c r="C122" s="9" t="s">
        <v>16</v>
      </c>
      <c r="D122" s="9" t="s">
        <v>40</v>
      </c>
      <c r="E122" s="9" t="s">
        <v>631</v>
      </c>
      <c r="F122" s="9" t="s">
        <v>624</v>
      </c>
      <c r="G122" s="9" t="s">
        <v>623</v>
      </c>
      <c r="H122" s="10">
        <v>0</v>
      </c>
      <c r="I122" s="10">
        <v>5</v>
      </c>
      <c r="J122" s="10">
        <v>3</v>
      </c>
      <c r="K122" s="10">
        <v>0</v>
      </c>
      <c r="L122" s="10">
        <f t="shared" si="10"/>
        <v>0</v>
      </c>
      <c r="M122" s="11">
        <f t="shared" si="12"/>
        <v>0</v>
      </c>
      <c r="N122" s="11">
        <f t="shared" si="13"/>
        <v>0</v>
      </c>
      <c r="O122" s="11">
        <f t="shared" si="11"/>
        <v>0</v>
      </c>
    </row>
    <row r="123" spans="1:15" x14ac:dyDescent="0.3">
      <c r="A123" s="8" t="s">
        <v>74</v>
      </c>
      <c r="B123" s="9" t="s">
        <v>376</v>
      </c>
      <c r="C123" s="9" t="s">
        <v>16</v>
      </c>
      <c r="D123" s="9" t="s">
        <v>34</v>
      </c>
      <c r="E123" s="9" t="s">
        <v>616</v>
      </c>
      <c r="F123" s="9" t="s">
        <v>617</v>
      </c>
      <c r="G123" s="9" t="s">
        <v>621</v>
      </c>
      <c r="H123" s="10">
        <v>5</v>
      </c>
      <c r="I123" s="10">
        <v>9</v>
      </c>
      <c r="J123" s="10">
        <v>7</v>
      </c>
      <c r="K123" s="10">
        <v>7</v>
      </c>
      <c r="L123" s="10">
        <f t="shared" si="10"/>
        <v>8.6800000000000015</v>
      </c>
      <c r="M123" s="11">
        <f t="shared" si="12"/>
        <v>0.96444444444444466</v>
      </c>
      <c r="N123" s="11">
        <f t="shared" si="13"/>
        <v>1.2400000000000002</v>
      </c>
      <c r="O123" s="11">
        <f t="shared" si="11"/>
        <v>0.73600000000000032</v>
      </c>
    </row>
    <row r="124" spans="1:15" x14ac:dyDescent="0.3">
      <c r="A124" s="8" t="s">
        <v>80</v>
      </c>
      <c r="B124" s="9" t="s">
        <v>382</v>
      </c>
      <c r="C124" s="9" t="s">
        <v>16</v>
      </c>
      <c r="D124" s="9" t="s">
        <v>44</v>
      </c>
      <c r="E124" s="9" t="s">
        <v>616</v>
      </c>
      <c r="F124" s="9" t="s">
        <v>617</v>
      </c>
      <c r="G124" s="9" t="s">
        <v>622</v>
      </c>
      <c r="H124" s="10">
        <v>1</v>
      </c>
      <c r="I124" s="10">
        <v>10</v>
      </c>
      <c r="J124" s="10">
        <v>7</v>
      </c>
      <c r="K124" s="10">
        <v>4</v>
      </c>
      <c r="L124" s="10">
        <f t="shared" si="10"/>
        <v>4.96</v>
      </c>
      <c r="M124" s="11">
        <f t="shared" si="12"/>
        <v>0.496</v>
      </c>
      <c r="N124" s="11">
        <f t="shared" si="13"/>
        <v>0.70857142857142852</v>
      </c>
      <c r="O124" s="11">
        <f t="shared" si="11"/>
        <v>3.96</v>
      </c>
    </row>
    <row r="125" spans="1:15" x14ac:dyDescent="0.3">
      <c r="A125" s="8" t="s">
        <v>122</v>
      </c>
      <c r="B125" s="9" t="s">
        <v>420</v>
      </c>
      <c r="C125" s="9" t="s">
        <v>14</v>
      </c>
      <c r="D125" s="9" t="s">
        <v>30</v>
      </c>
      <c r="E125" s="9" t="s">
        <v>616</v>
      </c>
      <c r="F125" s="9" t="s">
        <v>617</v>
      </c>
      <c r="G125" s="9" t="s">
        <v>620</v>
      </c>
      <c r="H125" s="10">
        <v>3</v>
      </c>
      <c r="I125" s="10">
        <v>9</v>
      </c>
      <c r="J125" s="10">
        <v>7</v>
      </c>
      <c r="K125" s="10">
        <v>4</v>
      </c>
      <c r="L125" s="10">
        <f t="shared" si="10"/>
        <v>4.96</v>
      </c>
      <c r="M125" s="11">
        <f t="shared" si="12"/>
        <v>0.55111111111111111</v>
      </c>
      <c r="N125" s="11">
        <f t="shared" si="13"/>
        <v>0.70857142857142852</v>
      </c>
      <c r="O125" s="11">
        <f t="shared" si="11"/>
        <v>0.65333333333333332</v>
      </c>
    </row>
    <row r="126" spans="1:15" x14ac:dyDescent="0.3">
      <c r="A126" s="8" t="s">
        <v>64</v>
      </c>
      <c r="B126" s="9" t="s">
        <v>366</v>
      </c>
      <c r="C126" s="9" t="s">
        <v>14</v>
      </c>
      <c r="D126" s="9" t="s">
        <v>32</v>
      </c>
      <c r="E126" s="9" t="s">
        <v>616</v>
      </c>
      <c r="F126" s="9" t="s">
        <v>617</v>
      </c>
      <c r="G126" s="9" t="s">
        <v>619</v>
      </c>
      <c r="H126" s="10">
        <v>3</v>
      </c>
      <c r="I126" s="10">
        <v>8</v>
      </c>
      <c r="J126" s="10">
        <v>6</v>
      </c>
      <c r="K126" s="10">
        <v>1</v>
      </c>
      <c r="L126" s="10">
        <f t="shared" si="10"/>
        <v>1.24</v>
      </c>
      <c r="M126" s="11">
        <f t="shared" si="12"/>
        <v>0.155</v>
      </c>
      <c r="N126" s="11">
        <f t="shared" si="13"/>
        <v>0.20666666666666667</v>
      </c>
      <c r="O126" s="11">
        <f t="shared" si="11"/>
        <v>-0.58666666666666667</v>
      </c>
    </row>
    <row r="127" spans="1:15" x14ac:dyDescent="0.3">
      <c r="A127" s="8" t="s">
        <v>250</v>
      </c>
      <c r="B127" s="9" t="s">
        <v>539</v>
      </c>
      <c r="C127" s="9" t="s">
        <v>16</v>
      </c>
      <c r="D127" s="9" t="s">
        <v>22</v>
      </c>
      <c r="E127" s="9" t="s">
        <v>616</v>
      </c>
      <c r="F127" s="9" t="s">
        <v>624</v>
      </c>
      <c r="G127" s="9" t="s">
        <v>618</v>
      </c>
      <c r="H127" s="10">
        <v>0</v>
      </c>
      <c r="I127" s="10">
        <v>9</v>
      </c>
      <c r="J127" s="10">
        <v>6</v>
      </c>
      <c r="K127" s="10">
        <v>0</v>
      </c>
      <c r="L127" s="10">
        <f t="shared" si="10"/>
        <v>0</v>
      </c>
      <c r="M127" s="11">
        <f t="shared" si="12"/>
        <v>0</v>
      </c>
      <c r="N127" s="11">
        <f t="shared" si="13"/>
        <v>0</v>
      </c>
      <c r="O127" s="11">
        <f t="shared" si="11"/>
        <v>0</v>
      </c>
    </row>
    <row r="128" spans="1:15" x14ac:dyDescent="0.3">
      <c r="A128" s="8" t="s">
        <v>147</v>
      </c>
      <c r="B128" s="9" t="s">
        <v>437</v>
      </c>
      <c r="C128" s="9" t="s">
        <v>16</v>
      </c>
      <c r="D128" s="9" t="s">
        <v>42</v>
      </c>
      <c r="E128" s="9" t="s">
        <v>616</v>
      </c>
      <c r="F128" s="9" t="s">
        <v>617</v>
      </c>
      <c r="G128" s="9" t="s">
        <v>618</v>
      </c>
      <c r="H128" s="10">
        <v>5</v>
      </c>
      <c r="I128" s="10">
        <v>5</v>
      </c>
      <c r="J128" s="10">
        <v>3</v>
      </c>
      <c r="K128" s="10">
        <v>2</v>
      </c>
      <c r="L128" s="10">
        <f t="shared" si="10"/>
        <v>2.48</v>
      </c>
      <c r="M128" s="11">
        <f t="shared" si="12"/>
        <v>0.496</v>
      </c>
      <c r="N128" s="11">
        <f t="shared" si="13"/>
        <v>0.82666666666666666</v>
      </c>
      <c r="O128" s="11">
        <f t="shared" si="11"/>
        <v>-0.504</v>
      </c>
    </row>
    <row r="129" spans="1:15" x14ac:dyDescent="0.3">
      <c r="A129" s="8" t="s">
        <v>33</v>
      </c>
      <c r="B129" s="9" t="s">
        <v>343</v>
      </c>
      <c r="C129" s="9" t="s">
        <v>16</v>
      </c>
      <c r="D129" s="9" t="s">
        <v>36</v>
      </c>
      <c r="E129" s="9" t="s">
        <v>616</v>
      </c>
      <c r="F129" s="9" t="s">
        <v>617</v>
      </c>
      <c r="G129" s="9" t="s">
        <v>622</v>
      </c>
      <c r="H129" s="10">
        <v>1</v>
      </c>
      <c r="I129" s="10">
        <v>7</v>
      </c>
      <c r="J129" s="10">
        <v>5</v>
      </c>
      <c r="K129" s="10">
        <v>2</v>
      </c>
      <c r="L129" s="10">
        <f t="shared" si="10"/>
        <v>2.48</v>
      </c>
      <c r="M129" s="11">
        <f t="shared" si="12"/>
        <v>0.35428571428571426</v>
      </c>
      <c r="N129" s="11">
        <f t="shared" si="13"/>
        <v>0.496</v>
      </c>
      <c r="O129" s="11">
        <f t="shared" si="11"/>
        <v>1.48</v>
      </c>
    </row>
    <row r="130" spans="1:15" x14ac:dyDescent="0.3">
      <c r="A130" s="8" t="s">
        <v>102</v>
      </c>
      <c r="B130" s="9" t="s">
        <v>404</v>
      </c>
      <c r="C130" s="9" t="s">
        <v>16</v>
      </c>
      <c r="D130" s="9" t="s">
        <v>42</v>
      </c>
      <c r="E130" s="9" t="s">
        <v>616</v>
      </c>
      <c r="F130" s="9" t="s">
        <v>617</v>
      </c>
      <c r="G130" s="9" t="s">
        <v>618</v>
      </c>
      <c r="H130" s="10">
        <v>0</v>
      </c>
      <c r="I130" s="10">
        <v>6</v>
      </c>
      <c r="J130" s="10">
        <v>4</v>
      </c>
      <c r="K130" s="10">
        <v>1</v>
      </c>
      <c r="L130" s="10">
        <f t="shared" si="10"/>
        <v>1.24</v>
      </c>
      <c r="M130" s="11">
        <f t="shared" si="12"/>
        <v>0.20666666666666667</v>
      </c>
      <c r="N130" s="11">
        <f t="shared" si="13"/>
        <v>0.31</v>
      </c>
      <c r="O130" s="11">
        <f t="shared" si="11"/>
        <v>0</v>
      </c>
    </row>
    <row r="131" spans="1:15" x14ac:dyDescent="0.3">
      <c r="A131" s="8" t="s">
        <v>257</v>
      </c>
      <c r="B131" s="9" t="s">
        <v>546</v>
      </c>
      <c r="C131" s="9" t="s">
        <v>14</v>
      </c>
      <c r="D131" s="9" t="s">
        <v>32</v>
      </c>
      <c r="E131" s="9" t="s">
        <v>630</v>
      </c>
      <c r="F131" s="9" t="s">
        <v>617</v>
      </c>
      <c r="G131" s="9" t="s">
        <v>619</v>
      </c>
      <c r="H131" s="10">
        <v>0</v>
      </c>
      <c r="I131" s="10">
        <v>6</v>
      </c>
      <c r="J131" s="10">
        <v>4</v>
      </c>
      <c r="K131" s="10">
        <v>1</v>
      </c>
      <c r="L131" s="10">
        <f t="shared" si="10"/>
        <v>1.24</v>
      </c>
      <c r="M131" s="11">
        <f t="shared" si="12"/>
        <v>0.20666666666666667</v>
      </c>
      <c r="N131" s="11">
        <f t="shared" si="13"/>
        <v>0.31</v>
      </c>
      <c r="O131" s="11">
        <f t="shared" si="11"/>
        <v>0</v>
      </c>
    </row>
    <row r="132" spans="1:15" x14ac:dyDescent="0.3">
      <c r="A132" s="8" t="s">
        <v>113</v>
      </c>
      <c r="B132" s="9" t="s">
        <v>415</v>
      </c>
      <c r="C132" s="9" t="s">
        <v>14</v>
      </c>
      <c r="D132" s="9" t="s">
        <v>24</v>
      </c>
      <c r="E132" s="9" t="s">
        <v>616</v>
      </c>
      <c r="F132" s="9" t="s">
        <v>617</v>
      </c>
      <c r="G132" s="9" t="s">
        <v>619</v>
      </c>
      <c r="H132" s="10">
        <v>1</v>
      </c>
      <c r="I132" s="10">
        <v>3</v>
      </c>
      <c r="J132" s="10">
        <v>2</v>
      </c>
      <c r="K132" s="10">
        <v>1</v>
      </c>
      <c r="L132" s="10">
        <f t="shared" si="10"/>
        <v>1.24</v>
      </c>
      <c r="M132" s="11">
        <f t="shared" si="12"/>
        <v>0.41333333333333333</v>
      </c>
      <c r="N132" s="11">
        <f t="shared" si="13"/>
        <v>0.62</v>
      </c>
      <c r="O132" s="11">
        <f t="shared" si="11"/>
        <v>0.24</v>
      </c>
    </row>
    <row r="133" spans="1:15" x14ac:dyDescent="0.3">
      <c r="A133" s="8" t="s">
        <v>280</v>
      </c>
      <c r="B133" s="9" t="s">
        <v>565</v>
      </c>
      <c r="C133" s="9" t="s">
        <v>16</v>
      </c>
      <c r="D133" s="9" t="s">
        <v>42</v>
      </c>
      <c r="E133" s="9" t="s">
        <v>616</v>
      </c>
      <c r="F133" s="9" t="s">
        <v>624</v>
      </c>
      <c r="G133" s="9" t="s">
        <v>618</v>
      </c>
      <c r="H133" s="10">
        <v>0</v>
      </c>
      <c r="I133" s="10">
        <v>2</v>
      </c>
      <c r="J133" s="10">
        <v>2</v>
      </c>
      <c r="K133" s="10">
        <v>0</v>
      </c>
      <c r="L133" s="10">
        <f t="shared" ref="L133:L161" si="14">IFERROR((K133/$A$1*$B$1),0)</f>
        <v>0</v>
      </c>
      <c r="M133" s="11">
        <f t="shared" si="12"/>
        <v>0</v>
      </c>
      <c r="N133" s="11">
        <f t="shared" si="13"/>
        <v>0</v>
      </c>
      <c r="O133" s="11">
        <f t="shared" ref="O133:O161" si="15">IFERROR((L133-H133)/H133,0)</f>
        <v>0</v>
      </c>
    </row>
    <row r="134" spans="1:15" x14ac:dyDescent="0.3">
      <c r="A134" s="8" t="s">
        <v>248</v>
      </c>
      <c r="B134" s="9" t="s">
        <v>537</v>
      </c>
      <c r="C134" s="9" t="s">
        <v>16</v>
      </c>
      <c r="D134" s="9" t="s">
        <v>42</v>
      </c>
      <c r="E134" s="9" t="s">
        <v>616</v>
      </c>
      <c r="F134" s="9" t="s">
        <v>624</v>
      </c>
      <c r="G134" s="9" t="s">
        <v>618</v>
      </c>
      <c r="H134" s="10">
        <v>0</v>
      </c>
      <c r="I134" s="10">
        <v>2</v>
      </c>
      <c r="J134" s="10">
        <v>2</v>
      </c>
      <c r="K134" s="10">
        <v>0</v>
      </c>
      <c r="L134" s="10">
        <f t="shared" si="14"/>
        <v>0</v>
      </c>
      <c r="M134" s="11">
        <f t="shared" ref="M134:M162" si="16">IFERROR((L134/I134),0)</f>
        <v>0</v>
      </c>
      <c r="N134" s="11">
        <f t="shared" ref="N134:N189" si="17">IFERROR((L134/J134),0)</f>
        <v>0</v>
      </c>
      <c r="O134" s="11">
        <f t="shared" si="15"/>
        <v>0</v>
      </c>
    </row>
    <row r="135" spans="1:15" x14ac:dyDescent="0.3">
      <c r="A135" s="8" t="s">
        <v>31</v>
      </c>
      <c r="B135" s="9" t="s">
        <v>342</v>
      </c>
      <c r="C135" s="9" t="s">
        <v>14</v>
      </c>
      <c r="D135" s="9" t="s">
        <v>32</v>
      </c>
      <c r="E135" s="9" t="s">
        <v>616</v>
      </c>
      <c r="F135" s="9" t="s">
        <v>617</v>
      </c>
      <c r="G135" s="9" t="s">
        <v>619</v>
      </c>
      <c r="H135" s="10">
        <v>5</v>
      </c>
      <c r="I135" s="10">
        <v>12</v>
      </c>
      <c r="J135" s="10">
        <v>8</v>
      </c>
      <c r="K135" s="10">
        <v>5</v>
      </c>
      <c r="L135" s="10">
        <f t="shared" si="14"/>
        <v>6.2</v>
      </c>
      <c r="M135" s="11">
        <f t="shared" si="16"/>
        <v>0.51666666666666672</v>
      </c>
      <c r="N135" s="11">
        <f t="shared" si="17"/>
        <v>0.77500000000000002</v>
      </c>
      <c r="O135" s="11">
        <f t="shared" si="15"/>
        <v>0.24000000000000005</v>
      </c>
    </row>
    <row r="136" spans="1:15" x14ac:dyDescent="0.3">
      <c r="A136" s="8" t="s">
        <v>91</v>
      </c>
      <c r="B136" s="9" t="s">
        <v>393</v>
      </c>
      <c r="C136" s="9" t="s">
        <v>14</v>
      </c>
      <c r="D136" s="9" t="s">
        <v>28</v>
      </c>
      <c r="E136" s="9" t="s">
        <v>616</v>
      </c>
      <c r="F136" s="9" t="s">
        <v>617</v>
      </c>
      <c r="G136" s="9" t="s">
        <v>620</v>
      </c>
      <c r="H136" s="10">
        <v>3</v>
      </c>
      <c r="I136" s="10">
        <v>14</v>
      </c>
      <c r="J136" s="10">
        <v>10</v>
      </c>
      <c r="K136" s="10">
        <v>8</v>
      </c>
      <c r="L136" s="10">
        <f t="shared" si="14"/>
        <v>9.92</v>
      </c>
      <c r="M136" s="11">
        <f t="shared" si="16"/>
        <v>0.70857142857142852</v>
      </c>
      <c r="N136" s="11">
        <f t="shared" si="17"/>
        <v>0.99199999999999999</v>
      </c>
      <c r="O136" s="11">
        <f t="shared" si="15"/>
        <v>2.3066666666666666</v>
      </c>
    </row>
    <row r="137" spans="1:15" x14ac:dyDescent="0.3">
      <c r="A137" s="8" t="s">
        <v>256</v>
      </c>
      <c r="B137" s="9" t="s">
        <v>545</v>
      </c>
      <c r="C137" s="9" t="s">
        <v>14</v>
      </c>
      <c r="D137" s="9" t="s">
        <v>30</v>
      </c>
      <c r="E137" s="9" t="s">
        <v>631</v>
      </c>
      <c r="F137" s="9" t="s">
        <v>617</v>
      </c>
      <c r="G137" s="9" t="s">
        <v>620</v>
      </c>
      <c r="H137" s="10">
        <v>0</v>
      </c>
      <c r="I137" s="10">
        <v>5</v>
      </c>
      <c r="J137" s="10">
        <v>4</v>
      </c>
      <c r="K137" s="10">
        <v>1</v>
      </c>
      <c r="L137" s="10">
        <f t="shared" si="14"/>
        <v>1.24</v>
      </c>
      <c r="M137" s="11">
        <f t="shared" si="16"/>
        <v>0.248</v>
      </c>
      <c r="N137" s="11">
        <f t="shared" si="17"/>
        <v>0.31</v>
      </c>
      <c r="O137" s="11">
        <f t="shared" si="15"/>
        <v>0</v>
      </c>
    </row>
    <row r="138" spans="1:15" x14ac:dyDescent="0.3">
      <c r="A138" s="8" t="s">
        <v>270</v>
      </c>
      <c r="B138" s="9" t="s">
        <v>559</v>
      </c>
      <c r="C138" s="9" t="s">
        <v>16</v>
      </c>
      <c r="D138" s="9" t="s">
        <v>22</v>
      </c>
      <c r="E138" s="9" t="s">
        <v>631</v>
      </c>
      <c r="F138" s="9" t="s">
        <v>624</v>
      </c>
      <c r="G138" s="9" t="s">
        <v>618</v>
      </c>
      <c r="H138" s="10">
        <v>0</v>
      </c>
      <c r="I138" s="10">
        <v>4</v>
      </c>
      <c r="J138" s="10">
        <v>3</v>
      </c>
      <c r="K138" s="10">
        <v>0</v>
      </c>
      <c r="L138" s="10">
        <f t="shared" si="14"/>
        <v>0</v>
      </c>
      <c r="M138" s="11">
        <f t="shared" si="16"/>
        <v>0</v>
      </c>
      <c r="N138" s="11">
        <f t="shared" si="17"/>
        <v>0</v>
      </c>
      <c r="O138" s="11">
        <f t="shared" si="15"/>
        <v>0</v>
      </c>
    </row>
    <row r="139" spans="1:15" x14ac:dyDescent="0.3">
      <c r="A139" s="8" t="s">
        <v>111</v>
      </c>
      <c r="B139" s="9" t="s">
        <v>413</v>
      </c>
      <c r="C139" s="9" t="s">
        <v>16</v>
      </c>
      <c r="D139" s="9" t="s">
        <v>34</v>
      </c>
      <c r="E139" s="9" t="s">
        <v>616</v>
      </c>
      <c r="F139" s="9" t="s">
        <v>617</v>
      </c>
      <c r="G139" s="9" t="s">
        <v>621</v>
      </c>
      <c r="H139" s="10">
        <v>1</v>
      </c>
      <c r="I139" s="10">
        <v>7</v>
      </c>
      <c r="J139" s="10">
        <v>5</v>
      </c>
      <c r="K139" s="10">
        <v>1</v>
      </c>
      <c r="L139" s="10">
        <f t="shared" si="14"/>
        <v>1.24</v>
      </c>
      <c r="M139" s="11">
        <f t="shared" si="16"/>
        <v>0.17714285714285713</v>
      </c>
      <c r="N139" s="11">
        <f t="shared" si="17"/>
        <v>0.248</v>
      </c>
      <c r="O139" s="11">
        <f t="shared" si="15"/>
        <v>0.24</v>
      </c>
    </row>
    <row r="140" spans="1:15" x14ac:dyDescent="0.3">
      <c r="A140" s="8" t="s">
        <v>269</v>
      </c>
      <c r="B140" s="9" t="s">
        <v>558</v>
      </c>
      <c r="C140" s="9" t="s">
        <v>16</v>
      </c>
      <c r="D140" s="9" t="s">
        <v>38</v>
      </c>
      <c r="E140" s="9" t="s">
        <v>631</v>
      </c>
      <c r="F140" s="9" t="s">
        <v>624</v>
      </c>
      <c r="G140" s="9" t="s">
        <v>621</v>
      </c>
      <c r="H140" s="10">
        <v>0</v>
      </c>
      <c r="I140" s="10">
        <v>2</v>
      </c>
      <c r="J140" s="10">
        <v>2</v>
      </c>
      <c r="K140" s="10">
        <v>0</v>
      </c>
      <c r="L140" s="10">
        <f t="shared" si="14"/>
        <v>0</v>
      </c>
      <c r="M140" s="11">
        <f t="shared" si="16"/>
        <v>0</v>
      </c>
      <c r="N140" s="11">
        <f t="shared" si="17"/>
        <v>0</v>
      </c>
      <c r="O140" s="11">
        <f t="shared" si="15"/>
        <v>0</v>
      </c>
    </row>
    <row r="141" spans="1:15" x14ac:dyDescent="0.3">
      <c r="A141" s="8" t="s">
        <v>264</v>
      </c>
      <c r="B141" s="9" t="s">
        <v>553</v>
      </c>
      <c r="C141" s="9" t="s">
        <v>16</v>
      </c>
      <c r="D141" s="9" t="s">
        <v>42</v>
      </c>
      <c r="E141" s="9" t="s">
        <v>630</v>
      </c>
      <c r="F141" s="9" t="s">
        <v>617</v>
      </c>
      <c r="G141" s="9" t="s">
        <v>618</v>
      </c>
      <c r="H141" s="10">
        <v>0</v>
      </c>
      <c r="I141" s="10">
        <v>2</v>
      </c>
      <c r="J141" s="10">
        <v>2</v>
      </c>
      <c r="K141" s="10">
        <v>0</v>
      </c>
      <c r="L141" s="10">
        <f t="shared" si="14"/>
        <v>0</v>
      </c>
      <c r="M141" s="11">
        <f t="shared" si="16"/>
        <v>0</v>
      </c>
      <c r="N141" s="11">
        <f t="shared" si="17"/>
        <v>0</v>
      </c>
      <c r="O141" s="11">
        <f t="shared" si="15"/>
        <v>0</v>
      </c>
    </row>
    <row r="142" spans="1:15" x14ac:dyDescent="0.3">
      <c r="A142" s="8" t="s">
        <v>165</v>
      </c>
      <c r="B142" s="9" t="s">
        <v>455</v>
      </c>
      <c r="C142" s="9" t="s">
        <v>14</v>
      </c>
      <c r="D142" s="9" t="s">
        <v>28</v>
      </c>
      <c r="E142" s="9" t="s">
        <v>616</v>
      </c>
      <c r="F142" s="9" t="s">
        <v>617</v>
      </c>
      <c r="G142" s="9" t="s">
        <v>620</v>
      </c>
      <c r="H142" s="10">
        <v>0</v>
      </c>
      <c r="I142" s="10">
        <v>2</v>
      </c>
      <c r="J142" s="10">
        <v>2</v>
      </c>
      <c r="K142" s="10">
        <v>2</v>
      </c>
      <c r="L142" s="10">
        <f t="shared" si="14"/>
        <v>2.48</v>
      </c>
      <c r="M142" s="11">
        <f t="shared" si="16"/>
        <v>1.24</v>
      </c>
      <c r="N142" s="11">
        <f t="shared" si="17"/>
        <v>1.24</v>
      </c>
      <c r="O142" s="11">
        <f t="shared" si="15"/>
        <v>0</v>
      </c>
    </row>
    <row r="143" spans="1:15" x14ac:dyDescent="0.3">
      <c r="A143" s="8" t="s">
        <v>258</v>
      </c>
      <c r="B143" s="9" t="s">
        <v>547</v>
      </c>
      <c r="C143" s="9" t="s">
        <v>14</v>
      </c>
      <c r="D143" s="9" t="s">
        <v>24</v>
      </c>
      <c r="E143" s="9" t="s">
        <v>630</v>
      </c>
      <c r="F143" s="9" t="s">
        <v>617</v>
      </c>
      <c r="G143" s="9" t="s">
        <v>619</v>
      </c>
      <c r="H143" s="10">
        <v>0</v>
      </c>
      <c r="I143" s="10">
        <v>2</v>
      </c>
      <c r="J143" s="10">
        <v>2</v>
      </c>
      <c r="K143" s="10">
        <v>0</v>
      </c>
      <c r="L143" s="10">
        <f t="shared" si="14"/>
        <v>0</v>
      </c>
      <c r="M143" s="11">
        <f t="shared" si="16"/>
        <v>0</v>
      </c>
      <c r="N143" s="11">
        <f t="shared" si="17"/>
        <v>0</v>
      </c>
      <c r="O143" s="11">
        <f t="shared" si="15"/>
        <v>0</v>
      </c>
    </row>
    <row r="144" spans="1:15" x14ac:dyDescent="0.3">
      <c r="A144" s="8" t="s">
        <v>275</v>
      </c>
      <c r="B144" s="9" t="s">
        <v>564</v>
      </c>
      <c r="C144" s="9" t="s">
        <v>16</v>
      </c>
      <c r="D144" s="9" t="s">
        <v>36</v>
      </c>
      <c r="E144" s="9" t="s">
        <v>631</v>
      </c>
      <c r="F144" s="9" t="s">
        <v>624</v>
      </c>
      <c r="G144" s="9" t="s">
        <v>622</v>
      </c>
      <c r="H144" s="10">
        <v>0</v>
      </c>
      <c r="I144" s="10">
        <v>2</v>
      </c>
      <c r="J144" s="10">
        <v>2</v>
      </c>
      <c r="K144" s="10">
        <v>0</v>
      </c>
      <c r="L144" s="10">
        <f t="shared" si="14"/>
        <v>0</v>
      </c>
      <c r="M144" s="11">
        <f t="shared" si="16"/>
        <v>0</v>
      </c>
      <c r="N144" s="11">
        <f t="shared" si="17"/>
        <v>0</v>
      </c>
      <c r="O144" s="11">
        <f t="shared" si="15"/>
        <v>0</v>
      </c>
    </row>
    <row r="145" spans="1:15" x14ac:dyDescent="0.3">
      <c r="A145" s="8" t="s">
        <v>267</v>
      </c>
      <c r="B145" s="9" t="s">
        <v>556</v>
      </c>
      <c r="C145" s="9" t="s">
        <v>14</v>
      </c>
      <c r="D145" s="9" t="s">
        <v>28</v>
      </c>
      <c r="E145" s="9" t="s">
        <v>631</v>
      </c>
      <c r="F145" s="9" t="s">
        <v>617</v>
      </c>
      <c r="G145" s="9" t="s">
        <v>620</v>
      </c>
      <c r="H145" s="10">
        <v>0</v>
      </c>
      <c r="I145" s="10">
        <v>6</v>
      </c>
      <c r="J145" s="10">
        <v>4</v>
      </c>
      <c r="K145" s="10">
        <v>0</v>
      </c>
      <c r="L145" s="10">
        <f t="shared" si="14"/>
        <v>0</v>
      </c>
      <c r="M145" s="11">
        <f t="shared" si="16"/>
        <v>0</v>
      </c>
      <c r="N145" s="11">
        <f t="shared" si="17"/>
        <v>0</v>
      </c>
      <c r="O145" s="11">
        <f t="shared" si="15"/>
        <v>0</v>
      </c>
    </row>
    <row r="146" spans="1:15" x14ac:dyDescent="0.3">
      <c r="A146" s="8" t="s">
        <v>138</v>
      </c>
      <c r="B146" s="9" t="s">
        <v>429</v>
      </c>
      <c r="C146" s="9" t="s">
        <v>14</v>
      </c>
      <c r="D146" s="9" t="s">
        <v>28</v>
      </c>
      <c r="E146" s="9" t="s">
        <v>616</v>
      </c>
      <c r="F146" s="9" t="s">
        <v>617</v>
      </c>
      <c r="G146" s="9" t="s">
        <v>620</v>
      </c>
      <c r="H146" s="10">
        <v>0</v>
      </c>
      <c r="I146" s="10">
        <v>2</v>
      </c>
      <c r="J146" s="10">
        <v>2</v>
      </c>
      <c r="K146" s="10">
        <v>0</v>
      </c>
      <c r="L146" s="10">
        <f t="shared" si="14"/>
        <v>0</v>
      </c>
      <c r="M146" s="11">
        <f t="shared" si="16"/>
        <v>0</v>
      </c>
      <c r="N146" s="11">
        <f t="shared" si="17"/>
        <v>0</v>
      </c>
      <c r="O146" s="11">
        <f t="shared" si="15"/>
        <v>0</v>
      </c>
    </row>
    <row r="147" spans="1:15" x14ac:dyDescent="0.3">
      <c r="A147" s="8" t="s">
        <v>261</v>
      </c>
      <c r="B147" s="9" t="s">
        <v>550</v>
      </c>
      <c r="C147" s="9" t="s">
        <v>16</v>
      </c>
      <c r="D147" s="9" t="s">
        <v>38</v>
      </c>
      <c r="E147" s="9" t="s">
        <v>630</v>
      </c>
      <c r="F147" s="9" t="s">
        <v>617</v>
      </c>
      <c r="G147" s="9" t="s">
        <v>621</v>
      </c>
      <c r="H147" s="10">
        <v>0</v>
      </c>
      <c r="I147" s="10">
        <v>2</v>
      </c>
      <c r="J147" s="10">
        <v>2</v>
      </c>
      <c r="K147" s="10">
        <v>0</v>
      </c>
      <c r="L147" s="10">
        <f t="shared" si="14"/>
        <v>0</v>
      </c>
      <c r="M147" s="11">
        <f t="shared" si="16"/>
        <v>0</v>
      </c>
      <c r="N147" s="11">
        <f t="shared" si="17"/>
        <v>0</v>
      </c>
      <c r="O147" s="11">
        <f t="shared" si="15"/>
        <v>0</v>
      </c>
    </row>
    <row r="148" spans="1:15" x14ac:dyDescent="0.3">
      <c r="A148" s="8" t="s">
        <v>231</v>
      </c>
      <c r="B148" s="9" t="s">
        <v>521</v>
      </c>
      <c r="C148" s="9" t="s">
        <v>14</v>
      </c>
      <c r="D148" s="9" t="s">
        <v>24</v>
      </c>
      <c r="E148" s="9" t="s">
        <v>616</v>
      </c>
      <c r="F148" s="9" t="s">
        <v>617</v>
      </c>
      <c r="G148" s="9" t="s">
        <v>619</v>
      </c>
      <c r="H148" s="10">
        <v>8</v>
      </c>
      <c r="I148" s="10">
        <v>3</v>
      </c>
      <c r="J148" s="10">
        <v>2</v>
      </c>
      <c r="K148" s="10">
        <v>9</v>
      </c>
      <c r="L148" s="10">
        <f t="shared" si="14"/>
        <v>11.16</v>
      </c>
      <c r="M148" s="11">
        <f t="shared" si="16"/>
        <v>3.72</v>
      </c>
      <c r="N148" s="11">
        <f t="shared" si="17"/>
        <v>5.58</v>
      </c>
      <c r="O148" s="11">
        <f t="shared" si="15"/>
        <v>0.39500000000000002</v>
      </c>
    </row>
    <row r="149" spans="1:15" x14ac:dyDescent="0.3">
      <c r="A149" s="8" t="s">
        <v>266</v>
      </c>
      <c r="B149" s="9" t="s">
        <v>555</v>
      </c>
      <c r="C149" s="9" t="s">
        <v>14</v>
      </c>
      <c r="D149" s="9" t="s">
        <v>28</v>
      </c>
      <c r="E149" s="9" t="s">
        <v>630</v>
      </c>
      <c r="F149" s="9" t="s">
        <v>617</v>
      </c>
      <c r="G149" s="9" t="s">
        <v>620</v>
      </c>
      <c r="H149" s="10">
        <v>0</v>
      </c>
      <c r="I149" s="10">
        <v>3</v>
      </c>
      <c r="J149" s="10">
        <v>2</v>
      </c>
      <c r="K149" s="10">
        <v>1</v>
      </c>
      <c r="L149" s="10">
        <f t="shared" si="14"/>
        <v>1.24</v>
      </c>
      <c r="M149" s="11">
        <f t="shared" si="16"/>
        <v>0.41333333333333333</v>
      </c>
      <c r="N149" s="11">
        <f t="shared" si="17"/>
        <v>0.62</v>
      </c>
      <c r="O149" s="11">
        <f t="shared" si="15"/>
        <v>0</v>
      </c>
    </row>
    <row r="150" spans="1:15" x14ac:dyDescent="0.3">
      <c r="A150" s="8" t="s">
        <v>265</v>
      </c>
      <c r="B150" s="9" t="s">
        <v>554</v>
      </c>
      <c r="C150" s="9" t="s">
        <v>14</v>
      </c>
      <c r="D150" s="9" t="s">
        <v>28</v>
      </c>
      <c r="E150" s="9" t="s">
        <v>630</v>
      </c>
      <c r="F150" s="9" t="s">
        <v>617</v>
      </c>
      <c r="G150" s="9" t="s">
        <v>620</v>
      </c>
      <c r="H150" s="10">
        <v>2</v>
      </c>
      <c r="I150" s="10">
        <v>2</v>
      </c>
      <c r="J150" s="10">
        <v>2</v>
      </c>
      <c r="K150" s="10">
        <v>0</v>
      </c>
      <c r="L150" s="10">
        <f t="shared" si="14"/>
        <v>0</v>
      </c>
      <c r="M150" s="11">
        <f t="shared" si="16"/>
        <v>0</v>
      </c>
      <c r="N150" s="11">
        <f t="shared" si="17"/>
        <v>0</v>
      </c>
      <c r="O150" s="11">
        <f t="shared" si="15"/>
        <v>-1</v>
      </c>
    </row>
    <row r="151" spans="1:15" x14ac:dyDescent="0.3">
      <c r="A151" s="8" t="s">
        <v>259</v>
      </c>
      <c r="B151" s="9" t="s">
        <v>548</v>
      </c>
      <c r="C151" s="9" t="s">
        <v>14</v>
      </c>
      <c r="D151" s="9" t="s">
        <v>28</v>
      </c>
      <c r="E151" s="9" t="s">
        <v>630</v>
      </c>
      <c r="F151" s="9" t="s">
        <v>617</v>
      </c>
      <c r="G151" s="9" t="s">
        <v>620</v>
      </c>
      <c r="H151" s="10">
        <v>0</v>
      </c>
      <c r="I151" s="10">
        <v>2</v>
      </c>
      <c r="J151" s="10">
        <v>2</v>
      </c>
      <c r="K151" s="10">
        <v>0</v>
      </c>
      <c r="L151" s="10">
        <f t="shared" si="14"/>
        <v>0</v>
      </c>
      <c r="M151" s="11">
        <f t="shared" si="16"/>
        <v>0</v>
      </c>
      <c r="N151" s="11">
        <f t="shared" si="17"/>
        <v>0</v>
      </c>
      <c r="O151" s="11">
        <f t="shared" si="15"/>
        <v>0</v>
      </c>
    </row>
    <row r="152" spans="1:15" x14ac:dyDescent="0.3">
      <c r="A152" s="8" t="s">
        <v>233</v>
      </c>
      <c r="B152" s="9" t="s">
        <v>523</v>
      </c>
      <c r="C152" s="9" t="s">
        <v>14</v>
      </c>
      <c r="D152" s="9" t="s">
        <v>30</v>
      </c>
      <c r="E152" s="9" t="s">
        <v>616</v>
      </c>
      <c r="F152" s="9" t="s">
        <v>617</v>
      </c>
      <c r="G152" s="9" t="s">
        <v>620</v>
      </c>
      <c r="H152" s="10">
        <v>1</v>
      </c>
      <c r="I152" s="10">
        <v>2</v>
      </c>
      <c r="J152" s="10">
        <v>2</v>
      </c>
      <c r="K152" s="10">
        <v>1</v>
      </c>
      <c r="L152" s="10">
        <f t="shared" si="14"/>
        <v>1.24</v>
      </c>
      <c r="M152" s="11">
        <f t="shared" si="16"/>
        <v>0.62</v>
      </c>
      <c r="N152" s="11">
        <f t="shared" si="17"/>
        <v>0.62</v>
      </c>
      <c r="O152" s="11">
        <f t="shared" si="15"/>
        <v>0.24</v>
      </c>
    </row>
    <row r="153" spans="1:15" x14ac:dyDescent="0.3">
      <c r="A153" s="8" t="s">
        <v>268</v>
      </c>
      <c r="B153" s="9" t="s">
        <v>557</v>
      </c>
      <c r="C153" s="9" t="s">
        <v>14</v>
      </c>
      <c r="D153" s="9" t="s">
        <v>32</v>
      </c>
      <c r="E153" s="9" t="s">
        <v>631</v>
      </c>
      <c r="F153" s="9" t="s">
        <v>624</v>
      </c>
      <c r="G153" s="9" t="s">
        <v>619</v>
      </c>
      <c r="H153" s="10">
        <v>0</v>
      </c>
      <c r="I153" s="10">
        <v>6</v>
      </c>
      <c r="J153" s="10">
        <v>5</v>
      </c>
      <c r="K153" s="10">
        <v>0</v>
      </c>
      <c r="L153" s="10">
        <f t="shared" si="14"/>
        <v>0</v>
      </c>
      <c r="M153" s="11">
        <f t="shared" si="16"/>
        <v>0</v>
      </c>
      <c r="N153" s="11">
        <f t="shared" si="17"/>
        <v>0</v>
      </c>
      <c r="O153" s="11">
        <f t="shared" si="15"/>
        <v>0</v>
      </c>
    </row>
    <row r="154" spans="1:15" x14ac:dyDescent="0.3">
      <c r="A154" s="8" t="s">
        <v>281</v>
      </c>
      <c r="B154" s="9" t="s">
        <v>566</v>
      </c>
      <c r="C154" s="9" t="s">
        <v>16</v>
      </c>
      <c r="D154" s="9" t="s">
        <v>44</v>
      </c>
      <c r="E154" s="9" t="s">
        <v>631</v>
      </c>
      <c r="F154" s="9" t="s">
        <v>624</v>
      </c>
      <c r="G154" s="9" t="s">
        <v>622</v>
      </c>
      <c r="H154" s="10">
        <v>0</v>
      </c>
      <c r="I154" s="10">
        <v>2</v>
      </c>
      <c r="J154" s="10">
        <v>2</v>
      </c>
      <c r="K154" s="10">
        <v>0</v>
      </c>
      <c r="L154" s="10">
        <f t="shared" si="14"/>
        <v>0</v>
      </c>
      <c r="M154" s="11">
        <f t="shared" si="16"/>
        <v>0</v>
      </c>
      <c r="N154" s="11">
        <f t="shared" si="17"/>
        <v>0</v>
      </c>
      <c r="O154" s="11">
        <f t="shared" si="15"/>
        <v>0</v>
      </c>
    </row>
    <row r="155" spans="1:15" x14ac:dyDescent="0.3">
      <c r="A155" s="8" t="s">
        <v>252</v>
      </c>
      <c r="B155" s="9" t="s">
        <v>541</v>
      </c>
      <c r="C155" s="9" t="s">
        <v>14</v>
      </c>
      <c r="D155" s="9" t="s">
        <v>24</v>
      </c>
      <c r="E155" s="9" t="s">
        <v>616</v>
      </c>
      <c r="F155" s="9" t="s">
        <v>624</v>
      </c>
      <c r="G155" s="9" t="s">
        <v>619</v>
      </c>
      <c r="H155" s="10">
        <v>0</v>
      </c>
      <c r="I155" s="10">
        <v>2</v>
      </c>
      <c r="J155" s="10">
        <v>2</v>
      </c>
      <c r="K155" s="10">
        <v>0</v>
      </c>
      <c r="L155" s="10">
        <f t="shared" si="14"/>
        <v>0</v>
      </c>
      <c r="M155" s="11">
        <f t="shared" si="16"/>
        <v>0</v>
      </c>
      <c r="N155" s="11">
        <f t="shared" si="17"/>
        <v>0</v>
      </c>
      <c r="O155" s="11">
        <f t="shared" si="15"/>
        <v>0</v>
      </c>
    </row>
    <row r="156" spans="1:15" x14ac:dyDescent="0.3">
      <c r="A156" s="8" t="s">
        <v>127</v>
      </c>
      <c r="B156" s="9" t="s">
        <v>425</v>
      </c>
      <c r="C156" s="9" t="s">
        <v>14</v>
      </c>
      <c r="D156" s="9" t="s">
        <v>28</v>
      </c>
      <c r="E156" s="9" t="s">
        <v>616</v>
      </c>
      <c r="F156" s="9" t="s">
        <v>617</v>
      </c>
      <c r="G156" s="9" t="s">
        <v>620</v>
      </c>
      <c r="H156" s="10">
        <v>0</v>
      </c>
      <c r="I156" s="10">
        <v>3</v>
      </c>
      <c r="J156" s="10">
        <v>2</v>
      </c>
      <c r="K156" s="10">
        <v>2</v>
      </c>
      <c r="L156" s="10">
        <f t="shared" si="14"/>
        <v>2.48</v>
      </c>
      <c r="M156" s="11">
        <f t="shared" si="16"/>
        <v>0.82666666666666666</v>
      </c>
      <c r="N156" s="11">
        <f t="shared" si="17"/>
        <v>1.24</v>
      </c>
      <c r="O156" s="11">
        <f t="shared" si="15"/>
        <v>0</v>
      </c>
    </row>
    <row r="157" spans="1:15" x14ac:dyDescent="0.3">
      <c r="A157" s="8" t="s">
        <v>263</v>
      </c>
      <c r="B157" s="9" t="s">
        <v>552</v>
      </c>
      <c r="C157" s="9" t="s">
        <v>16</v>
      </c>
      <c r="D157" s="9" t="s">
        <v>44</v>
      </c>
      <c r="E157" s="9" t="s">
        <v>630</v>
      </c>
      <c r="F157" s="9" t="s">
        <v>617</v>
      </c>
      <c r="G157" s="9" t="s">
        <v>622</v>
      </c>
      <c r="H157" s="10">
        <v>0</v>
      </c>
      <c r="I157" s="10">
        <v>2</v>
      </c>
      <c r="J157" s="10">
        <v>2</v>
      </c>
      <c r="K157" s="10">
        <v>1</v>
      </c>
      <c r="L157" s="10">
        <f t="shared" si="14"/>
        <v>1.24</v>
      </c>
      <c r="M157" s="11">
        <f t="shared" si="16"/>
        <v>0.62</v>
      </c>
      <c r="N157" s="11">
        <f t="shared" si="17"/>
        <v>0.62</v>
      </c>
      <c r="O157" s="11">
        <f t="shared" si="15"/>
        <v>0</v>
      </c>
    </row>
    <row r="158" spans="1:15" x14ac:dyDescent="0.3">
      <c r="A158" s="8" t="s">
        <v>100</v>
      </c>
      <c r="B158" s="9" t="s">
        <v>402</v>
      </c>
      <c r="C158" s="9" t="s">
        <v>16</v>
      </c>
      <c r="D158" s="9" t="s">
        <v>44</v>
      </c>
      <c r="E158" s="9" t="s">
        <v>616</v>
      </c>
      <c r="F158" s="9" t="s">
        <v>617</v>
      </c>
      <c r="G158" s="9" t="s">
        <v>622</v>
      </c>
      <c r="H158" s="10">
        <v>0</v>
      </c>
      <c r="I158" s="10">
        <v>9</v>
      </c>
      <c r="J158" s="10">
        <v>7</v>
      </c>
      <c r="K158" s="10">
        <v>0</v>
      </c>
      <c r="L158" s="10">
        <f t="shared" si="14"/>
        <v>0</v>
      </c>
      <c r="M158" s="11">
        <f t="shared" si="16"/>
        <v>0</v>
      </c>
      <c r="N158" s="11">
        <f t="shared" si="17"/>
        <v>0</v>
      </c>
      <c r="O158" s="11">
        <f t="shared" si="15"/>
        <v>0</v>
      </c>
    </row>
    <row r="159" spans="1:15" x14ac:dyDescent="0.3">
      <c r="A159" s="8" t="s">
        <v>123</v>
      </c>
      <c r="B159" s="9" t="s">
        <v>421</v>
      </c>
      <c r="C159" s="9" t="s">
        <v>14</v>
      </c>
      <c r="D159" s="9" t="s">
        <v>30</v>
      </c>
      <c r="E159" s="9" t="s">
        <v>616</v>
      </c>
      <c r="F159" s="9" t="s">
        <v>617</v>
      </c>
      <c r="G159" s="9" t="s">
        <v>620</v>
      </c>
      <c r="H159" s="10">
        <v>4</v>
      </c>
      <c r="I159" s="10">
        <v>6</v>
      </c>
      <c r="J159" s="10">
        <v>5</v>
      </c>
      <c r="K159" s="10">
        <v>4</v>
      </c>
      <c r="L159" s="10">
        <f t="shared" si="14"/>
        <v>4.96</v>
      </c>
      <c r="M159" s="11">
        <f t="shared" si="16"/>
        <v>0.82666666666666666</v>
      </c>
      <c r="N159" s="11">
        <f t="shared" si="17"/>
        <v>0.99199999999999999</v>
      </c>
      <c r="O159" s="11">
        <f t="shared" si="15"/>
        <v>0.24</v>
      </c>
    </row>
    <row r="160" spans="1:15" x14ac:dyDescent="0.3">
      <c r="A160" s="8" t="s">
        <v>169</v>
      </c>
      <c r="B160" s="9" t="s">
        <v>459</v>
      </c>
      <c r="C160" s="9" t="s">
        <v>120</v>
      </c>
      <c r="D160" s="9" t="s">
        <v>129</v>
      </c>
      <c r="E160" s="9" t="s">
        <v>616</v>
      </c>
      <c r="F160" s="9" t="s">
        <v>617</v>
      </c>
      <c r="G160" s="9" t="s">
        <v>621</v>
      </c>
      <c r="H160" s="10">
        <v>1</v>
      </c>
      <c r="I160" s="10">
        <v>5</v>
      </c>
      <c r="J160" s="10">
        <v>4</v>
      </c>
      <c r="K160" s="10">
        <v>0</v>
      </c>
      <c r="L160" s="10">
        <f t="shared" si="14"/>
        <v>0</v>
      </c>
      <c r="M160" s="11">
        <f t="shared" si="16"/>
        <v>0</v>
      </c>
      <c r="N160" s="11">
        <f t="shared" si="17"/>
        <v>0</v>
      </c>
      <c r="O160" s="11">
        <f t="shared" si="15"/>
        <v>-1</v>
      </c>
    </row>
    <row r="161" spans="1:15" x14ac:dyDescent="0.3">
      <c r="A161" s="8" t="s">
        <v>262</v>
      </c>
      <c r="B161" s="9" t="s">
        <v>551</v>
      </c>
      <c r="C161" s="9" t="s">
        <v>16</v>
      </c>
      <c r="D161" s="9" t="s">
        <v>34</v>
      </c>
      <c r="E161" s="9" t="s">
        <v>631</v>
      </c>
      <c r="F161" s="9" t="s">
        <v>624</v>
      </c>
      <c r="G161" s="9" t="s">
        <v>621</v>
      </c>
      <c r="H161" s="10">
        <v>0</v>
      </c>
      <c r="I161" s="10">
        <v>4</v>
      </c>
      <c r="J161" s="10">
        <v>3</v>
      </c>
      <c r="K161" s="10">
        <v>0</v>
      </c>
      <c r="L161" s="10">
        <f t="shared" si="14"/>
        <v>0</v>
      </c>
      <c r="M161" s="11">
        <f t="shared" si="16"/>
        <v>0</v>
      </c>
      <c r="N161" s="11">
        <f t="shared" si="17"/>
        <v>0</v>
      </c>
      <c r="O161" s="11">
        <f t="shared" si="15"/>
        <v>0</v>
      </c>
    </row>
    <row r="162" spans="1:15" x14ac:dyDescent="0.3">
      <c r="A162" s="8" t="s">
        <v>282</v>
      </c>
      <c r="B162" s="9" t="s">
        <v>567</v>
      </c>
      <c r="C162" s="9" t="s">
        <v>14</v>
      </c>
      <c r="D162" s="9" t="s">
        <v>28</v>
      </c>
      <c r="E162" s="9" t="s">
        <v>631</v>
      </c>
      <c r="F162" s="9" t="s">
        <v>624</v>
      </c>
      <c r="G162" s="9" t="s">
        <v>620</v>
      </c>
      <c r="H162" s="10">
        <v>0</v>
      </c>
      <c r="I162" s="10">
        <v>2</v>
      </c>
      <c r="J162" s="10">
        <v>2</v>
      </c>
      <c r="K162" s="10">
        <v>0</v>
      </c>
      <c r="L162" s="10">
        <f>IFERROR((K162/$A$1*$B$1),0)</f>
        <v>0</v>
      </c>
      <c r="M162" s="11">
        <f>IFERROR((L162/I162),0)</f>
        <v>0</v>
      </c>
      <c r="N162" s="11">
        <f t="shared" si="17"/>
        <v>0</v>
      </c>
      <c r="O162" s="11">
        <f>IFERROR((L162-H162)/H162,0)</f>
        <v>0</v>
      </c>
    </row>
    <row r="163" spans="1:15" x14ac:dyDescent="0.3">
      <c r="A163" s="8" t="s">
        <v>271</v>
      </c>
      <c r="B163" s="9" t="s">
        <v>560</v>
      </c>
      <c r="C163" s="9" t="s">
        <v>14</v>
      </c>
      <c r="D163" s="9" t="s">
        <v>26</v>
      </c>
      <c r="E163" s="9" t="s">
        <v>631</v>
      </c>
      <c r="F163" s="9" t="s">
        <v>624</v>
      </c>
      <c r="G163" s="9" t="s">
        <v>619</v>
      </c>
      <c r="H163" s="10">
        <v>0</v>
      </c>
      <c r="I163" s="10">
        <v>2</v>
      </c>
      <c r="J163" s="10">
        <v>2</v>
      </c>
      <c r="K163" s="10">
        <v>0</v>
      </c>
      <c r="L163" s="10">
        <f>IFERROR((K163/$A$1*$B$1),0)</f>
        <v>0</v>
      </c>
      <c r="M163" s="11">
        <f>IFERROR((L163/I163),0)</f>
        <v>0</v>
      </c>
      <c r="N163" s="11">
        <f t="shared" si="17"/>
        <v>0</v>
      </c>
      <c r="O163" s="11">
        <f>IFERROR((L163-H163)/H163,0)</f>
        <v>0</v>
      </c>
    </row>
    <row r="164" spans="1:15" x14ac:dyDescent="0.3">
      <c r="A164" s="8" t="s">
        <v>193</v>
      </c>
      <c r="B164" s="9" t="s">
        <v>483</v>
      </c>
      <c r="C164" s="9" t="s">
        <v>120</v>
      </c>
      <c r="D164" s="9" t="s">
        <v>135</v>
      </c>
      <c r="E164" s="9" t="s">
        <v>627</v>
      </c>
      <c r="F164" s="9" t="s">
        <v>617</v>
      </c>
      <c r="G164" s="9" t="s">
        <v>621</v>
      </c>
      <c r="H164" s="10">
        <v>74</v>
      </c>
      <c r="I164" s="10">
        <v>115</v>
      </c>
      <c r="J164" s="10">
        <v>81</v>
      </c>
      <c r="K164" s="10">
        <v>82</v>
      </c>
      <c r="L164" s="10">
        <f>IFERROR((K164/$A$1*$B$1),0)</f>
        <v>101.67999999999999</v>
      </c>
      <c r="M164" s="11">
        <f>IFERROR((L164/I164),0)</f>
        <v>0.88417391304347814</v>
      </c>
      <c r="N164" s="11">
        <f t="shared" si="17"/>
        <v>1.2553086419753086</v>
      </c>
      <c r="O164" s="11">
        <f>IFERROR((L164-H164)/H164,0)</f>
        <v>0.37405405405405395</v>
      </c>
    </row>
    <row r="165" spans="1:15" x14ac:dyDescent="0.3">
      <c r="A165" s="8" t="s">
        <v>200</v>
      </c>
      <c r="B165" s="9" t="s">
        <v>490</v>
      </c>
      <c r="C165" s="9" t="s">
        <v>120</v>
      </c>
      <c r="D165" s="9" t="s">
        <v>137</v>
      </c>
      <c r="E165" s="9" t="s">
        <v>627</v>
      </c>
      <c r="F165" s="9" t="s">
        <v>617</v>
      </c>
      <c r="G165" s="9" t="s">
        <v>619</v>
      </c>
      <c r="H165" s="10">
        <v>60</v>
      </c>
      <c r="I165" s="10">
        <v>94</v>
      </c>
      <c r="J165" s="10">
        <v>66</v>
      </c>
      <c r="K165" s="10">
        <v>53</v>
      </c>
      <c r="L165" s="10">
        <f>IFERROR((K165/$A$1*$B$1),0)</f>
        <v>65.72</v>
      </c>
      <c r="M165" s="11">
        <f>IFERROR((L165/I165),0)</f>
        <v>0.69914893617021279</v>
      </c>
      <c r="N165" s="11">
        <f t="shared" si="17"/>
        <v>0.99575757575757573</v>
      </c>
      <c r="O165" s="11">
        <f>IFERROR((L165-H165)/H165,0)</f>
        <v>9.5333333333333312E-2</v>
      </c>
    </row>
    <row r="166" spans="1:15" x14ac:dyDescent="0.3">
      <c r="A166" s="8" t="s">
        <v>188</v>
      </c>
      <c r="B166" s="9" t="s">
        <v>478</v>
      </c>
      <c r="C166" s="9" t="s">
        <v>120</v>
      </c>
      <c r="D166" s="9" t="s">
        <v>135</v>
      </c>
      <c r="E166" s="9" t="s">
        <v>627</v>
      </c>
      <c r="F166" s="9" t="s">
        <v>617</v>
      </c>
      <c r="G166" s="9" t="s">
        <v>622</v>
      </c>
      <c r="H166" s="10">
        <v>52</v>
      </c>
      <c r="I166" s="10">
        <v>86</v>
      </c>
      <c r="J166" s="10">
        <v>60</v>
      </c>
      <c r="K166" s="10">
        <v>56</v>
      </c>
      <c r="L166" s="10">
        <f t="shared" ref="L166:L189" si="18">IFERROR((K166/$A$1*$B$1),0)</f>
        <v>69.440000000000012</v>
      </c>
      <c r="M166" s="11">
        <f t="shared" ref="M166:M189" si="19">IFERROR((L166/I166),0)</f>
        <v>0.80744186046511646</v>
      </c>
      <c r="N166" s="11">
        <f t="shared" si="17"/>
        <v>1.1573333333333335</v>
      </c>
      <c r="O166" s="11">
        <f t="shared" ref="O166:O189" si="20">IFERROR((L166-H166)/H166,0)</f>
        <v>0.33538461538461561</v>
      </c>
    </row>
    <row r="167" spans="1:15" x14ac:dyDescent="0.3">
      <c r="A167" s="8" t="s">
        <v>190</v>
      </c>
      <c r="B167" s="9" t="s">
        <v>480</v>
      </c>
      <c r="C167" s="9" t="s">
        <v>120</v>
      </c>
      <c r="D167" s="9" t="s">
        <v>137</v>
      </c>
      <c r="E167" s="9" t="s">
        <v>627</v>
      </c>
      <c r="F167" s="9" t="s">
        <v>617</v>
      </c>
      <c r="G167" s="9" t="s">
        <v>620</v>
      </c>
      <c r="H167" s="10">
        <v>50</v>
      </c>
      <c r="I167" s="10">
        <v>90</v>
      </c>
      <c r="J167" s="10">
        <v>63</v>
      </c>
      <c r="K167" s="10">
        <v>47</v>
      </c>
      <c r="L167" s="10">
        <f t="shared" si="18"/>
        <v>58.279999999999994</v>
      </c>
      <c r="M167" s="11">
        <f t="shared" si="19"/>
        <v>0.64755555555555544</v>
      </c>
      <c r="N167" s="11">
        <f t="shared" si="17"/>
        <v>0.92507936507936495</v>
      </c>
      <c r="O167" s="11">
        <f t="shared" si="20"/>
        <v>0.16559999999999989</v>
      </c>
    </row>
    <row r="168" spans="1:15" x14ac:dyDescent="0.3">
      <c r="A168" s="8" t="s">
        <v>196</v>
      </c>
      <c r="B168" s="9" t="s">
        <v>486</v>
      </c>
      <c r="C168" s="9" t="s">
        <v>120</v>
      </c>
      <c r="D168" s="9" t="s">
        <v>135</v>
      </c>
      <c r="E168" s="9" t="s">
        <v>627</v>
      </c>
      <c r="F168" s="9" t="s">
        <v>617</v>
      </c>
      <c r="G168" s="9" t="s">
        <v>621</v>
      </c>
      <c r="H168" s="10">
        <v>42</v>
      </c>
      <c r="I168" s="10">
        <v>67</v>
      </c>
      <c r="J168" s="10">
        <v>47</v>
      </c>
      <c r="K168" s="10">
        <v>38</v>
      </c>
      <c r="L168" s="10">
        <f t="shared" si="18"/>
        <v>47.12</v>
      </c>
      <c r="M168" s="11">
        <f t="shared" si="19"/>
        <v>0.70328358208955222</v>
      </c>
      <c r="N168" s="11">
        <f t="shared" si="17"/>
        <v>1.0025531914893617</v>
      </c>
      <c r="O168" s="11">
        <f t="shared" si="20"/>
        <v>0.12190476190476185</v>
      </c>
    </row>
    <row r="169" spans="1:15" x14ac:dyDescent="0.3">
      <c r="A169" s="8" t="s">
        <v>195</v>
      </c>
      <c r="B169" s="9" t="s">
        <v>485</v>
      </c>
      <c r="C169" s="9" t="s">
        <v>120</v>
      </c>
      <c r="D169" s="9" t="s">
        <v>135</v>
      </c>
      <c r="E169" s="9" t="s">
        <v>627</v>
      </c>
      <c r="F169" s="9" t="s">
        <v>617</v>
      </c>
      <c r="G169" s="9" t="s">
        <v>623</v>
      </c>
      <c r="H169" s="10">
        <v>44</v>
      </c>
      <c r="I169" s="10">
        <v>71</v>
      </c>
      <c r="J169" s="10">
        <v>50</v>
      </c>
      <c r="K169" s="10">
        <v>40</v>
      </c>
      <c r="L169" s="10">
        <f t="shared" si="18"/>
        <v>49.6</v>
      </c>
      <c r="M169" s="11">
        <f t="shared" si="19"/>
        <v>0.69859154929577472</v>
      </c>
      <c r="N169" s="11">
        <f t="shared" si="17"/>
        <v>0.99199999999999999</v>
      </c>
      <c r="O169" s="11">
        <f t="shared" si="20"/>
        <v>0.12727272727272732</v>
      </c>
    </row>
    <row r="170" spans="1:15" x14ac:dyDescent="0.3">
      <c r="A170" s="8" t="s">
        <v>189</v>
      </c>
      <c r="B170" s="9" t="s">
        <v>479</v>
      </c>
      <c r="C170" s="9" t="s">
        <v>120</v>
      </c>
      <c r="D170" s="9" t="s">
        <v>135</v>
      </c>
      <c r="E170" s="9" t="s">
        <v>627</v>
      </c>
      <c r="F170" s="9" t="s">
        <v>617</v>
      </c>
      <c r="G170" s="9" t="s">
        <v>621</v>
      </c>
      <c r="H170" s="10">
        <v>32</v>
      </c>
      <c r="I170" s="10">
        <v>56</v>
      </c>
      <c r="J170" s="10">
        <v>39</v>
      </c>
      <c r="K170" s="10">
        <v>35</v>
      </c>
      <c r="L170" s="10">
        <f t="shared" si="18"/>
        <v>43.4</v>
      </c>
      <c r="M170" s="11">
        <f t="shared" si="19"/>
        <v>0.77500000000000002</v>
      </c>
      <c r="N170" s="11">
        <f t="shared" si="17"/>
        <v>1.1128205128205129</v>
      </c>
      <c r="O170" s="11">
        <f t="shared" si="20"/>
        <v>0.35624999999999996</v>
      </c>
    </row>
    <row r="171" spans="1:15" x14ac:dyDescent="0.3">
      <c r="A171" s="8" t="s">
        <v>185</v>
      </c>
      <c r="B171" s="9" t="s">
        <v>475</v>
      </c>
      <c r="C171" s="9" t="s">
        <v>120</v>
      </c>
      <c r="D171" s="9" t="s">
        <v>137</v>
      </c>
      <c r="E171" s="9" t="s">
        <v>627</v>
      </c>
      <c r="F171" s="9" t="s">
        <v>617</v>
      </c>
      <c r="G171" s="9" t="s">
        <v>619</v>
      </c>
      <c r="H171" s="10">
        <v>40</v>
      </c>
      <c r="I171" s="10">
        <v>77</v>
      </c>
      <c r="J171" s="10">
        <v>54</v>
      </c>
      <c r="K171" s="10">
        <v>60</v>
      </c>
      <c r="L171" s="10">
        <f t="shared" si="18"/>
        <v>74.399999999999991</v>
      </c>
      <c r="M171" s="11">
        <f t="shared" si="19"/>
        <v>0.96623376623376611</v>
      </c>
      <c r="N171" s="11">
        <f t="shared" si="17"/>
        <v>1.3777777777777775</v>
      </c>
      <c r="O171" s="11">
        <f t="shared" si="20"/>
        <v>0.85999999999999976</v>
      </c>
    </row>
    <row r="172" spans="1:15" x14ac:dyDescent="0.3">
      <c r="A172" s="8" t="s">
        <v>191</v>
      </c>
      <c r="B172" s="9" t="s">
        <v>481</v>
      </c>
      <c r="C172" s="9" t="s">
        <v>120</v>
      </c>
      <c r="D172" s="9" t="s">
        <v>137</v>
      </c>
      <c r="E172" s="9" t="s">
        <v>627</v>
      </c>
      <c r="F172" s="9" t="s">
        <v>617</v>
      </c>
      <c r="G172" s="9" t="s">
        <v>620</v>
      </c>
      <c r="H172" s="10">
        <v>25</v>
      </c>
      <c r="I172" s="10">
        <v>47</v>
      </c>
      <c r="J172" s="10">
        <v>33</v>
      </c>
      <c r="K172" s="10">
        <v>23</v>
      </c>
      <c r="L172" s="10">
        <f t="shared" si="18"/>
        <v>28.52</v>
      </c>
      <c r="M172" s="11">
        <f t="shared" si="19"/>
        <v>0.60680851063829788</v>
      </c>
      <c r="N172" s="11">
        <f t="shared" si="17"/>
        <v>0.86424242424242426</v>
      </c>
      <c r="O172" s="11">
        <f t="shared" si="20"/>
        <v>0.14079999999999998</v>
      </c>
    </row>
    <row r="173" spans="1:15" x14ac:dyDescent="0.3">
      <c r="A173" s="8" t="s">
        <v>187</v>
      </c>
      <c r="B173" s="9" t="s">
        <v>477</v>
      </c>
      <c r="C173" s="9" t="s">
        <v>120</v>
      </c>
      <c r="D173" s="9" t="s">
        <v>135</v>
      </c>
      <c r="E173" s="9" t="s">
        <v>627</v>
      </c>
      <c r="F173" s="9" t="s">
        <v>617</v>
      </c>
      <c r="G173" s="9" t="s">
        <v>618</v>
      </c>
      <c r="H173" s="10">
        <v>36</v>
      </c>
      <c r="I173" s="10">
        <v>40</v>
      </c>
      <c r="J173" s="10">
        <v>28</v>
      </c>
      <c r="K173" s="10">
        <v>31</v>
      </c>
      <c r="L173" s="10">
        <f t="shared" si="18"/>
        <v>38.44</v>
      </c>
      <c r="M173" s="11">
        <f t="shared" si="19"/>
        <v>0.96099999999999997</v>
      </c>
      <c r="N173" s="11">
        <f t="shared" si="17"/>
        <v>1.3728571428571428</v>
      </c>
      <c r="O173" s="11">
        <f t="shared" si="20"/>
        <v>6.7777777777777715E-2</v>
      </c>
    </row>
    <row r="174" spans="1:15" x14ac:dyDescent="0.3">
      <c r="A174" s="8" t="s">
        <v>194</v>
      </c>
      <c r="B174" s="9" t="s">
        <v>484</v>
      </c>
      <c r="C174" s="9" t="s">
        <v>120</v>
      </c>
      <c r="D174" s="9" t="s">
        <v>137</v>
      </c>
      <c r="E174" s="9" t="s">
        <v>627</v>
      </c>
      <c r="F174" s="9" t="s">
        <v>617</v>
      </c>
      <c r="G174" s="9" t="s">
        <v>620</v>
      </c>
      <c r="H174" s="10">
        <v>32</v>
      </c>
      <c r="I174" s="10">
        <v>39</v>
      </c>
      <c r="J174" s="10">
        <v>27</v>
      </c>
      <c r="K174" s="10">
        <v>32</v>
      </c>
      <c r="L174" s="10">
        <f t="shared" si="18"/>
        <v>39.68</v>
      </c>
      <c r="M174" s="11">
        <f t="shared" si="19"/>
        <v>1.0174358974358975</v>
      </c>
      <c r="N174" s="11">
        <f t="shared" si="17"/>
        <v>1.4696296296296296</v>
      </c>
      <c r="O174" s="11">
        <f t="shared" si="20"/>
        <v>0.24</v>
      </c>
    </row>
    <row r="175" spans="1:15" x14ac:dyDescent="0.3">
      <c r="A175" s="8" t="s">
        <v>203</v>
      </c>
      <c r="B175" s="9" t="s">
        <v>493</v>
      </c>
      <c r="C175" s="9" t="s">
        <v>120</v>
      </c>
      <c r="D175" s="9" t="s">
        <v>135</v>
      </c>
      <c r="E175" s="9" t="s">
        <v>627</v>
      </c>
      <c r="F175" s="9" t="s">
        <v>617</v>
      </c>
      <c r="G175" s="9" t="s">
        <v>622</v>
      </c>
      <c r="H175" s="10">
        <v>35</v>
      </c>
      <c r="I175" s="10">
        <v>34</v>
      </c>
      <c r="J175" s="10">
        <v>24</v>
      </c>
      <c r="K175" s="10">
        <v>35</v>
      </c>
      <c r="L175" s="10">
        <f t="shared" si="18"/>
        <v>43.4</v>
      </c>
      <c r="M175" s="11">
        <f t="shared" si="19"/>
        <v>1.276470588235294</v>
      </c>
      <c r="N175" s="11">
        <f t="shared" si="17"/>
        <v>1.8083333333333333</v>
      </c>
      <c r="O175" s="11">
        <f t="shared" si="20"/>
        <v>0.23999999999999996</v>
      </c>
    </row>
    <row r="176" spans="1:15" x14ac:dyDescent="0.3">
      <c r="A176" s="8" t="s">
        <v>186</v>
      </c>
      <c r="B176" s="9" t="s">
        <v>476</v>
      </c>
      <c r="C176" s="9" t="s">
        <v>120</v>
      </c>
      <c r="D176" s="9" t="s">
        <v>137</v>
      </c>
      <c r="E176" s="9" t="s">
        <v>627</v>
      </c>
      <c r="F176" s="9" t="s">
        <v>617</v>
      </c>
      <c r="G176" s="9" t="s">
        <v>620</v>
      </c>
      <c r="H176" s="10">
        <v>22</v>
      </c>
      <c r="I176" s="10">
        <v>39</v>
      </c>
      <c r="J176" s="10">
        <v>27</v>
      </c>
      <c r="K176" s="10">
        <v>31</v>
      </c>
      <c r="L176" s="10">
        <f t="shared" si="18"/>
        <v>38.44</v>
      </c>
      <c r="M176" s="11">
        <f t="shared" si="19"/>
        <v>0.98564102564102563</v>
      </c>
      <c r="N176" s="11">
        <f t="shared" si="17"/>
        <v>1.4237037037037037</v>
      </c>
      <c r="O176" s="11">
        <f t="shared" si="20"/>
        <v>0.7472727272727272</v>
      </c>
    </row>
    <row r="177" spans="1:26" x14ac:dyDescent="0.3">
      <c r="A177" s="8" t="s">
        <v>198</v>
      </c>
      <c r="B177" s="9" t="s">
        <v>488</v>
      </c>
      <c r="C177" s="9" t="s">
        <v>120</v>
      </c>
      <c r="D177" s="9" t="s">
        <v>135</v>
      </c>
      <c r="E177" s="9" t="s">
        <v>627</v>
      </c>
      <c r="F177" s="9" t="s">
        <v>617</v>
      </c>
      <c r="G177" s="9" t="s">
        <v>623</v>
      </c>
      <c r="H177" s="10">
        <v>7</v>
      </c>
      <c r="I177" s="10">
        <v>23</v>
      </c>
      <c r="J177" s="10">
        <v>16</v>
      </c>
      <c r="K177" s="10">
        <v>18</v>
      </c>
      <c r="L177" s="10">
        <f t="shared" si="18"/>
        <v>22.32</v>
      </c>
      <c r="M177" s="11">
        <f t="shared" si="19"/>
        <v>0.97043478260869565</v>
      </c>
      <c r="N177" s="11">
        <f t="shared" si="17"/>
        <v>1.395</v>
      </c>
      <c r="O177" s="11">
        <f t="shared" si="20"/>
        <v>2.1885714285714286</v>
      </c>
    </row>
    <row r="178" spans="1:26" x14ac:dyDescent="0.3">
      <c r="A178" s="8" t="s">
        <v>192</v>
      </c>
      <c r="B178" s="9" t="s">
        <v>482</v>
      </c>
      <c r="C178" s="9" t="s">
        <v>120</v>
      </c>
      <c r="D178" s="9" t="s">
        <v>137</v>
      </c>
      <c r="E178" s="9" t="s">
        <v>627</v>
      </c>
      <c r="F178" s="9" t="s">
        <v>617</v>
      </c>
      <c r="G178" s="9" t="s">
        <v>620</v>
      </c>
      <c r="H178" s="10">
        <v>14</v>
      </c>
      <c r="I178" s="10">
        <v>15</v>
      </c>
      <c r="J178" s="10">
        <v>10</v>
      </c>
      <c r="K178" s="10">
        <v>9</v>
      </c>
      <c r="L178" s="10">
        <f t="shared" si="18"/>
        <v>11.16</v>
      </c>
      <c r="M178" s="11">
        <f t="shared" si="19"/>
        <v>0.74399999999999999</v>
      </c>
      <c r="N178" s="11">
        <f t="shared" si="17"/>
        <v>1.1160000000000001</v>
      </c>
      <c r="O178" s="11">
        <f t="shared" si="20"/>
        <v>-0.20285714285714285</v>
      </c>
    </row>
    <row r="179" spans="1:26" x14ac:dyDescent="0.3">
      <c r="A179" s="8" t="s">
        <v>201</v>
      </c>
      <c r="B179" s="9" t="s">
        <v>491</v>
      </c>
      <c r="C179" s="9" t="s">
        <v>120</v>
      </c>
      <c r="D179" s="9" t="s">
        <v>135</v>
      </c>
      <c r="E179" s="9" t="s">
        <v>627</v>
      </c>
      <c r="F179" s="9" t="s">
        <v>617</v>
      </c>
      <c r="G179" s="9" t="s">
        <v>622</v>
      </c>
      <c r="H179" s="10">
        <v>6</v>
      </c>
      <c r="I179" s="10">
        <v>23</v>
      </c>
      <c r="J179" s="10">
        <v>16</v>
      </c>
      <c r="K179" s="10">
        <v>8</v>
      </c>
      <c r="L179" s="10">
        <f t="shared" si="18"/>
        <v>9.92</v>
      </c>
      <c r="M179" s="11">
        <f t="shared" si="19"/>
        <v>0.43130434782608695</v>
      </c>
      <c r="N179" s="11">
        <f t="shared" si="17"/>
        <v>0.62</v>
      </c>
      <c r="O179" s="11">
        <f t="shared" si="20"/>
        <v>0.65333333333333332</v>
      </c>
    </row>
    <row r="180" spans="1:26" x14ac:dyDescent="0.3">
      <c r="A180" s="8" t="s">
        <v>202</v>
      </c>
      <c r="B180" s="9" t="s">
        <v>492</v>
      </c>
      <c r="C180" s="9" t="s">
        <v>120</v>
      </c>
      <c r="D180" s="9" t="s">
        <v>129</v>
      </c>
      <c r="E180" s="9" t="s">
        <v>627</v>
      </c>
      <c r="F180" s="9" t="s">
        <v>617</v>
      </c>
      <c r="G180" s="9" t="s">
        <v>621</v>
      </c>
      <c r="H180" s="10">
        <v>2</v>
      </c>
      <c r="I180" s="10">
        <v>12</v>
      </c>
      <c r="J180" s="10">
        <v>9</v>
      </c>
      <c r="K180" s="10">
        <v>2</v>
      </c>
      <c r="L180" s="10">
        <f t="shared" si="18"/>
        <v>2.48</v>
      </c>
      <c r="M180" s="11">
        <f t="shared" si="19"/>
        <v>0.20666666666666667</v>
      </c>
      <c r="N180" s="11">
        <f t="shared" si="17"/>
        <v>0.27555555555555555</v>
      </c>
      <c r="O180" s="11">
        <f t="shared" si="20"/>
        <v>0.24</v>
      </c>
    </row>
    <row r="181" spans="1:26" x14ac:dyDescent="0.3">
      <c r="A181" s="8" t="s">
        <v>199</v>
      </c>
      <c r="B181" s="9" t="s">
        <v>489</v>
      </c>
      <c r="C181" s="9" t="s">
        <v>120</v>
      </c>
      <c r="D181" s="9" t="s">
        <v>135</v>
      </c>
      <c r="E181" s="9" t="s">
        <v>627</v>
      </c>
      <c r="F181" s="9" t="s">
        <v>624</v>
      </c>
      <c r="G181" s="9" t="s">
        <v>623</v>
      </c>
      <c r="H181" s="10">
        <v>5</v>
      </c>
      <c r="I181" s="10">
        <v>14</v>
      </c>
      <c r="J181" s="10">
        <v>10</v>
      </c>
      <c r="K181" s="10">
        <v>0</v>
      </c>
      <c r="L181" s="10">
        <f t="shared" si="18"/>
        <v>0</v>
      </c>
      <c r="M181" s="11">
        <f t="shared" si="19"/>
        <v>0</v>
      </c>
      <c r="N181" s="11">
        <f t="shared" si="17"/>
        <v>0</v>
      </c>
      <c r="O181" s="11">
        <f t="shared" si="20"/>
        <v>-1</v>
      </c>
    </row>
    <row r="182" spans="1:26" x14ac:dyDescent="0.3">
      <c r="A182" s="8" t="s">
        <v>197</v>
      </c>
      <c r="B182" s="9" t="s">
        <v>487</v>
      </c>
      <c r="C182" s="9" t="s">
        <v>120</v>
      </c>
      <c r="D182" s="9" t="s">
        <v>137</v>
      </c>
      <c r="E182" s="9" t="s">
        <v>627</v>
      </c>
      <c r="F182" s="9" t="s">
        <v>617</v>
      </c>
      <c r="G182" s="9" t="s">
        <v>620</v>
      </c>
      <c r="H182" s="10">
        <v>5</v>
      </c>
      <c r="I182" s="10">
        <v>14</v>
      </c>
      <c r="J182" s="10">
        <v>9</v>
      </c>
      <c r="K182" s="10">
        <v>5</v>
      </c>
      <c r="L182" s="10">
        <f t="shared" si="18"/>
        <v>6.2</v>
      </c>
      <c r="M182" s="11">
        <f t="shared" si="19"/>
        <v>0.44285714285714289</v>
      </c>
      <c r="N182" s="11">
        <f t="shared" si="17"/>
        <v>0.68888888888888888</v>
      </c>
      <c r="O182" s="11">
        <f t="shared" si="20"/>
        <v>0.24000000000000005</v>
      </c>
    </row>
    <row r="183" spans="1:26" x14ac:dyDescent="0.3">
      <c r="A183" s="8" t="s">
        <v>239</v>
      </c>
      <c r="B183" s="9" t="s">
        <v>529</v>
      </c>
      <c r="C183" s="9" t="s">
        <v>120</v>
      </c>
      <c r="D183" s="9" t="s">
        <v>135</v>
      </c>
      <c r="E183" s="9" t="s">
        <v>627</v>
      </c>
      <c r="F183" s="9" t="s">
        <v>617</v>
      </c>
      <c r="G183" s="9" t="s">
        <v>621</v>
      </c>
      <c r="H183" s="10">
        <v>3</v>
      </c>
      <c r="I183" s="10">
        <v>3</v>
      </c>
      <c r="J183" s="10">
        <v>2</v>
      </c>
      <c r="K183" s="10">
        <v>5</v>
      </c>
      <c r="L183" s="10">
        <f t="shared" si="18"/>
        <v>6.2</v>
      </c>
      <c r="M183" s="11">
        <f t="shared" si="19"/>
        <v>2.0666666666666669</v>
      </c>
      <c r="N183" s="11">
        <f t="shared" si="17"/>
        <v>3.1</v>
      </c>
      <c r="O183" s="11">
        <f t="shared" si="20"/>
        <v>1.0666666666666667</v>
      </c>
    </row>
    <row r="184" spans="1:26" x14ac:dyDescent="0.3">
      <c r="A184" s="8" t="s">
        <v>234</v>
      </c>
      <c r="B184" s="9" t="s">
        <v>524</v>
      </c>
      <c r="C184" s="9" t="s">
        <v>120</v>
      </c>
      <c r="D184" s="9" t="s">
        <v>137</v>
      </c>
      <c r="E184" s="9" t="s">
        <v>627</v>
      </c>
      <c r="F184" s="9" t="s">
        <v>617</v>
      </c>
      <c r="G184" s="9" t="s">
        <v>620</v>
      </c>
      <c r="H184" s="10">
        <v>3</v>
      </c>
      <c r="I184" s="10">
        <v>3</v>
      </c>
      <c r="J184" s="10">
        <v>2</v>
      </c>
      <c r="K184" s="10">
        <v>1</v>
      </c>
      <c r="L184" s="10">
        <f t="shared" si="18"/>
        <v>1.24</v>
      </c>
      <c r="M184" s="11">
        <f t="shared" si="19"/>
        <v>0.41333333333333333</v>
      </c>
      <c r="N184" s="11">
        <f t="shared" si="17"/>
        <v>0.62</v>
      </c>
      <c r="O184" s="11">
        <f t="shared" si="20"/>
        <v>-0.58666666666666667</v>
      </c>
    </row>
    <row r="185" spans="1:26" x14ac:dyDescent="0.3">
      <c r="A185" s="8" t="s">
        <v>237</v>
      </c>
      <c r="B185" s="9" t="s">
        <v>527</v>
      </c>
      <c r="C185" s="9" t="s">
        <v>120</v>
      </c>
      <c r="D185" s="9" t="s">
        <v>137</v>
      </c>
      <c r="E185" s="9" t="s">
        <v>627</v>
      </c>
      <c r="F185" s="9" t="s">
        <v>617</v>
      </c>
      <c r="G185" s="9" t="s">
        <v>620</v>
      </c>
      <c r="H185" s="10">
        <v>9</v>
      </c>
      <c r="I185" s="10">
        <v>6</v>
      </c>
      <c r="J185" s="10">
        <v>4</v>
      </c>
      <c r="K185" s="10">
        <v>13</v>
      </c>
      <c r="L185" s="10">
        <f t="shared" si="18"/>
        <v>16.12</v>
      </c>
      <c r="M185" s="11">
        <f t="shared" si="19"/>
        <v>2.686666666666667</v>
      </c>
      <c r="N185" s="11">
        <f t="shared" si="17"/>
        <v>4.03</v>
      </c>
      <c r="O185" s="11">
        <f t="shared" si="20"/>
        <v>0.79111111111111121</v>
      </c>
    </row>
    <row r="186" spans="1:26" x14ac:dyDescent="0.3">
      <c r="A186" s="8" t="s">
        <v>247</v>
      </c>
      <c r="B186" s="9" t="s">
        <v>536</v>
      </c>
      <c r="C186" s="9" t="s">
        <v>120</v>
      </c>
      <c r="D186" s="9" t="s">
        <v>137</v>
      </c>
      <c r="E186" s="9" t="s">
        <v>627</v>
      </c>
      <c r="F186" s="9" t="s">
        <v>617</v>
      </c>
      <c r="G186" s="9" t="s">
        <v>620</v>
      </c>
      <c r="H186" s="10">
        <v>6</v>
      </c>
      <c r="I186" s="10">
        <v>68</v>
      </c>
      <c r="J186" s="10">
        <v>48</v>
      </c>
      <c r="K186" s="10">
        <v>17</v>
      </c>
      <c r="L186" s="10">
        <f t="shared" si="18"/>
        <v>21.080000000000002</v>
      </c>
      <c r="M186" s="11">
        <f t="shared" si="19"/>
        <v>0.31000000000000005</v>
      </c>
      <c r="N186" s="11">
        <f t="shared" si="17"/>
        <v>0.43916666666666671</v>
      </c>
      <c r="O186" s="11">
        <f t="shared" si="20"/>
        <v>2.5133333333333336</v>
      </c>
    </row>
    <row r="187" spans="1:26" x14ac:dyDescent="0.3">
      <c r="A187" s="8" t="s">
        <v>246</v>
      </c>
      <c r="B187" s="9" t="s">
        <v>535</v>
      </c>
      <c r="C187" s="9" t="s">
        <v>120</v>
      </c>
      <c r="D187" s="9" t="s">
        <v>137</v>
      </c>
      <c r="E187" s="9" t="s">
        <v>627</v>
      </c>
      <c r="F187" s="9" t="s">
        <v>617</v>
      </c>
      <c r="G187" s="9" t="s">
        <v>619</v>
      </c>
      <c r="H187" s="10">
        <v>10</v>
      </c>
      <c r="I187" s="10">
        <v>57</v>
      </c>
      <c r="J187" s="10">
        <v>40</v>
      </c>
      <c r="K187" s="10">
        <v>22</v>
      </c>
      <c r="L187" s="10">
        <f t="shared" si="18"/>
        <v>27.28</v>
      </c>
      <c r="M187" s="11">
        <f t="shared" si="19"/>
        <v>0.47859649122807019</v>
      </c>
      <c r="N187" s="11">
        <f t="shared" si="17"/>
        <v>0.68200000000000005</v>
      </c>
      <c r="O187" s="11">
        <f t="shared" si="20"/>
        <v>1.7280000000000002</v>
      </c>
    </row>
    <row r="188" spans="1:26" x14ac:dyDescent="0.3">
      <c r="A188" s="8" t="s">
        <v>243</v>
      </c>
      <c r="B188" s="9" t="s">
        <v>533</v>
      </c>
      <c r="C188" s="9" t="s">
        <v>120</v>
      </c>
      <c r="D188" s="9" t="s">
        <v>137</v>
      </c>
      <c r="E188" s="9" t="s">
        <v>627</v>
      </c>
      <c r="F188" s="9" t="s">
        <v>617</v>
      </c>
      <c r="G188" s="9" t="s">
        <v>619</v>
      </c>
      <c r="H188" s="10">
        <v>20</v>
      </c>
      <c r="I188" s="10">
        <v>37</v>
      </c>
      <c r="J188" s="10">
        <v>26</v>
      </c>
      <c r="K188" s="10">
        <v>18</v>
      </c>
      <c r="L188" s="10">
        <f t="shared" si="18"/>
        <v>22.32</v>
      </c>
      <c r="M188" s="11">
        <f t="shared" si="19"/>
        <v>0.6032432432432433</v>
      </c>
      <c r="N188" s="11">
        <f t="shared" si="17"/>
        <v>0.8584615384615385</v>
      </c>
      <c r="O188" s="11">
        <f t="shared" si="20"/>
        <v>0.11600000000000002</v>
      </c>
    </row>
    <row r="189" spans="1:26" x14ac:dyDescent="0.3">
      <c r="A189" s="8" t="s">
        <v>242</v>
      </c>
      <c r="B189" s="9" t="s">
        <v>532</v>
      </c>
      <c r="C189" s="9" t="s">
        <v>120</v>
      </c>
      <c r="D189" s="9" t="s">
        <v>137</v>
      </c>
      <c r="E189" s="9" t="s">
        <v>627</v>
      </c>
      <c r="F189" s="9" t="s">
        <v>617</v>
      </c>
      <c r="G189" s="9" t="s">
        <v>620</v>
      </c>
      <c r="H189" s="10">
        <v>17</v>
      </c>
      <c r="I189" s="10">
        <v>29</v>
      </c>
      <c r="J189" s="10">
        <v>20</v>
      </c>
      <c r="K189" s="10">
        <v>16</v>
      </c>
      <c r="L189" s="10">
        <f t="shared" si="18"/>
        <v>19.84</v>
      </c>
      <c r="M189" s="11">
        <f t="shared" si="19"/>
        <v>0.68413793103448273</v>
      </c>
      <c r="N189" s="11">
        <f t="shared" si="17"/>
        <v>0.99199999999999999</v>
      </c>
      <c r="O189" s="11">
        <f t="shared" si="20"/>
        <v>0.16705882352941176</v>
      </c>
    </row>
    <row r="190" spans="1:26" s="15" customFormat="1" ht="15.05" customHeight="1" x14ac:dyDescent="0.3">
      <c r="A190" s="4" t="s">
        <v>18</v>
      </c>
      <c r="B190" s="7"/>
      <c r="C190" s="7"/>
      <c r="D190" s="7"/>
      <c r="E190" s="7"/>
      <c r="F190" s="7"/>
      <c r="G190" s="7"/>
      <c r="H190" s="12">
        <f>SUM(H5:H189)</f>
        <v>1410</v>
      </c>
      <c r="I190" s="12">
        <f>SUM(I5:I189)</f>
        <v>3226</v>
      </c>
      <c r="J190" s="12">
        <f>SUM(J5:J189)</f>
        <v>2290</v>
      </c>
      <c r="K190" s="12">
        <f>SUM(K5:K189)</f>
        <v>1652</v>
      </c>
      <c r="L190" s="12">
        <f>SUM(L5:L189)</f>
        <v>2048.4800000000023</v>
      </c>
      <c r="M190" s="13">
        <f>IFERROR((L190/I190),0)</f>
        <v>0.63499070055796725</v>
      </c>
      <c r="N190" s="13">
        <f>IFERROR((L190/J190),0)</f>
        <v>0.89453275109170405</v>
      </c>
      <c r="O190" s="14">
        <f>IFERROR((L190-H190)/H190,0)</f>
        <v>0.45282269503546263</v>
      </c>
      <c r="R190"/>
      <c r="S190"/>
      <c r="T190"/>
      <c r="U190"/>
      <c r="V190"/>
      <c r="W190"/>
      <c r="X190"/>
      <c r="Y190"/>
      <c r="Z190"/>
    </row>
    <row r="191" spans="1:26" ht="15.05" customHeight="1" x14ac:dyDescent="0.3"/>
  </sheetData>
  <autoFilter ref="A4:O190" xr:uid="{9C37F107-75DF-4C86-A97B-8DB1A6F13EC7}"/>
  <mergeCells count="2">
    <mergeCell ref="A3:O3"/>
    <mergeCell ref="R3:Z3"/>
  </mergeCells>
  <conditionalFormatting sqref="A5:A189">
    <cfRule type="duplicateValues" dxfId="11" priority="5"/>
  </conditionalFormatting>
  <conditionalFormatting sqref="M5:N190">
    <cfRule type="cellIs" dxfId="10" priority="4" operator="lessThan">
      <formula>1</formula>
    </cfRule>
  </conditionalFormatting>
  <conditionalFormatting sqref="X5:Y7 X11:Y25">
    <cfRule type="cellIs" dxfId="9" priority="2" operator="lessThan">
      <formula>1</formula>
    </cfRule>
    <cfRule type="cellIs" dxfId="8" priority="3" operator="lessThan">
      <formula>0</formula>
    </cfRule>
  </conditionalFormatting>
  <conditionalFormatting sqref="Z5:Z8 M5:O190 Z11:Z26">
    <cfRule type="cellIs" dxfId="7" priority="1" operator="less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FEBCC-5EC5-4BC8-AF8B-C57DFD86EB52}">
  <dimension ref="A1:V135"/>
  <sheetViews>
    <sheetView showGridLines="0" zoomScale="70" zoomScaleNormal="70" workbookViewId="0">
      <pane ySplit="4" topLeftCell="A5" activePane="bottomLeft" state="frozen"/>
      <selection activeCell="J6" sqref="J6"/>
      <selection pane="bottomLeft" activeCell="J6" sqref="J6"/>
    </sheetView>
  </sheetViews>
  <sheetFormatPr defaultRowHeight="15.05" x14ac:dyDescent="0.3"/>
  <cols>
    <col min="1" max="1" width="10.33203125" bestFit="1" customWidth="1"/>
    <col min="2" max="2" width="41.109375" customWidth="1"/>
    <col min="3" max="3" width="15.109375" bestFit="1" customWidth="1"/>
    <col min="4" max="4" width="23" bestFit="1" customWidth="1"/>
    <col min="5" max="6" width="23" customWidth="1"/>
    <col min="7" max="7" width="19.44140625" bestFit="1" customWidth="1"/>
    <col min="8" max="8" width="19.44140625" customWidth="1"/>
    <col min="9" max="13" width="18" customWidth="1"/>
    <col min="16" max="16" width="25.88671875" customWidth="1"/>
    <col min="17" max="22" width="15.109375" customWidth="1"/>
  </cols>
  <sheetData>
    <row r="1" spans="1:22" x14ac:dyDescent="0.3">
      <c r="A1" s="1">
        <v>25</v>
      </c>
      <c r="B1" s="1">
        <v>31</v>
      </c>
    </row>
    <row r="2" spans="1:22" x14ac:dyDescent="0.3">
      <c r="A2" s="16"/>
    </row>
    <row r="3" spans="1:22" s="3" customFormat="1" ht="23.5" customHeight="1" x14ac:dyDescent="0.3">
      <c r="A3" s="2" t="str">
        <f>"RACING TECNO CAMON 50 SERIES (01 - "&amp;A1&amp;" MEI 2026)"</f>
        <v>RACING TECNO CAMON 50 SERIES (01 - 25 MEI 2026)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P3" s="2" t="str">
        <f>A3</f>
        <v>RACING TECNO CAMON 50 SERIES (01 - 25 MEI 2026)</v>
      </c>
      <c r="Q3" s="2"/>
      <c r="R3" s="2"/>
      <c r="S3" s="2"/>
      <c r="T3" s="2"/>
      <c r="U3" s="2"/>
      <c r="V3" s="2"/>
    </row>
    <row r="4" spans="1:22" s="3" customFormat="1" ht="29.45" customHeight="1" x14ac:dyDescent="0.3">
      <c r="A4" s="4" t="s">
        <v>0</v>
      </c>
      <c r="B4" s="5" t="s">
        <v>1</v>
      </c>
      <c r="C4" s="5" t="s">
        <v>2</v>
      </c>
      <c r="D4" s="5" t="s">
        <v>3</v>
      </c>
      <c r="E4" s="5" t="s">
        <v>4</v>
      </c>
      <c r="F4" s="5" t="s">
        <v>5</v>
      </c>
      <c r="G4" s="5" t="s">
        <v>6</v>
      </c>
      <c r="H4" s="6" t="s">
        <v>7</v>
      </c>
      <c r="I4" s="6" t="s">
        <v>8</v>
      </c>
      <c r="J4" s="6" t="s">
        <v>9</v>
      </c>
      <c r="K4" s="6" t="s">
        <v>10</v>
      </c>
      <c r="L4" s="6" t="s">
        <v>11</v>
      </c>
      <c r="M4" s="6" t="s">
        <v>12</v>
      </c>
      <c r="P4" s="7" t="s">
        <v>2</v>
      </c>
      <c r="Q4" s="6" t="s">
        <v>7</v>
      </c>
      <c r="R4" s="6" t="s">
        <v>8</v>
      </c>
      <c r="S4" s="6" t="s">
        <v>9</v>
      </c>
      <c r="T4" s="6" t="s">
        <v>10</v>
      </c>
      <c r="U4" s="6" t="s">
        <v>11</v>
      </c>
      <c r="V4" s="6" t="s">
        <v>12</v>
      </c>
    </row>
    <row r="5" spans="1:22" x14ac:dyDescent="0.3">
      <c r="A5" s="8" t="s">
        <v>167</v>
      </c>
      <c r="B5" s="9" t="s">
        <v>457</v>
      </c>
      <c r="C5" s="9" t="s">
        <v>16</v>
      </c>
      <c r="D5" s="9" t="s">
        <v>44</v>
      </c>
      <c r="E5" s="9" t="s">
        <v>616</v>
      </c>
      <c r="F5" s="9" t="s">
        <v>617</v>
      </c>
      <c r="G5" s="9" t="s">
        <v>622</v>
      </c>
      <c r="H5" s="10">
        <v>14</v>
      </c>
      <c r="I5" s="10">
        <v>22</v>
      </c>
      <c r="J5" s="10">
        <v>14</v>
      </c>
      <c r="K5" s="10">
        <f t="shared" ref="K5:K68" si="0">IFERROR((J5/$A$1*$B$1),0)</f>
        <v>17.360000000000003</v>
      </c>
      <c r="L5" s="11">
        <f t="shared" ref="L5:L68" si="1">IFERROR((K5/I5),0)</f>
        <v>0.78909090909090918</v>
      </c>
      <c r="M5" s="11">
        <f t="shared" ref="M5:M68" si="2">IFERROR((K5-H5)/H5,0)</f>
        <v>0.24000000000000021</v>
      </c>
      <c r="P5" s="9" t="s">
        <v>14</v>
      </c>
      <c r="Q5" s="10">
        <f>SUMIF($C:$C,$P5,H:H)</f>
        <v>40</v>
      </c>
      <c r="R5" s="10">
        <f>SUMIF($C:$C,$P5,I:I)</f>
        <v>255</v>
      </c>
      <c r="S5" s="10">
        <f>SUMIF($C:$C,$P5,J:J)</f>
        <v>42</v>
      </c>
      <c r="T5" s="10">
        <f>SUMIF($C:$C,$P5,K:K)</f>
        <v>52.080000000000013</v>
      </c>
      <c r="U5" s="11">
        <f>IFERROR((T5/R5),0)</f>
        <v>0.2042352941176471</v>
      </c>
      <c r="V5" s="11">
        <f>IFERROR((T5-Q5)/Q5,0)</f>
        <v>0.30200000000000032</v>
      </c>
    </row>
    <row r="6" spans="1:22" x14ac:dyDescent="0.3">
      <c r="A6" s="8" t="s">
        <v>37</v>
      </c>
      <c r="B6" s="9" t="s">
        <v>345</v>
      </c>
      <c r="C6" s="9" t="s">
        <v>16</v>
      </c>
      <c r="D6" s="9" t="s">
        <v>38</v>
      </c>
      <c r="E6" s="9" t="s">
        <v>616</v>
      </c>
      <c r="F6" s="9" t="s">
        <v>617</v>
      </c>
      <c r="G6" s="9" t="s">
        <v>621</v>
      </c>
      <c r="H6" s="10">
        <v>0</v>
      </c>
      <c r="I6" s="10">
        <v>5</v>
      </c>
      <c r="J6" s="10">
        <v>0</v>
      </c>
      <c r="K6" s="10">
        <f t="shared" si="0"/>
        <v>0</v>
      </c>
      <c r="L6" s="11">
        <f t="shared" si="1"/>
        <v>0</v>
      </c>
      <c r="M6" s="11">
        <f t="shared" si="2"/>
        <v>0</v>
      </c>
      <c r="P6" s="9" t="s">
        <v>16</v>
      </c>
      <c r="Q6" s="10">
        <f>SUMIF($C:$C,$P6,H:H)</f>
        <v>110</v>
      </c>
      <c r="R6" s="10">
        <f>SUMIF($C:$C,$P6,I:I)</f>
        <v>447</v>
      </c>
      <c r="S6" s="10">
        <f>SUMIF($C:$C,$P6,J:J)</f>
        <v>108</v>
      </c>
      <c r="T6" s="10">
        <f>SUMIF($C:$C,$P6,K:K)</f>
        <v>133.92000000000002</v>
      </c>
      <c r="U6" s="11">
        <f>IFERROR((T6/R6),0)</f>
        <v>0.29959731543624163</v>
      </c>
      <c r="V6" s="11">
        <f>IFERROR((T6-Q6)/Q6,0)</f>
        <v>0.21745454545454559</v>
      </c>
    </row>
    <row r="7" spans="1:22" x14ac:dyDescent="0.3">
      <c r="A7" s="8" t="s">
        <v>13</v>
      </c>
      <c r="B7" s="9" t="s">
        <v>332</v>
      </c>
      <c r="C7" s="9" t="s">
        <v>16</v>
      </c>
      <c r="D7" s="9" t="s">
        <v>22</v>
      </c>
      <c r="E7" s="9" t="s">
        <v>616</v>
      </c>
      <c r="F7" s="9" t="s">
        <v>617</v>
      </c>
      <c r="G7" s="9" t="s">
        <v>618</v>
      </c>
      <c r="H7" s="10">
        <v>5</v>
      </c>
      <c r="I7" s="10">
        <v>8</v>
      </c>
      <c r="J7" s="10">
        <v>2</v>
      </c>
      <c r="K7" s="10">
        <f t="shared" si="0"/>
        <v>2.48</v>
      </c>
      <c r="L7" s="11">
        <f t="shared" si="1"/>
        <v>0.31</v>
      </c>
      <c r="M7" s="11">
        <f t="shared" si="2"/>
        <v>-0.504</v>
      </c>
      <c r="P7" s="9" t="s">
        <v>120</v>
      </c>
      <c r="Q7" s="10">
        <f>SUMIF($C:$C,$P7,H:H)</f>
        <v>1</v>
      </c>
      <c r="R7" s="10">
        <f>SUMIF($C:$C,$P7,I:I)</f>
        <v>5</v>
      </c>
      <c r="S7" s="10">
        <f>SUMIF($C:$C,$P7,J:J)</f>
        <v>1</v>
      </c>
      <c r="T7" s="10">
        <f>SUMIF($C:$C,$P7,K:K)</f>
        <v>1.24</v>
      </c>
      <c r="U7" s="11">
        <f>IFERROR((T7/R7),0)</f>
        <v>0.248</v>
      </c>
      <c r="V7" s="11">
        <f>IFERROR((T7-Q7)/Q7,0)</f>
        <v>0.24</v>
      </c>
    </row>
    <row r="8" spans="1:22" x14ac:dyDescent="0.3">
      <c r="A8" s="8" t="s">
        <v>168</v>
      </c>
      <c r="B8" s="9" t="s">
        <v>458</v>
      </c>
      <c r="C8" s="9" t="s">
        <v>14</v>
      </c>
      <c r="D8" s="9" t="s">
        <v>24</v>
      </c>
      <c r="E8" s="9" t="s">
        <v>616</v>
      </c>
      <c r="F8" s="9" t="s">
        <v>617</v>
      </c>
      <c r="G8" s="9" t="s">
        <v>619</v>
      </c>
      <c r="H8" s="10">
        <v>5</v>
      </c>
      <c r="I8" s="10">
        <v>8</v>
      </c>
      <c r="J8" s="10">
        <v>3</v>
      </c>
      <c r="K8" s="10">
        <f t="shared" si="0"/>
        <v>3.7199999999999998</v>
      </c>
      <c r="L8" s="11">
        <f t="shared" si="1"/>
        <v>0.46499999999999997</v>
      </c>
      <c r="M8" s="11">
        <f t="shared" si="2"/>
        <v>-0.25600000000000006</v>
      </c>
      <c r="P8" s="4" t="s">
        <v>18</v>
      </c>
      <c r="Q8" s="12">
        <f>SUM(Q5:Q7)</f>
        <v>151</v>
      </c>
      <c r="R8" s="12">
        <f>SUM(R5:R7)</f>
        <v>707</v>
      </c>
      <c r="S8" s="12">
        <f>SUM(S5:S7)</f>
        <v>151</v>
      </c>
      <c r="T8" s="12">
        <f>SUM(T5:T7)</f>
        <v>187.24000000000004</v>
      </c>
      <c r="U8" s="13">
        <f>IFERROR((T8/R8),0)</f>
        <v>0.26483734087694488</v>
      </c>
      <c r="V8" s="14">
        <f>IFERROR((T8-Q8)/Q8,0)</f>
        <v>0.24000000000000024</v>
      </c>
    </row>
    <row r="9" spans="1:22" x14ac:dyDescent="0.3">
      <c r="A9" s="8" t="s">
        <v>39</v>
      </c>
      <c r="B9" s="9" t="s">
        <v>346</v>
      </c>
      <c r="C9" s="9" t="s">
        <v>16</v>
      </c>
      <c r="D9" s="9" t="s">
        <v>38</v>
      </c>
      <c r="E9" s="9" t="s">
        <v>616</v>
      </c>
      <c r="F9" s="9" t="s">
        <v>617</v>
      </c>
      <c r="G9" s="9" t="s">
        <v>621</v>
      </c>
      <c r="H9" s="10">
        <v>7</v>
      </c>
      <c r="I9" s="10">
        <v>10</v>
      </c>
      <c r="J9" s="10">
        <v>9</v>
      </c>
      <c r="K9" s="10">
        <f t="shared" si="0"/>
        <v>11.16</v>
      </c>
      <c r="L9" s="11">
        <f t="shared" si="1"/>
        <v>1.1160000000000001</v>
      </c>
      <c r="M9" s="11">
        <f t="shared" si="2"/>
        <v>0.59428571428571431</v>
      </c>
    </row>
    <row r="10" spans="1:22" x14ac:dyDescent="0.3">
      <c r="A10" s="8" t="s">
        <v>41</v>
      </c>
      <c r="B10" s="9" t="s">
        <v>347</v>
      </c>
      <c r="C10" s="9" t="s">
        <v>14</v>
      </c>
      <c r="D10" s="9" t="s">
        <v>32</v>
      </c>
      <c r="E10" s="9" t="s">
        <v>616</v>
      </c>
      <c r="F10" s="9" t="s">
        <v>617</v>
      </c>
      <c r="G10" s="9" t="s">
        <v>619</v>
      </c>
      <c r="H10" s="10">
        <v>0</v>
      </c>
      <c r="I10" s="10">
        <v>5</v>
      </c>
      <c r="J10" s="10">
        <v>0</v>
      </c>
      <c r="K10" s="10">
        <f t="shared" si="0"/>
        <v>0</v>
      </c>
      <c r="L10" s="11">
        <f t="shared" si="1"/>
        <v>0</v>
      </c>
      <c r="M10" s="11">
        <f t="shared" si="2"/>
        <v>0</v>
      </c>
      <c r="P10" s="7" t="s">
        <v>3</v>
      </c>
      <c r="Q10" s="7" t="s">
        <v>7</v>
      </c>
      <c r="R10" s="7" t="s">
        <v>8</v>
      </c>
      <c r="S10" s="7" t="s">
        <v>9</v>
      </c>
      <c r="T10" s="7" t="s">
        <v>10</v>
      </c>
      <c r="U10" s="7" t="s">
        <v>11</v>
      </c>
      <c r="V10" s="7" t="s">
        <v>12</v>
      </c>
    </row>
    <row r="11" spans="1:22" x14ac:dyDescent="0.3">
      <c r="A11" s="8" t="s">
        <v>128</v>
      </c>
      <c r="B11" s="9" t="s">
        <v>426</v>
      </c>
      <c r="C11" s="9" t="s">
        <v>16</v>
      </c>
      <c r="D11" s="9" t="s">
        <v>42</v>
      </c>
      <c r="E11" s="9" t="s">
        <v>616</v>
      </c>
      <c r="F11" s="9" t="s">
        <v>617</v>
      </c>
      <c r="G11" s="9" t="s">
        <v>618</v>
      </c>
      <c r="H11" s="10">
        <v>7</v>
      </c>
      <c r="I11" s="10">
        <v>11</v>
      </c>
      <c r="J11" s="10">
        <v>2</v>
      </c>
      <c r="K11" s="10">
        <f t="shared" si="0"/>
        <v>2.48</v>
      </c>
      <c r="L11" s="11">
        <f t="shared" si="1"/>
        <v>0.22545454545454546</v>
      </c>
      <c r="M11" s="11">
        <f t="shared" si="2"/>
        <v>-0.64571428571428569</v>
      </c>
      <c r="P11" s="9" t="s">
        <v>22</v>
      </c>
      <c r="Q11" s="10">
        <f>SUMIF($D:$D,$P11,H:H)</f>
        <v>12</v>
      </c>
      <c r="R11" s="10">
        <f>SUMIF($D:$D,$P11,I:I)</f>
        <v>38</v>
      </c>
      <c r="S11" s="10">
        <f>SUMIF($D:$D,$P11,J:J)</f>
        <v>2</v>
      </c>
      <c r="T11" s="10">
        <f>SUMIF($D:$D,$P11,K:K)</f>
        <v>2.48</v>
      </c>
      <c r="U11" s="11">
        <f t="shared" ref="U11:U24" si="3">IFERROR((T11/R11),0)</f>
        <v>6.5263157894736842E-2</v>
      </c>
      <c r="V11" s="11">
        <f t="shared" ref="V11:V24" si="4">IFERROR((T11-Q11)/Q11,0)</f>
        <v>-0.79333333333333333</v>
      </c>
    </row>
    <row r="12" spans="1:22" x14ac:dyDescent="0.3">
      <c r="A12" s="8" t="s">
        <v>45</v>
      </c>
      <c r="B12" s="9" t="s">
        <v>349</v>
      </c>
      <c r="C12" s="9" t="s">
        <v>16</v>
      </c>
      <c r="D12" s="9" t="s">
        <v>34</v>
      </c>
      <c r="E12" s="9" t="s">
        <v>616</v>
      </c>
      <c r="F12" s="9" t="s">
        <v>617</v>
      </c>
      <c r="G12" s="9" t="s">
        <v>621</v>
      </c>
      <c r="H12" s="10">
        <v>4</v>
      </c>
      <c r="I12" s="10">
        <v>6</v>
      </c>
      <c r="J12" s="10">
        <v>4</v>
      </c>
      <c r="K12" s="10">
        <f t="shared" si="0"/>
        <v>4.96</v>
      </c>
      <c r="L12" s="11">
        <f t="shared" si="1"/>
        <v>0.82666666666666666</v>
      </c>
      <c r="M12" s="11">
        <f t="shared" si="2"/>
        <v>0.24</v>
      </c>
      <c r="P12" s="9" t="s">
        <v>44</v>
      </c>
      <c r="Q12" s="10">
        <f>SUMIF($D:$D,$P12,H:H)</f>
        <v>21</v>
      </c>
      <c r="R12" s="10">
        <f>SUMIF($D:$D,$P12,I:I)</f>
        <v>82</v>
      </c>
      <c r="S12" s="10">
        <f>SUMIF($D:$D,$P12,J:J)</f>
        <v>27</v>
      </c>
      <c r="T12" s="10">
        <f>SUMIF($D:$D,$P12,K:K)</f>
        <v>33.480000000000004</v>
      </c>
      <c r="U12" s="11">
        <f t="shared" si="3"/>
        <v>0.4082926829268293</v>
      </c>
      <c r="V12" s="11">
        <f t="shared" si="4"/>
        <v>0.59428571428571453</v>
      </c>
    </row>
    <row r="13" spans="1:22" x14ac:dyDescent="0.3">
      <c r="A13" s="8" t="s">
        <v>17</v>
      </c>
      <c r="B13" s="9" t="s">
        <v>334</v>
      </c>
      <c r="C13" s="9" t="s">
        <v>14</v>
      </c>
      <c r="D13" s="9" t="s">
        <v>24</v>
      </c>
      <c r="E13" s="9" t="s">
        <v>616</v>
      </c>
      <c r="F13" s="9" t="s">
        <v>617</v>
      </c>
      <c r="G13" s="9" t="s">
        <v>619</v>
      </c>
      <c r="H13" s="10">
        <v>1</v>
      </c>
      <c r="I13" s="10">
        <v>5</v>
      </c>
      <c r="J13" s="10">
        <v>2</v>
      </c>
      <c r="K13" s="10">
        <f t="shared" si="0"/>
        <v>2.48</v>
      </c>
      <c r="L13" s="11">
        <f t="shared" si="1"/>
        <v>0.496</v>
      </c>
      <c r="M13" s="11">
        <f t="shared" si="2"/>
        <v>1.48</v>
      </c>
      <c r="P13" s="9" t="s">
        <v>42</v>
      </c>
      <c r="Q13" s="10">
        <f>SUMIF($D:$D,$P13,H:H)</f>
        <v>14</v>
      </c>
      <c r="R13" s="10">
        <f>SUMIF($D:$D,$P13,I:I)</f>
        <v>66</v>
      </c>
      <c r="S13" s="10">
        <f>SUMIF($D:$D,$P13,J:J)</f>
        <v>7</v>
      </c>
      <c r="T13" s="10">
        <f>SUMIF($D:$D,$P13,K:K)</f>
        <v>8.68</v>
      </c>
      <c r="U13" s="11">
        <f t="shared" si="3"/>
        <v>0.1315151515151515</v>
      </c>
      <c r="V13" s="11">
        <f t="shared" si="4"/>
        <v>-0.38</v>
      </c>
    </row>
    <row r="14" spans="1:22" x14ac:dyDescent="0.3">
      <c r="A14" s="8" t="s">
        <v>56</v>
      </c>
      <c r="B14" s="9" t="s">
        <v>360</v>
      </c>
      <c r="C14" s="9" t="s">
        <v>16</v>
      </c>
      <c r="D14" s="9" t="s">
        <v>44</v>
      </c>
      <c r="E14" s="9" t="s">
        <v>616</v>
      </c>
      <c r="F14" s="9" t="s">
        <v>617</v>
      </c>
      <c r="G14" s="9" t="s">
        <v>622</v>
      </c>
      <c r="H14" s="10">
        <v>3</v>
      </c>
      <c r="I14" s="10">
        <v>5</v>
      </c>
      <c r="J14" s="10">
        <v>1</v>
      </c>
      <c r="K14" s="10">
        <f t="shared" si="0"/>
        <v>1.24</v>
      </c>
      <c r="L14" s="11">
        <f t="shared" si="1"/>
        <v>0.248</v>
      </c>
      <c r="M14" s="11">
        <f t="shared" si="2"/>
        <v>-0.58666666666666667</v>
      </c>
      <c r="P14" s="9" t="s">
        <v>36</v>
      </c>
      <c r="Q14" s="10">
        <f>SUMIF($D:$D,$P14,H:H)</f>
        <v>7</v>
      </c>
      <c r="R14" s="10">
        <f>SUMIF($D:$D,$P14,I:I)</f>
        <v>55</v>
      </c>
      <c r="S14" s="10">
        <f>SUMIF($D:$D,$P14,J:J)</f>
        <v>7</v>
      </c>
      <c r="T14" s="10">
        <f>SUMIF($D:$D,$P14,K:K)</f>
        <v>8.68</v>
      </c>
      <c r="U14" s="11">
        <f t="shared" si="3"/>
        <v>0.1578181818181818</v>
      </c>
      <c r="V14" s="11">
        <f t="shared" si="4"/>
        <v>0.23999999999999996</v>
      </c>
    </row>
    <row r="15" spans="1:22" x14ac:dyDescent="0.3">
      <c r="A15" s="8" t="s">
        <v>47</v>
      </c>
      <c r="B15" s="9" t="s">
        <v>351</v>
      </c>
      <c r="C15" s="9" t="s">
        <v>16</v>
      </c>
      <c r="D15" s="9" t="s">
        <v>40</v>
      </c>
      <c r="E15" s="9" t="s">
        <v>616</v>
      </c>
      <c r="F15" s="9" t="s">
        <v>617</v>
      </c>
      <c r="G15" s="9" t="s">
        <v>623</v>
      </c>
      <c r="H15" s="10">
        <v>1</v>
      </c>
      <c r="I15" s="10">
        <v>5</v>
      </c>
      <c r="J15" s="10">
        <v>0</v>
      </c>
      <c r="K15" s="10">
        <f t="shared" si="0"/>
        <v>0</v>
      </c>
      <c r="L15" s="11">
        <f t="shared" si="1"/>
        <v>0</v>
      </c>
      <c r="M15" s="11">
        <f t="shared" si="2"/>
        <v>-1</v>
      </c>
      <c r="P15" s="9" t="s">
        <v>32</v>
      </c>
      <c r="Q15" s="10">
        <f>SUMIF($D:$D,$P15,H:H)</f>
        <v>3</v>
      </c>
      <c r="R15" s="10">
        <f>SUMIF($D:$D,$P15,I:I)</f>
        <v>70</v>
      </c>
      <c r="S15" s="10">
        <f>SUMIF($D:$D,$P15,J:J)</f>
        <v>7</v>
      </c>
      <c r="T15" s="10">
        <f>SUMIF($D:$D,$P15,K:K)</f>
        <v>8.68</v>
      </c>
      <c r="U15" s="11">
        <f t="shared" si="3"/>
        <v>0.124</v>
      </c>
      <c r="V15" s="11">
        <f t="shared" si="4"/>
        <v>1.8933333333333333</v>
      </c>
    </row>
    <row r="16" spans="1:22" x14ac:dyDescent="0.3">
      <c r="A16" s="8" t="s">
        <v>43</v>
      </c>
      <c r="B16" s="9" t="s">
        <v>348</v>
      </c>
      <c r="C16" s="9" t="s">
        <v>16</v>
      </c>
      <c r="D16" s="9" t="s">
        <v>40</v>
      </c>
      <c r="E16" s="9" t="s">
        <v>616</v>
      </c>
      <c r="F16" s="9" t="s">
        <v>617</v>
      </c>
      <c r="G16" s="9" t="s">
        <v>623</v>
      </c>
      <c r="H16" s="10">
        <v>8</v>
      </c>
      <c r="I16" s="10">
        <v>13</v>
      </c>
      <c r="J16" s="10">
        <v>7</v>
      </c>
      <c r="K16" s="10">
        <f t="shared" si="0"/>
        <v>8.6800000000000015</v>
      </c>
      <c r="L16" s="11">
        <f t="shared" si="1"/>
        <v>0.66769230769230781</v>
      </c>
      <c r="M16" s="11">
        <f t="shared" si="2"/>
        <v>8.5000000000000187E-2</v>
      </c>
      <c r="P16" s="9" t="s">
        <v>26</v>
      </c>
      <c r="Q16" s="10">
        <f>SUMIF($D:$D,$P16,H:H)</f>
        <v>15</v>
      </c>
      <c r="R16" s="10">
        <f>SUMIF($D:$D,$P16,I:I)</f>
        <v>49</v>
      </c>
      <c r="S16" s="10">
        <f>SUMIF($D:$D,$P16,J:J)</f>
        <v>14</v>
      </c>
      <c r="T16" s="10">
        <f>SUMIF($D:$D,$P16,K:K)</f>
        <v>17.36</v>
      </c>
      <c r="U16" s="11">
        <f t="shared" si="3"/>
        <v>0.35428571428571426</v>
      </c>
      <c r="V16" s="11">
        <f t="shared" si="4"/>
        <v>0.1573333333333333</v>
      </c>
    </row>
    <row r="17" spans="1:22" x14ac:dyDescent="0.3">
      <c r="A17" s="8" t="s">
        <v>21</v>
      </c>
      <c r="B17" s="9" t="s">
        <v>337</v>
      </c>
      <c r="C17" s="9" t="s">
        <v>14</v>
      </c>
      <c r="D17" s="9" t="s">
        <v>30</v>
      </c>
      <c r="E17" s="9" t="s">
        <v>616</v>
      </c>
      <c r="F17" s="9" t="s">
        <v>617</v>
      </c>
      <c r="G17" s="9" t="s">
        <v>620</v>
      </c>
      <c r="H17" s="10">
        <v>0</v>
      </c>
      <c r="I17" s="10">
        <v>5</v>
      </c>
      <c r="J17" s="10">
        <v>0</v>
      </c>
      <c r="K17" s="10">
        <f t="shared" si="0"/>
        <v>0</v>
      </c>
      <c r="L17" s="11">
        <f t="shared" si="1"/>
        <v>0</v>
      </c>
      <c r="M17" s="11">
        <f t="shared" si="2"/>
        <v>0</v>
      </c>
      <c r="P17" s="9" t="s">
        <v>30</v>
      </c>
      <c r="Q17" s="10">
        <f>SUMIF($D:$D,$P17,H:H)</f>
        <v>2</v>
      </c>
      <c r="R17" s="10">
        <f>SUMIF($D:$D,$P17,I:I)</f>
        <v>40</v>
      </c>
      <c r="S17" s="10">
        <f>SUMIF($D:$D,$P17,J:J)</f>
        <v>1</v>
      </c>
      <c r="T17" s="10">
        <f>SUMIF($D:$D,$P17,K:K)</f>
        <v>1.24</v>
      </c>
      <c r="U17" s="11">
        <f t="shared" si="3"/>
        <v>3.1E-2</v>
      </c>
      <c r="V17" s="11">
        <f t="shared" si="4"/>
        <v>-0.38</v>
      </c>
    </row>
    <row r="18" spans="1:22" x14ac:dyDescent="0.3">
      <c r="A18" s="8" t="s">
        <v>126</v>
      </c>
      <c r="B18" s="9" t="s">
        <v>424</v>
      </c>
      <c r="C18" s="9" t="s">
        <v>16</v>
      </c>
      <c r="D18" s="9" t="s">
        <v>36</v>
      </c>
      <c r="E18" s="9" t="s">
        <v>616</v>
      </c>
      <c r="F18" s="9" t="s">
        <v>617</v>
      </c>
      <c r="G18" s="9" t="s">
        <v>621</v>
      </c>
      <c r="H18" s="10">
        <v>1</v>
      </c>
      <c r="I18" s="10">
        <v>5</v>
      </c>
      <c r="J18" s="10">
        <v>0</v>
      </c>
      <c r="K18" s="10">
        <f t="shared" si="0"/>
        <v>0</v>
      </c>
      <c r="L18" s="11">
        <f t="shared" si="1"/>
        <v>0</v>
      </c>
      <c r="M18" s="11">
        <f t="shared" si="2"/>
        <v>-1</v>
      </c>
      <c r="P18" s="9" t="s">
        <v>28</v>
      </c>
      <c r="Q18" s="10">
        <f>SUMIF($D:$D,$P18,H:H)</f>
        <v>9</v>
      </c>
      <c r="R18" s="10">
        <f>SUMIF($D:$D,$P18,I:I)</f>
        <v>38</v>
      </c>
      <c r="S18" s="10">
        <f>SUMIF($D:$D,$P18,J:J)</f>
        <v>11</v>
      </c>
      <c r="T18" s="10">
        <f>SUMIF($D:$D,$P18,K:K)</f>
        <v>13.64</v>
      </c>
      <c r="U18" s="11">
        <f t="shared" si="3"/>
        <v>0.35894736842105263</v>
      </c>
      <c r="V18" s="11">
        <f t="shared" si="4"/>
        <v>0.51555555555555566</v>
      </c>
    </row>
    <row r="19" spans="1:22" x14ac:dyDescent="0.3">
      <c r="A19" s="8" t="s">
        <v>52</v>
      </c>
      <c r="B19" s="9" t="s">
        <v>356</v>
      </c>
      <c r="C19" s="9" t="s">
        <v>16</v>
      </c>
      <c r="D19" s="9" t="s">
        <v>40</v>
      </c>
      <c r="E19" s="9" t="s">
        <v>616</v>
      </c>
      <c r="F19" s="9" t="s">
        <v>617</v>
      </c>
      <c r="G19" s="9" t="s">
        <v>623</v>
      </c>
      <c r="H19" s="10">
        <v>7</v>
      </c>
      <c r="I19" s="10">
        <v>11</v>
      </c>
      <c r="J19" s="10">
        <v>10</v>
      </c>
      <c r="K19" s="10">
        <f t="shared" si="0"/>
        <v>12.4</v>
      </c>
      <c r="L19" s="11">
        <f t="shared" si="1"/>
        <v>1.1272727272727272</v>
      </c>
      <c r="M19" s="11">
        <f t="shared" si="2"/>
        <v>0.77142857142857146</v>
      </c>
      <c r="P19" s="9" t="s">
        <v>40</v>
      </c>
      <c r="Q19" s="10">
        <f>SUMIF($D:$D,$P19,H:H)</f>
        <v>26</v>
      </c>
      <c r="R19" s="10">
        <f>SUMIF($D:$D,$P19,I:I)</f>
        <v>80</v>
      </c>
      <c r="S19" s="10">
        <f>SUMIF($D:$D,$P19,J:J)</f>
        <v>36</v>
      </c>
      <c r="T19" s="10">
        <f>SUMIF($D:$D,$P19,K:K)</f>
        <v>44.639999999999993</v>
      </c>
      <c r="U19" s="11">
        <f t="shared" si="3"/>
        <v>0.55799999999999994</v>
      </c>
      <c r="V19" s="11">
        <f t="shared" si="4"/>
        <v>0.71692307692307666</v>
      </c>
    </row>
    <row r="20" spans="1:22" x14ac:dyDescent="0.3">
      <c r="A20" s="8" t="s">
        <v>119</v>
      </c>
      <c r="B20" s="9" t="s">
        <v>418</v>
      </c>
      <c r="C20" s="9" t="s">
        <v>14</v>
      </c>
      <c r="D20" s="9" t="s">
        <v>32</v>
      </c>
      <c r="E20" s="9" t="s">
        <v>616</v>
      </c>
      <c r="F20" s="9" t="s">
        <v>617</v>
      </c>
      <c r="G20" s="9" t="s">
        <v>619</v>
      </c>
      <c r="H20" s="10">
        <v>0</v>
      </c>
      <c r="I20" s="10">
        <v>5</v>
      </c>
      <c r="J20" s="10">
        <v>0</v>
      </c>
      <c r="K20" s="10">
        <f t="shared" si="0"/>
        <v>0</v>
      </c>
      <c r="L20" s="11">
        <f t="shared" si="1"/>
        <v>0</v>
      </c>
      <c r="M20" s="11">
        <f t="shared" si="2"/>
        <v>0</v>
      </c>
      <c r="P20" s="9" t="s">
        <v>34</v>
      </c>
      <c r="Q20" s="10">
        <f>SUMIF($D:$D,$P20,H:H)</f>
        <v>19</v>
      </c>
      <c r="R20" s="10">
        <f>SUMIF($D:$D,$P20,I:I)</f>
        <v>71</v>
      </c>
      <c r="S20" s="10">
        <f>SUMIF($D:$D,$P20,J:J)</f>
        <v>15</v>
      </c>
      <c r="T20" s="10">
        <f>SUMIF($D:$D,$P20,K:K)</f>
        <v>18.599999999999998</v>
      </c>
      <c r="U20" s="11">
        <f t="shared" si="3"/>
        <v>0.26197183098591548</v>
      </c>
      <c r="V20" s="11">
        <f t="shared" si="4"/>
        <v>-2.1052631578947479E-2</v>
      </c>
    </row>
    <row r="21" spans="1:22" x14ac:dyDescent="0.3">
      <c r="A21" s="8" t="s">
        <v>55</v>
      </c>
      <c r="B21" s="9" t="s">
        <v>359</v>
      </c>
      <c r="C21" s="9" t="s">
        <v>16</v>
      </c>
      <c r="D21" s="9" t="s">
        <v>40</v>
      </c>
      <c r="E21" s="9" t="s">
        <v>616</v>
      </c>
      <c r="F21" s="9" t="s">
        <v>617</v>
      </c>
      <c r="G21" s="9" t="s">
        <v>623</v>
      </c>
      <c r="H21" s="10">
        <v>1</v>
      </c>
      <c r="I21" s="10">
        <v>5</v>
      </c>
      <c r="J21" s="10">
        <v>2</v>
      </c>
      <c r="K21" s="10">
        <f t="shared" si="0"/>
        <v>2.48</v>
      </c>
      <c r="L21" s="11">
        <f t="shared" si="1"/>
        <v>0.496</v>
      </c>
      <c r="M21" s="11">
        <f t="shared" si="2"/>
        <v>1.48</v>
      </c>
      <c r="P21" s="9" t="s">
        <v>24</v>
      </c>
      <c r="Q21" s="10">
        <f>SUMIF($D:$D,$P21,H:H)</f>
        <v>11</v>
      </c>
      <c r="R21" s="10">
        <f>SUMIF($D:$D,$P21,I:I)</f>
        <v>58</v>
      </c>
      <c r="S21" s="10">
        <f>SUMIF($D:$D,$P21,J:J)</f>
        <v>9</v>
      </c>
      <c r="T21" s="10">
        <f>SUMIF($D:$D,$P21,K:K)</f>
        <v>11.16</v>
      </c>
      <c r="U21" s="11">
        <f t="shared" si="3"/>
        <v>0.19241379310344828</v>
      </c>
      <c r="V21" s="11">
        <f t="shared" si="4"/>
        <v>1.4545454545454558E-2</v>
      </c>
    </row>
    <row r="22" spans="1:22" x14ac:dyDescent="0.3">
      <c r="A22" s="8" t="s">
        <v>169</v>
      </c>
      <c r="B22" s="9" t="s">
        <v>459</v>
      </c>
      <c r="C22" s="9" t="s">
        <v>120</v>
      </c>
      <c r="D22" s="9" t="s">
        <v>129</v>
      </c>
      <c r="E22" s="9" t="s">
        <v>616</v>
      </c>
      <c r="F22" s="9" t="s">
        <v>617</v>
      </c>
      <c r="G22" s="9" t="s">
        <v>621</v>
      </c>
      <c r="H22" s="10">
        <v>1</v>
      </c>
      <c r="I22" s="10">
        <v>5</v>
      </c>
      <c r="J22" s="10">
        <v>1</v>
      </c>
      <c r="K22" s="10">
        <f t="shared" si="0"/>
        <v>1.24</v>
      </c>
      <c r="L22" s="11">
        <f t="shared" si="1"/>
        <v>0.248</v>
      </c>
      <c r="M22" s="11">
        <f t="shared" si="2"/>
        <v>0.24</v>
      </c>
      <c r="P22" s="9" t="s">
        <v>38</v>
      </c>
      <c r="Q22" s="10">
        <f>SUMIF($D:$D,$P22,H:H)</f>
        <v>11</v>
      </c>
      <c r="R22" s="10">
        <f>SUMIF($D:$D,$P22,I:I)</f>
        <v>55</v>
      </c>
      <c r="S22" s="10">
        <f>SUMIF($D:$D,$P22,J:J)</f>
        <v>14</v>
      </c>
      <c r="T22" s="10">
        <f>SUMIF($D:$D,$P22,K:K)</f>
        <v>17.36</v>
      </c>
      <c r="U22" s="11">
        <f t="shared" si="3"/>
        <v>0.3156363636363636</v>
      </c>
      <c r="V22" s="11">
        <f t="shared" si="4"/>
        <v>0.57818181818181813</v>
      </c>
    </row>
    <row r="23" spans="1:22" x14ac:dyDescent="0.3">
      <c r="A23" s="8" t="s">
        <v>163</v>
      </c>
      <c r="B23" s="9" t="s">
        <v>453</v>
      </c>
      <c r="C23" s="9" t="s">
        <v>14</v>
      </c>
      <c r="D23" s="9" t="s">
        <v>26</v>
      </c>
      <c r="E23" s="9" t="s">
        <v>616</v>
      </c>
      <c r="F23" s="9" t="s">
        <v>617</v>
      </c>
      <c r="G23" s="9" t="s">
        <v>619</v>
      </c>
      <c r="H23" s="10">
        <v>1</v>
      </c>
      <c r="I23" s="10">
        <v>5</v>
      </c>
      <c r="J23" s="10">
        <v>0</v>
      </c>
      <c r="K23" s="10">
        <f t="shared" si="0"/>
        <v>0</v>
      </c>
      <c r="L23" s="11">
        <f t="shared" si="1"/>
        <v>0</v>
      </c>
      <c r="M23" s="11">
        <f t="shared" si="2"/>
        <v>-1</v>
      </c>
      <c r="P23" s="9" t="s">
        <v>129</v>
      </c>
      <c r="Q23" s="10">
        <f>SUMIF($D:$D,$P23,H:H)</f>
        <v>1</v>
      </c>
      <c r="R23" s="10">
        <f>SUMIF($D:$D,$P23,I:I)</f>
        <v>5</v>
      </c>
      <c r="S23" s="10">
        <f>SUMIF($D:$D,$P23,J:J)</f>
        <v>1</v>
      </c>
      <c r="T23" s="10">
        <f>SUMIF($D:$D,$P23,K:K)</f>
        <v>1.24</v>
      </c>
      <c r="U23" s="11">
        <f t="shared" si="3"/>
        <v>0.248</v>
      </c>
      <c r="V23" s="11">
        <f t="shared" si="4"/>
        <v>0.24</v>
      </c>
    </row>
    <row r="24" spans="1:22" x14ac:dyDescent="0.3">
      <c r="A24" s="8" t="s">
        <v>15</v>
      </c>
      <c r="B24" s="9" t="s">
        <v>333</v>
      </c>
      <c r="C24" s="9" t="s">
        <v>14</v>
      </c>
      <c r="D24" s="9" t="s">
        <v>24</v>
      </c>
      <c r="E24" s="9" t="s">
        <v>616</v>
      </c>
      <c r="F24" s="9" t="s">
        <v>617</v>
      </c>
      <c r="G24" s="9" t="s">
        <v>619</v>
      </c>
      <c r="H24" s="10">
        <v>0</v>
      </c>
      <c r="I24" s="10">
        <v>5</v>
      </c>
      <c r="J24" s="10">
        <v>0</v>
      </c>
      <c r="K24" s="10">
        <f t="shared" si="0"/>
        <v>0</v>
      </c>
      <c r="L24" s="11">
        <f t="shared" si="1"/>
        <v>0</v>
      </c>
      <c r="M24" s="11">
        <f t="shared" si="2"/>
        <v>0</v>
      </c>
      <c r="P24" s="4" t="s">
        <v>18</v>
      </c>
      <c r="Q24" s="12">
        <f>SUM(Q11:Q23)</f>
        <v>151</v>
      </c>
      <c r="R24" s="12">
        <f>SUM(R11:R23)</f>
        <v>707</v>
      </c>
      <c r="S24" s="12">
        <f>SUM(S11:S23)</f>
        <v>151</v>
      </c>
      <c r="T24" s="12">
        <f>SUM(T11:T23)</f>
        <v>187.24</v>
      </c>
      <c r="U24" s="13">
        <f t="shared" si="3"/>
        <v>0.26483734087694483</v>
      </c>
      <c r="V24" s="14">
        <f t="shared" si="4"/>
        <v>0.24000000000000005</v>
      </c>
    </row>
    <row r="25" spans="1:22" x14ac:dyDescent="0.3">
      <c r="A25" s="8" t="s">
        <v>25</v>
      </c>
      <c r="B25" s="9" t="s">
        <v>339</v>
      </c>
      <c r="C25" s="9" t="s">
        <v>14</v>
      </c>
      <c r="D25" s="9" t="s">
        <v>26</v>
      </c>
      <c r="E25" s="9" t="s">
        <v>616</v>
      </c>
      <c r="F25" s="9" t="s">
        <v>617</v>
      </c>
      <c r="G25" s="9" t="s">
        <v>619</v>
      </c>
      <c r="H25" s="10">
        <v>8</v>
      </c>
      <c r="I25" s="10">
        <v>13</v>
      </c>
      <c r="J25" s="10">
        <v>3</v>
      </c>
      <c r="K25" s="10">
        <f t="shared" si="0"/>
        <v>3.7199999999999998</v>
      </c>
      <c r="L25" s="11">
        <f t="shared" si="1"/>
        <v>0.28615384615384615</v>
      </c>
      <c r="M25" s="11">
        <f t="shared" si="2"/>
        <v>-0.53500000000000003</v>
      </c>
    </row>
    <row r="26" spans="1:22" x14ac:dyDescent="0.3">
      <c r="A26" s="8" t="s">
        <v>46</v>
      </c>
      <c r="B26" s="9" t="s">
        <v>350</v>
      </c>
      <c r="C26" s="9" t="s">
        <v>16</v>
      </c>
      <c r="D26" s="9" t="s">
        <v>22</v>
      </c>
      <c r="E26" s="9" t="s">
        <v>616</v>
      </c>
      <c r="F26" s="9" t="s">
        <v>617</v>
      </c>
      <c r="G26" s="9" t="s">
        <v>618</v>
      </c>
      <c r="H26" s="10">
        <v>1</v>
      </c>
      <c r="I26" s="10">
        <v>5</v>
      </c>
      <c r="J26" s="10">
        <v>0</v>
      </c>
      <c r="K26" s="10">
        <f t="shared" si="0"/>
        <v>0</v>
      </c>
      <c r="L26" s="11">
        <f t="shared" si="1"/>
        <v>0</v>
      </c>
      <c r="M26" s="11">
        <f t="shared" si="2"/>
        <v>-1</v>
      </c>
    </row>
    <row r="27" spans="1:22" x14ac:dyDescent="0.3">
      <c r="A27" s="8" t="s">
        <v>136</v>
      </c>
      <c r="B27" s="9" t="s">
        <v>428</v>
      </c>
      <c r="C27" s="9" t="s">
        <v>14</v>
      </c>
      <c r="D27" s="9" t="s">
        <v>26</v>
      </c>
      <c r="E27" s="9" t="s">
        <v>616</v>
      </c>
      <c r="F27" s="9" t="s">
        <v>617</v>
      </c>
      <c r="G27" s="9" t="s">
        <v>619</v>
      </c>
      <c r="H27" s="10">
        <v>0</v>
      </c>
      <c r="I27" s="10">
        <v>5</v>
      </c>
      <c r="J27" s="10">
        <v>0</v>
      </c>
      <c r="K27" s="10">
        <f t="shared" si="0"/>
        <v>0</v>
      </c>
      <c r="L27" s="11">
        <f t="shared" si="1"/>
        <v>0</v>
      </c>
      <c r="M27" s="11">
        <f t="shared" si="2"/>
        <v>0</v>
      </c>
    </row>
    <row r="28" spans="1:22" x14ac:dyDescent="0.3">
      <c r="A28" s="8" t="s">
        <v>48</v>
      </c>
      <c r="B28" s="9" t="s">
        <v>352</v>
      </c>
      <c r="C28" s="9" t="s">
        <v>16</v>
      </c>
      <c r="D28" s="9" t="s">
        <v>42</v>
      </c>
      <c r="E28" s="9" t="s">
        <v>616</v>
      </c>
      <c r="F28" s="9" t="s">
        <v>617</v>
      </c>
      <c r="G28" s="9" t="s">
        <v>618</v>
      </c>
      <c r="H28" s="10">
        <v>0</v>
      </c>
      <c r="I28" s="10">
        <v>5</v>
      </c>
      <c r="J28" s="10">
        <v>0</v>
      </c>
      <c r="K28" s="10">
        <f t="shared" si="0"/>
        <v>0</v>
      </c>
      <c r="L28" s="11">
        <f t="shared" si="1"/>
        <v>0</v>
      </c>
      <c r="M28" s="11">
        <f t="shared" si="2"/>
        <v>0</v>
      </c>
    </row>
    <row r="29" spans="1:22" x14ac:dyDescent="0.3">
      <c r="A29" s="8" t="s">
        <v>49</v>
      </c>
      <c r="B29" s="9" t="s">
        <v>353</v>
      </c>
      <c r="C29" s="9" t="s">
        <v>16</v>
      </c>
      <c r="D29" s="9" t="s">
        <v>44</v>
      </c>
      <c r="E29" s="9" t="s">
        <v>616</v>
      </c>
      <c r="F29" s="9" t="s">
        <v>617</v>
      </c>
      <c r="G29" s="9" t="s">
        <v>622</v>
      </c>
      <c r="H29" s="10">
        <v>0</v>
      </c>
      <c r="I29" s="10">
        <v>5</v>
      </c>
      <c r="J29" s="10">
        <v>1</v>
      </c>
      <c r="K29" s="10">
        <f t="shared" si="0"/>
        <v>1.24</v>
      </c>
      <c r="L29" s="11">
        <f t="shared" si="1"/>
        <v>0.248</v>
      </c>
      <c r="M29" s="11">
        <f t="shared" si="2"/>
        <v>0</v>
      </c>
    </row>
    <row r="30" spans="1:22" x14ac:dyDescent="0.3">
      <c r="A30" s="8" t="s">
        <v>144</v>
      </c>
      <c r="B30" s="9" t="s">
        <v>434</v>
      </c>
      <c r="C30" s="9" t="s">
        <v>16</v>
      </c>
      <c r="D30" s="9" t="s">
        <v>40</v>
      </c>
      <c r="E30" s="9" t="s">
        <v>616</v>
      </c>
      <c r="F30" s="9" t="s">
        <v>617</v>
      </c>
      <c r="G30" s="9" t="s">
        <v>623</v>
      </c>
      <c r="H30" s="10">
        <v>4</v>
      </c>
      <c r="I30" s="10">
        <v>6</v>
      </c>
      <c r="J30" s="10">
        <v>7</v>
      </c>
      <c r="K30" s="10">
        <f t="shared" si="0"/>
        <v>8.6800000000000015</v>
      </c>
      <c r="L30" s="11">
        <f t="shared" si="1"/>
        <v>1.446666666666667</v>
      </c>
      <c r="M30" s="11">
        <f t="shared" si="2"/>
        <v>1.1700000000000004</v>
      </c>
      <c r="V30" s="15"/>
    </row>
    <row r="31" spans="1:22" x14ac:dyDescent="0.3">
      <c r="A31" s="8" t="s">
        <v>154</v>
      </c>
      <c r="B31" s="9" t="s">
        <v>444</v>
      </c>
      <c r="C31" s="9" t="s">
        <v>14</v>
      </c>
      <c r="D31" s="9" t="s">
        <v>24</v>
      </c>
      <c r="E31" s="9" t="s">
        <v>616</v>
      </c>
      <c r="F31" s="9" t="s">
        <v>617</v>
      </c>
      <c r="G31" s="9" t="s">
        <v>619</v>
      </c>
      <c r="H31" s="10">
        <v>1</v>
      </c>
      <c r="I31" s="10">
        <v>5</v>
      </c>
      <c r="J31" s="10">
        <v>2</v>
      </c>
      <c r="K31" s="10">
        <f t="shared" si="0"/>
        <v>2.48</v>
      </c>
      <c r="L31" s="11">
        <f t="shared" si="1"/>
        <v>0.496</v>
      </c>
      <c r="M31" s="11">
        <f t="shared" si="2"/>
        <v>1.48</v>
      </c>
    </row>
    <row r="32" spans="1:22" x14ac:dyDescent="0.3">
      <c r="A32" s="8" t="s">
        <v>20</v>
      </c>
      <c r="B32" s="9" t="s">
        <v>336</v>
      </c>
      <c r="C32" s="9" t="s">
        <v>14</v>
      </c>
      <c r="D32" s="9" t="s">
        <v>28</v>
      </c>
      <c r="E32" s="9" t="s">
        <v>616</v>
      </c>
      <c r="F32" s="9" t="s">
        <v>617</v>
      </c>
      <c r="G32" s="9" t="s">
        <v>620</v>
      </c>
      <c r="H32" s="10">
        <v>6</v>
      </c>
      <c r="I32" s="10">
        <v>8</v>
      </c>
      <c r="J32" s="10">
        <v>5</v>
      </c>
      <c r="K32" s="10">
        <f t="shared" si="0"/>
        <v>6.2</v>
      </c>
      <c r="L32" s="11">
        <f t="shared" si="1"/>
        <v>0.77500000000000002</v>
      </c>
      <c r="M32" s="11">
        <f t="shared" si="2"/>
        <v>3.3333333333333361E-2</v>
      </c>
    </row>
    <row r="33" spans="1:13" x14ac:dyDescent="0.3">
      <c r="A33" s="8" t="s">
        <v>50</v>
      </c>
      <c r="B33" s="9" t="s">
        <v>354</v>
      </c>
      <c r="C33" s="9" t="s">
        <v>14</v>
      </c>
      <c r="D33" s="9" t="s">
        <v>30</v>
      </c>
      <c r="E33" s="9" t="s">
        <v>616</v>
      </c>
      <c r="F33" s="9" t="s">
        <v>617</v>
      </c>
      <c r="G33" s="9" t="s">
        <v>620</v>
      </c>
      <c r="H33" s="10">
        <v>1</v>
      </c>
      <c r="I33" s="10">
        <v>5</v>
      </c>
      <c r="J33" s="10">
        <v>0</v>
      </c>
      <c r="K33" s="10">
        <f t="shared" si="0"/>
        <v>0</v>
      </c>
      <c r="L33" s="11">
        <f t="shared" si="1"/>
        <v>0</v>
      </c>
      <c r="M33" s="11">
        <f t="shared" si="2"/>
        <v>-1</v>
      </c>
    </row>
    <row r="34" spans="1:13" x14ac:dyDescent="0.3">
      <c r="A34" s="8" t="s">
        <v>131</v>
      </c>
      <c r="B34" s="9" t="s">
        <v>427</v>
      </c>
      <c r="C34" s="9" t="s">
        <v>16</v>
      </c>
      <c r="D34" s="9" t="s">
        <v>36</v>
      </c>
      <c r="E34" s="9" t="s">
        <v>616</v>
      </c>
      <c r="F34" s="9" t="s">
        <v>617</v>
      </c>
      <c r="G34" s="9" t="s">
        <v>622</v>
      </c>
      <c r="H34" s="10">
        <v>3</v>
      </c>
      <c r="I34" s="10">
        <v>5</v>
      </c>
      <c r="J34" s="10">
        <v>3</v>
      </c>
      <c r="K34" s="10">
        <f t="shared" si="0"/>
        <v>3.7199999999999998</v>
      </c>
      <c r="L34" s="11">
        <f t="shared" si="1"/>
        <v>0.74399999999999999</v>
      </c>
      <c r="M34" s="11">
        <f t="shared" si="2"/>
        <v>0.23999999999999991</v>
      </c>
    </row>
    <row r="35" spans="1:13" x14ac:dyDescent="0.3">
      <c r="A35" s="8" t="s">
        <v>58</v>
      </c>
      <c r="B35" s="9" t="s">
        <v>362</v>
      </c>
      <c r="C35" s="9" t="s">
        <v>16</v>
      </c>
      <c r="D35" s="9" t="s">
        <v>36</v>
      </c>
      <c r="E35" s="9" t="s">
        <v>616</v>
      </c>
      <c r="F35" s="9" t="s">
        <v>617</v>
      </c>
      <c r="G35" s="9" t="s">
        <v>622</v>
      </c>
      <c r="H35" s="10">
        <v>0</v>
      </c>
      <c r="I35" s="10">
        <v>5</v>
      </c>
      <c r="J35" s="10">
        <v>0</v>
      </c>
      <c r="K35" s="10">
        <f t="shared" si="0"/>
        <v>0</v>
      </c>
      <c r="L35" s="11">
        <f t="shared" si="1"/>
        <v>0</v>
      </c>
      <c r="M35" s="11">
        <f t="shared" si="2"/>
        <v>0</v>
      </c>
    </row>
    <row r="36" spans="1:13" x14ac:dyDescent="0.3">
      <c r="A36" s="8" t="s">
        <v>23</v>
      </c>
      <c r="B36" s="9" t="s">
        <v>338</v>
      </c>
      <c r="C36" s="9" t="s">
        <v>14</v>
      </c>
      <c r="D36" s="9" t="s">
        <v>32</v>
      </c>
      <c r="E36" s="9" t="s">
        <v>616</v>
      </c>
      <c r="F36" s="9" t="s">
        <v>617</v>
      </c>
      <c r="G36" s="9" t="s">
        <v>619</v>
      </c>
      <c r="H36" s="10">
        <v>0</v>
      </c>
      <c r="I36" s="10">
        <v>5</v>
      </c>
      <c r="J36" s="10">
        <v>0</v>
      </c>
      <c r="K36" s="10">
        <f t="shared" si="0"/>
        <v>0</v>
      </c>
      <c r="L36" s="11">
        <f t="shared" si="1"/>
        <v>0</v>
      </c>
      <c r="M36" s="11">
        <f t="shared" si="2"/>
        <v>0</v>
      </c>
    </row>
    <row r="37" spans="1:13" x14ac:dyDescent="0.3">
      <c r="A37" s="8" t="s">
        <v>63</v>
      </c>
      <c r="B37" s="9" t="s">
        <v>365</v>
      </c>
      <c r="C37" s="9" t="s">
        <v>16</v>
      </c>
      <c r="D37" s="9" t="s">
        <v>22</v>
      </c>
      <c r="E37" s="9" t="s">
        <v>616</v>
      </c>
      <c r="F37" s="9" t="s">
        <v>617</v>
      </c>
      <c r="G37" s="9" t="s">
        <v>618</v>
      </c>
      <c r="H37" s="10">
        <v>2</v>
      </c>
      <c r="I37" s="10">
        <v>5</v>
      </c>
      <c r="J37" s="10">
        <v>0</v>
      </c>
      <c r="K37" s="10">
        <f t="shared" si="0"/>
        <v>0</v>
      </c>
      <c r="L37" s="11">
        <f t="shared" si="1"/>
        <v>0</v>
      </c>
      <c r="M37" s="11">
        <f t="shared" si="2"/>
        <v>-1</v>
      </c>
    </row>
    <row r="38" spans="1:13" x14ac:dyDescent="0.3">
      <c r="A38" s="8" t="s">
        <v>53</v>
      </c>
      <c r="B38" s="9" t="s">
        <v>357</v>
      </c>
      <c r="C38" s="9" t="s">
        <v>16</v>
      </c>
      <c r="D38" s="9" t="s">
        <v>44</v>
      </c>
      <c r="E38" s="9" t="s">
        <v>616</v>
      </c>
      <c r="F38" s="9" t="s">
        <v>617</v>
      </c>
      <c r="G38" s="9" t="s">
        <v>622</v>
      </c>
      <c r="H38" s="10">
        <v>0</v>
      </c>
      <c r="I38" s="10">
        <v>5</v>
      </c>
      <c r="J38" s="10">
        <v>0</v>
      </c>
      <c r="K38" s="10">
        <f t="shared" si="0"/>
        <v>0</v>
      </c>
      <c r="L38" s="11">
        <f t="shared" si="1"/>
        <v>0</v>
      </c>
      <c r="M38" s="11">
        <f t="shared" si="2"/>
        <v>0</v>
      </c>
    </row>
    <row r="39" spans="1:13" x14ac:dyDescent="0.3">
      <c r="A39" s="8" t="s">
        <v>149</v>
      </c>
      <c r="B39" s="9" t="s">
        <v>439</v>
      </c>
      <c r="C39" s="9" t="s">
        <v>14</v>
      </c>
      <c r="D39" s="9" t="s">
        <v>32</v>
      </c>
      <c r="E39" s="9" t="s">
        <v>616</v>
      </c>
      <c r="F39" s="9" t="s">
        <v>617</v>
      </c>
      <c r="G39" s="9" t="s">
        <v>619</v>
      </c>
      <c r="H39" s="10">
        <v>1</v>
      </c>
      <c r="I39" s="10">
        <v>5</v>
      </c>
      <c r="J39" s="10">
        <v>2</v>
      </c>
      <c r="K39" s="10">
        <f t="shared" si="0"/>
        <v>2.48</v>
      </c>
      <c r="L39" s="11">
        <f t="shared" si="1"/>
        <v>0.496</v>
      </c>
      <c r="M39" s="11">
        <f t="shared" si="2"/>
        <v>1.48</v>
      </c>
    </row>
    <row r="40" spans="1:13" x14ac:dyDescent="0.3">
      <c r="A40" s="8" t="s">
        <v>231</v>
      </c>
      <c r="B40" s="9" t="s">
        <v>521</v>
      </c>
      <c r="C40" s="9" t="s">
        <v>14</v>
      </c>
      <c r="D40" s="9" t="s">
        <v>24</v>
      </c>
      <c r="E40" s="9" t="s">
        <v>616</v>
      </c>
      <c r="F40" s="9" t="s">
        <v>617</v>
      </c>
      <c r="G40" s="9" t="s">
        <v>619</v>
      </c>
      <c r="H40" s="10">
        <v>1</v>
      </c>
      <c r="I40" s="10">
        <v>5</v>
      </c>
      <c r="J40" s="10">
        <v>2</v>
      </c>
      <c r="K40" s="10">
        <f t="shared" si="0"/>
        <v>2.48</v>
      </c>
      <c r="L40" s="11">
        <f t="shared" si="1"/>
        <v>0.496</v>
      </c>
      <c r="M40" s="11">
        <f t="shared" si="2"/>
        <v>1.48</v>
      </c>
    </row>
    <row r="41" spans="1:13" x14ac:dyDescent="0.3">
      <c r="A41" s="8" t="s">
        <v>29</v>
      </c>
      <c r="B41" s="9" t="s">
        <v>341</v>
      </c>
      <c r="C41" s="9" t="s">
        <v>16</v>
      </c>
      <c r="D41" s="9" t="s">
        <v>34</v>
      </c>
      <c r="E41" s="9" t="s">
        <v>616</v>
      </c>
      <c r="F41" s="9" t="s">
        <v>617</v>
      </c>
      <c r="G41" s="9" t="s">
        <v>621</v>
      </c>
      <c r="H41" s="10">
        <v>1</v>
      </c>
      <c r="I41" s="10">
        <v>5</v>
      </c>
      <c r="J41" s="10">
        <v>1</v>
      </c>
      <c r="K41" s="10">
        <f t="shared" si="0"/>
        <v>1.24</v>
      </c>
      <c r="L41" s="11">
        <f t="shared" si="1"/>
        <v>0.248</v>
      </c>
      <c r="M41" s="11">
        <f t="shared" si="2"/>
        <v>0.24</v>
      </c>
    </row>
    <row r="42" spans="1:13" x14ac:dyDescent="0.3">
      <c r="A42" s="8" t="s">
        <v>159</v>
      </c>
      <c r="B42" s="9" t="s">
        <v>449</v>
      </c>
      <c r="C42" s="9" t="s">
        <v>16</v>
      </c>
      <c r="D42" s="9" t="s">
        <v>40</v>
      </c>
      <c r="E42" s="9" t="s">
        <v>616</v>
      </c>
      <c r="F42" s="9" t="s">
        <v>617</v>
      </c>
      <c r="G42" s="9" t="s">
        <v>623</v>
      </c>
      <c r="H42" s="10">
        <v>0</v>
      </c>
      <c r="I42" s="10">
        <v>5</v>
      </c>
      <c r="J42" s="10">
        <v>0</v>
      </c>
      <c r="K42" s="10">
        <f t="shared" si="0"/>
        <v>0</v>
      </c>
      <c r="L42" s="11">
        <f t="shared" si="1"/>
        <v>0</v>
      </c>
      <c r="M42" s="11">
        <f t="shared" si="2"/>
        <v>0</v>
      </c>
    </row>
    <row r="43" spans="1:13" x14ac:dyDescent="0.3">
      <c r="A43" s="8" t="s">
        <v>61</v>
      </c>
      <c r="B43" s="9" t="s">
        <v>364</v>
      </c>
      <c r="C43" s="9" t="s">
        <v>16</v>
      </c>
      <c r="D43" s="9" t="s">
        <v>44</v>
      </c>
      <c r="E43" s="9" t="s">
        <v>616</v>
      </c>
      <c r="F43" s="9" t="s">
        <v>617</v>
      </c>
      <c r="G43" s="9" t="s">
        <v>622</v>
      </c>
      <c r="H43" s="10">
        <v>0</v>
      </c>
      <c r="I43" s="10">
        <v>5</v>
      </c>
      <c r="J43" s="10">
        <v>2</v>
      </c>
      <c r="K43" s="10">
        <f t="shared" si="0"/>
        <v>2.48</v>
      </c>
      <c r="L43" s="11">
        <f t="shared" si="1"/>
        <v>0.496</v>
      </c>
      <c r="M43" s="11">
        <f t="shared" si="2"/>
        <v>0</v>
      </c>
    </row>
    <row r="44" spans="1:13" x14ac:dyDescent="0.3">
      <c r="A44" s="8" t="s">
        <v>54</v>
      </c>
      <c r="B44" s="9" t="s">
        <v>358</v>
      </c>
      <c r="C44" s="9" t="s">
        <v>14</v>
      </c>
      <c r="D44" s="9" t="s">
        <v>30</v>
      </c>
      <c r="E44" s="9" t="s">
        <v>616</v>
      </c>
      <c r="F44" s="9" t="s">
        <v>617</v>
      </c>
      <c r="G44" s="9" t="s">
        <v>620</v>
      </c>
      <c r="H44" s="10">
        <v>0</v>
      </c>
      <c r="I44" s="10">
        <v>5</v>
      </c>
      <c r="J44" s="10">
        <v>0</v>
      </c>
      <c r="K44" s="10">
        <f t="shared" si="0"/>
        <v>0</v>
      </c>
      <c r="L44" s="11">
        <f t="shared" si="1"/>
        <v>0</v>
      </c>
      <c r="M44" s="11">
        <f t="shared" si="2"/>
        <v>0</v>
      </c>
    </row>
    <row r="45" spans="1:13" x14ac:dyDescent="0.3">
      <c r="A45" s="8" t="s">
        <v>140</v>
      </c>
      <c r="B45" s="9" t="s">
        <v>430</v>
      </c>
      <c r="C45" s="9" t="s">
        <v>14</v>
      </c>
      <c r="D45" s="9" t="s">
        <v>26</v>
      </c>
      <c r="E45" s="9" t="s">
        <v>616</v>
      </c>
      <c r="F45" s="9" t="s">
        <v>617</v>
      </c>
      <c r="G45" s="9" t="s">
        <v>619</v>
      </c>
      <c r="H45" s="10">
        <v>0</v>
      </c>
      <c r="I45" s="10">
        <v>5</v>
      </c>
      <c r="J45" s="10">
        <v>0</v>
      </c>
      <c r="K45" s="10">
        <f t="shared" si="0"/>
        <v>0</v>
      </c>
      <c r="L45" s="11">
        <f t="shared" si="1"/>
        <v>0</v>
      </c>
      <c r="M45" s="11">
        <f t="shared" si="2"/>
        <v>0</v>
      </c>
    </row>
    <row r="46" spans="1:13" x14ac:dyDescent="0.3">
      <c r="A46" s="8" t="s">
        <v>153</v>
      </c>
      <c r="B46" s="9" t="s">
        <v>443</v>
      </c>
      <c r="C46" s="9" t="s">
        <v>16</v>
      </c>
      <c r="D46" s="9" t="s">
        <v>40</v>
      </c>
      <c r="E46" s="9" t="s">
        <v>616</v>
      </c>
      <c r="F46" s="9" t="s">
        <v>617</v>
      </c>
      <c r="G46" s="9" t="s">
        <v>623</v>
      </c>
      <c r="H46" s="10">
        <v>2</v>
      </c>
      <c r="I46" s="10">
        <v>5</v>
      </c>
      <c r="J46" s="10">
        <v>1</v>
      </c>
      <c r="K46" s="10">
        <f t="shared" si="0"/>
        <v>1.24</v>
      </c>
      <c r="L46" s="11">
        <f t="shared" si="1"/>
        <v>0.248</v>
      </c>
      <c r="M46" s="11">
        <f t="shared" si="2"/>
        <v>-0.38</v>
      </c>
    </row>
    <row r="47" spans="1:13" x14ac:dyDescent="0.3">
      <c r="A47" s="8" t="s">
        <v>160</v>
      </c>
      <c r="B47" s="9" t="s">
        <v>450</v>
      </c>
      <c r="C47" s="9" t="s">
        <v>16</v>
      </c>
      <c r="D47" s="9" t="s">
        <v>40</v>
      </c>
      <c r="E47" s="9" t="s">
        <v>616</v>
      </c>
      <c r="F47" s="9" t="s">
        <v>617</v>
      </c>
      <c r="G47" s="9" t="s">
        <v>623</v>
      </c>
      <c r="H47" s="10">
        <v>0</v>
      </c>
      <c r="I47" s="10">
        <v>5</v>
      </c>
      <c r="J47" s="10">
        <v>0</v>
      </c>
      <c r="K47" s="10">
        <f t="shared" si="0"/>
        <v>0</v>
      </c>
      <c r="L47" s="11">
        <f t="shared" si="1"/>
        <v>0</v>
      </c>
      <c r="M47" s="11">
        <f t="shared" si="2"/>
        <v>0</v>
      </c>
    </row>
    <row r="48" spans="1:13" x14ac:dyDescent="0.3">
      <c r="A48" s="8" t="s">
        <v>76</v>
      </c>
      <c r="B48" s="9" t="s">
        <v>378</v>
      </c>
      <c r="C48" s="9" t="s">
        <v>16</v>
      </c>
      <c r="D48" s="9" t="s">
        <v>22</v>
      </c>
      <c r="E48" s="9" t="s">
        <v>616</v>
      </c>
      <c r="F48" s="9" t="s">
        <v>617</v>
      </c>
      <c r="G48" s="9" t="s">
        <v>618</v>
      </c>
      <c r="H48" s="10">
        <v>2</v>
      </c>
      <c r="I48" s="10">
        <v>5</v>
      </c>
      <c r="J48" s="10">
        <v>0</v>
      </c>
      <c r="K48" s="10">
        <f t="shared" si="0"/>
        <v>0</v>
      </c>
      <c r="L48" s="11">
        <f t="shared" si="1"/>
        <v>0</v>
      </c>
      <c r="M48" s="11">
        <f t="shared" si="2"/>
        <v>-1</v>
      </c>
    </row>
    <row r="49" spans="1:13" x14ac:dyDescent="0.3">
      <c r="A49" s="8" t="s">
        <v>35</v>
      </c>
      <c r="B49" s="9" t="s">
        <v>344</v>
      </c>
      <c r="C49" s="9" t="s">
        <v>16</v>
      </c>
      <c r="D49" s="9" t="s">
        <v>34</v>
      </c>
      <c r="E49" s="9" t="s">
        <v>616</v>
      </c>
      <c r="F49" s="9" t="s">
        <v>617</v>
      </c>
      <c r="G49" s="9" t="s">
        <v>621</v>
      </c>
      <c r="H49" s="10">
        <v>1</v>
      </c>
      <c r="I49" s="10">
        <v>5</v>
      </c>
      <c r="J49" s="10">
        <v>0</v>
      </c>
      <c r="K49" s="10">
        <f t="shared" si="0"/>
        <v>0</v>
      </c>
      <c r="L49" s="11">
        <f t="shared" si="1"/>
        <v>0</v>
      </c>
      <c r="M49" s="11">
        <f t="shared" si="2"/>
        <v>-1</v>
      </c>
    </row>
    <row r="50" spans="1:13" x14ac:dyDescent="0.3">
      <c r="A50" s="8" t="s">
        <v>166</v>
      </c>
      <c r="B50" s="9" t="s">
        <v>456</v>
      </c>
      <c r="C50" s="9" t="s">
        <v>16</v>
      </c>
      <c r="D50" s="9" t="s">
        <v>34</v>
      </c>
      <c r="E50" s="9" t="s">
        <v>616</v>
      </c>
      <c r="F50" s="9" t="s">
        <v>617</v>
      </c>
      <c r="G50" s="9" t="s">
        <v>621</v>
      </c>
      <c r="H50" s="10">
        <v>2</v>
      </c>
      <c r="I50" s="10">
        <v>5</v>
      </c>
      <c r="J50" s="10">
        <v>2</v>
      </c>
      <c r="K50" s="10">
        <f t="shared" si="0"/>
        <v>2.48</v>
      </c>
      <c r="L50" s="11">
        <f t="shared" si="1"/>
        <v>0.496</v>
      </c>
      <c r="M50" s="11">
        <f t="shared" si="2"/>
        <v>0.24</v>
      </c>
    </row>
    <row r="51" spans="1:13" x14ac:dyDescent="0.3">
      <c r="A51" s="8" t="s">
        <v>146</v>
      </c>
      <c r="B51" s="9" t="s">
        <v>436</v>
      </c>
      <c r="C51" s="9" t="s">
        <v>16</v>
      </c>
      <c r="D51" s="9" t="s">
        <v>40</v>
      </c>
      <c r="E51" s="9" t="s">
        <v>616</v>
      </c>
      <c r="F51" s="9" t="s">
        <v>617</v>
      </c>
      <c r="G51" s="9" t="s">
        <v>623</v>
      </c>
      <c r="H51" s="10">
        <v>1</v>
      </c>
      <c r="I51" s="10">
        <v>5</v>
      </c>
      <c r="J51" s="10">
        <v>3</v>
      </c>
      <c r="K51" s="10">
        <f t="shared" si="0"/>
        <v>3.7199999999999998</v>
      </c>
      <c r="L51" s="11">
        <f t="shared" si="1"/>
        <v>0.74399999999999999</v>
      </c>
      <c r="M51" s="11">
        <f t="shared" si="2"/>
        <v>2.7199999999999998</v>
      </c>
    </row>
    <row r="52" spans="1:13" x14ac:dyDescent="0.3">
      <c r="A52" s="8" t="s">
        <v>123</v>
      </c>
      <c r="B52" s="9" t="s">
        <v>421</v>
      </c>
      <c r="C52" s="9" t="s">
        <v>14</v>
      </c>
      <c r="D52" s="9" t="s">
        <v>30</v>
      </c>
      <c r="E52" s="9" t="s">
        <v>616</v>
      </c>
      <c r="F52" s="9" t="s">
        <v>617</v>
      </c>
      <c r="G52" s="9" t="s">
        <v>620</v>
      </c>
      <c r="H52" s="10">
        <v>0</v>
      </c>
      <c r="I52" s="10">
        <v>5</v>
      </c>
      <c r="J52" s="10">
        <v>0</v>
      </c>
      <c r="K52" s="10">
        <f t="shared" si="0"/>
        <v>0</v>
      </c>
      <c r="L52" s="11">
        <f t="shared" si="1"/>
        <v>0</v>
      </c>
      <c r="M52" s="11">
        <f t="shared" si="2"/>
        <v>0</v>
      </c>
    </row>
    <row r="53" spans="1:13" x14ac:dyDescent="0.3">
      <c r="A53" s="8" t="s">
        <v>81</v>
      </c>
      <c r="B53" s="9" t="s">
        <v>383</v>
      </c>
      <c r="C53" s="9" t="s">
        <v>16</v>
      </c>
      <c r="D53" s="9" t="s">
        <v>40</v>
      </c>
      <c r="E53" s="9" t="s">
        <v>616</v>
      </c>
      <c r="F53" s="9" t="s">
        <v>617</v>
      </c>
      <c r="G53" s="9" t="s">
        <v>623</v>
      </c>
      <c r="H53" s="10">
        <v>0</v>
      </c>
      <c r="I53" s="10">
        <v>5</v>
      </c>
      <c r="J53" s="10">
        <v>2</v>
      </c>
      <c r="K53" s="10">
        <f t="shared" si="0"/>
        <v>2.48</v>
      </c>
      <c r="L53" s="11">
        <f t="shared" si="1"/>
        <v>0.496</v>
      </c>
      <c r="M53" s="11">
        <f t="shared" si="2"/>
        <v>0</v>
      </c>
    </row>
    <row r="54" spans="1:13" x14ac:dyDescent="0.3">
      <c r="A54" s="8" t="s">
        <v>158</v>
      </c>
      <c r="B54" s="9" t="s">
        <v>448</v>
      </c>
      <c r="C54" s="9" t="s">
        <v>16</v>
      </c>
      <c r="D54" s="9" t="s">
        <v>40</v>
      </c>
      <c r="E54" s="9" t="s">
        <v>616</v>
      </c>
      <c r="F54" s="9" t="s">
        <v>617</v>
      </c>
      <c r="G54" s="9" t="s">
        <v>623</v>
      </c>
      <c r="H54" s="10">
        <v>2</v>
      </c>
      <c r="I54" s="10">
        <v>5</v>
      </c>
      <c r="J54" s="10">
        <v>2</v>
      </c>
      <c r="K54" s="10">
        <f t="shared" si="0"/>
        <v>2.48</v>
      </c>
      <c r="L54" s="11">
        <f t="shared" si="1"/>
        <v>0.496</v>
      </c>
      <c r="M54" s="11">
        <f t="shared" si="2"/>
        <v>0.24</v>
      </c>
    </row>
    <row r="55" spans="1:13" x14ac:dyDescent="0.3">
      <c r="A55" s="8" t="s">
        <v>99</v>
      </c>
      <c r="B55" s="9" t="s">
        <v>401</v>
      </c>
      <c r="C55" s="9" t="s">
        <v>16</v>
      </c>
      <c r="D55" s="9" t="s">
        <v>42</v>
      </c>
      <c r="E55" s="9" t="s">
        <v>616</v>
      </c>
      <c r="F55" s="9" t="s">
        <v>617</v>
      </c>
      <c r="G55" s="9" t="s">
        <v>618</v>
      </c>
      <c r="H55" s="10">
        <v>2</v>
      </c>
      <c r="I55" s="10">
        <v>5</v>
      </c>
      <c r="J55" s="10">
        <v>0</v>
      </c>
      <c r="K55" s="10">
        <f t="shared" si="0"/>
        <v>0</v>
      </c>
      <c r="L55" s="11">
        <f t="shared" si="1"/>
        <v>0</v>
      </c>
      <c r="M55" s="11">
        <f t="shared" si="2"/>
        <v>-1</v>
      </c>
    </row>
    <row r="56" spans="1:13" x14ac:dyDescent="0.3">
      <c r="A56" s="8" t="s">
        <v>98</v>
      </c>
      <c r="B56" s="9" t="s">
        <v>400</v>
      </c>
      <c r="C56" s="9" t="s">
        <v>16</v>
      </c>
      <c r="D56" s="9" t="s">
        <v>22</v>
      </c>
      <c r="E56" s="9" t="s">
        <v>616</v>
      </c>
      <c r="F56" s="9" t="s">
        <v>617</v>
      </c>
      <c r="G56" s="9" t="s">
        <v>618</v>
      </c>
      <c r="H56" s="10">
        <v>2</v>
      </c>
      <c r="I56" s="10">
        <v>5</v>
      </c>
      <c r="J56" s="10">
        <v>0</v>
      </c>
      <c r="K56" s="10">
        <f t="shared" si="0"/>
        <v>0</v>
      </c>
      <c r="L56" s="11">
        <f t="shared" si="1"/>
        <v>0</v>
      </c>
      <c r="M56" s="11">
        <f t="shared" si="2"/>
        <v>-1</v>
      </c>
    </row>
    <row r="57" spans="1:13" x14ac:dyDescent="0.3">
      <c r="A57" s="8" t="s">
        <v>71</v>
      </c>
      <c r="B57" s="9" t="s">
        <v>373</v>
      </c>
      <c r="C57" s="9" t="s">
        <v>16</v>
      </c>
      <c r="D57" s="9" t="s">
        <v>44</v>
      </c>
      <c r="E57" s="9" t="s">
        <v>616</v>
      </c>
      <c r="F57" s="9" t="s">
        <v>617</v>
      </c>
      <c r="G57" s="9" t="s">
        <v>622</v>
      </c>
      <c r="H57" s="10">
        <v>1</v>
      </c>
      <c r="I57" s="10">
        <v>5</v>
      </c>
      <c r="J57" s="10">
        <v>1</v>
      </c>
      <c r="K57" s="10">
        <f t="shared" si="0"/>
        <v>1.24</v>
      </c>
      <c r="L57" s="11">
        <f t="shared" si="1"/>
        <v>0.248</v>
      </c>
      <c r="M57" s="11">
        <f t="shared" si="2"/>
        <v>0.24</v>
      </c>
    </row>
    <row r="58" spans="1:13" x14ac:dyDescent="0.3">
      <c r="A58" s="8" t="s">
        <v>88</v>
      </c>
      <c r="B58" s="9" t="s">
        <v>390</v>
      </c>
      <c r="C58" s="9" t="s">
        <v>16</v>
      </c>
      <c r="D58" s="9" t="s">
        <v>34</v>
      </c>
      <c r="E58" s="9" t="s">
        <v>616</v>
      </c>
      <c r="F58" s="9" t="s">
        <v>617</v>
      </c>
      <c r="G58" s="9" t="s">
        <v>621</v>
      </c>
      <c r="H58" s="10">
        <v>3</v>
      </c>
      <c r="I58" s="10">
        <v>5</v>
      </c>
      <c r="J58" s="10">
        <v>0</v>
      </c>
      <c r="K58" s="10">
        <f t="shared" si="0"/>
        <v>0</v>
      </c>
      <c r="L58" s="11">
        <f t="shared" si="1"/>
        <v>0</v>
      </c>
      <c r="M58" s="11">
        <f t="shared" si="2"/>
        <v>-1</v>
      </c>
    </row>
    <row r="59" spans="1:13" x14ac:dyDescent="0.3">
      <c r="A59" s="8" t="s">
        <v>143</v>
      </c>
      <c r="B59" s="9" t="s">
        <v>433</v>
      </c>
      <c r="C59" s="9" t="s">
        <v>16</v>
      </c>
      <c r="D59" s="9" t="s">
        <v>22</v>
      </c>
      <c r="E59" s="9" t="s">
        <v>616</v>
      </c>
      <c r="F59" s="9" t="s">
        <v>617</v>
      </c>
      <c r="G59" s="9" t="s">
        <v>618</v>
      </c>
      <c r="H59" s="10">
        <v>0</v>
      </c>
      <c r="I59" s="10">
        <v>5</v>
      </c>
      <c r="J59" s="10">
        <v>0</v>
      </c>
      <c r="K59" s="10">
        <f t="shared" si="0"/>
        <v>0</v>
      </c>
      <c r="L59" s="11">
        <f t="shared" si="1"/>
        <v>0</v>
      </c>
      <c r="M59" s="11">
        <f t="shared" si="2"/>
        <v>0</v>
      </c>
    </row>
    <row r="60" spans="1:13" x14ac:dyDescent="0.3">
      <c r="A60" s="8" t="s">
        <v>79</v>
      </c>
      <c r="B60" s="9" t="s">
        <v>381</v>
      </c>
      <c r="C60" s="9" t="s">
        <v>16</v>
      </c>
      <c r="D60" s="9" t="s">
        <v>42</v>
      </c>
      <c r="E60" s="9" t="s">
        <v>616</v>
      </c>
      <c r="F60" s="9" t="s">
        <v>617</v>
      </c>
      <c r="G60" s="9" t="s">
        <v>618</v>
      </c>
      <c r="H60" s="10">
        <v>0</v>
      </c>
      <c r="I60" s="10">
        <v>5</v>
      </c>
      <c r="J60" s="10">
        <v>2</v>
      </c>
      <c r="K60" s="10">
        <f t="shared" si="0"/>
        <v>2.48</v>
      </c>
      <c r="L60" s="11">
        <f t="shared" si="1"/>
        <v>0.496</v>
      </c>
      <c r="M60" s="11">
        <f t="shared" si="2"/>
        <v>0</v>
      </c>
    </row>
    <row r="61" spans="1:13" x14ac:dyDescent="0.3">
      <c r="A61" s="8" t="s">
        <v>74</v>
      </c>
      <c r="B61" s="9" t="s">
        <v>376</v>
      </c>
      <c r="C61" s="9" t="s">
        <v>16</v>
      </c>
      <c r="D61" s="9" t="s">
        <v>34</v>
      </c>
      <c r="E61" s="9" t="s">
        <v>616</v>
      </c>
      <c r="F61" s="9" t="s">
        <v>617</v>
      </c>
      <c r="G61" s="9" t="s">
        <v>621</v>
      </c>
      <c r="H61" s="10">
        <v>0</v>
      </c>
      <c r="I61" s="10">
        <v>5</v>
      </c>
      <c r="J61" s="10">
        <v>0</v>
      </c>
      <c r="K61" s="10">
        <f t="shared" si="0"/>
        <v>0</v>
      </c>
      <c r="L61" s="11">
        <f t="shared" si="1"/>
        <v>0</v>
      </c>
      <c r="M61" s="11">
        <f t="shared" si="2"/>
        <v>0</v>
      </c>
    </row>
    <row r="62" spans="1:13" x14ac:dyDescent="0.3">
      <c r="A62" s="8" t="s">
        <v>121</v>
      </c>
      <c r="B62" s="9" t="s">
        <v>419</v>
      </c>
      <c r="C62" s="9" t="s">
        <v>14</v>
      </c>
      <c r="D62" s="9" t="s">
        <v>28</v>
      </c>
      <c r="E62" s="9" t="s">
        <v>616</v>
      </c>
      <c r="F62" s="9" t="s">
        <v>617</v>
      </c>
      <c r="G62" s="9" t="s">
        <v>620</v>
      </c>
      <c r="H62" s="10">
        <v>0</v>
      </c>
      <c r="I62" s="10">
        <v>5</v>
      </c>
      <c r="J62" s="10">
        <v>0</v>
      </c>
      <c r="K62" s="10">
        <f t="shared" si="0"/>
        <v>0</v>
      </c>
      <c r="L62" s="11">
        <f t="shared" si="1"/>
        <v>0</v>
      </c>
      <c r="M62" s="11">
        <f t="shared" si="2"/>
        <v>0</v>
      </c>
    </row>
    <row r="63" spans="1:13" x14ac:dyDescent="0.3">
      <c r="A63" s="8" t="s">
        <v>145</v>
      </c>
      <c r="B63" s="9" t="s">
        <v>435</v>
      </c>
      <c r="C63" s="9" t="s">
        <v>14</v>
      </c>
      <c r="D63" s="9" t="s">
        <v>26</v>
      </c>
      <c r="E63" s="9" t="s">
        <v>616</v>
      </c>
      <c r="F63" s="9" t="s">
        <v>617</v>
      </c>
      <c r="G63" s="9" t="s">
        <v>619</v>
      </c>
      <c r="H63" s="10">
        <v>0</v>
      </c>
      <c r="I63" s="10">
        <v>5</v>
      </c>
      <c r="J63" s="10">
        <v>0</v>
      </c>
      <c r="K63" s="10">
        <f t="shared" si="0"/>
        <v>0</v>
      </c>
      <c r="L63" s="11">
        <f t="shared" si="1"/>
        <v>0</v>
      </c>
      <c r="M63" s="11">
        <f t="shared" si="2"/>
        <v>0</v>
      </c>
    </row>
    <row r="64" spans="1:13" x14ac:dyDescent="0.3">
      <c r="A64" s="8" t="s">
        <v>73</v>
      </c>
      <c r="B64" s="9" t="s">
        <v>375</v>
      </c>
      <c r="C64" s="9" t="s">
        <v>14</v>
      </c>
      <c r="D64" s="9" t="s">
        <v>26</v>
      </c>
      <c r="E64" s="9" t="s">
        <v>616</v>
      </c>
      <c r="F64" s="9" t="s">
        <v>617</v>
      </c>
      <c r="G64" s="9" t="s">
        <v>619</v>
      </c>
      <c r="H64" s="10">
        <v>5</v>
      </c>
      <c r="I64" s="10">
        <v>6</v>
      </c>
      <c r="J64" s="10">
        <v>8</v>
      </c>
      <c r="K64" s="10">
        <f t="shared" si="0"/>
        <v>9.92</v>
      </c>
      <c r="L64" s="11">
        <f t="shared" si="1"/>
        <v>1.6533333333333333</v>
      </c>
      <c r="M64" s="11">
        <f t="shared" si="2"/>
        <v>0.98399999999999999</v>
      </c>
    </row>
    <row r="65" spans="1:13" x14ac:dyDescent="0.3">
      <c r="A65" s="8" t="s">
        <v>65</v>
      </c>
      <c r="B65" s="9" t="s">
        <v>367</v>
      </c>
      <c r="C65" s="9" t="s">
        <v>14</v>
      </c>
      <c r="D65" s="9" t="s">
        <v>26</v>
      </c>
      <c r="E65" s="9" t="s">
        <v>616</v>
      </c>
      <c r="F65" s="9" t="s">
        <v>617</v>
      </c>
      <c r="G65" s="9" t="s">
        <v>619</v>
      </c>
      <c r="H65" s="10">
        <v>0</v>
      </c>
      <c r="I65" s="10">
        <v>5</v>
      </c>
      <c r="J65" s="10">
        <v>0</v>
      </c>
      <c r="K65" s="10">
        <f t="shared" si="0"/>
        <v>0</v>
      </c>
      <c r="L65" s="11">
        <f t="shared" si="1"/>
        <v>0</v>
      </c>
      <c r="M65" s="11">
        <f t="shared" si="2"/>
        <v>0</v>
      </c>
    </row>
    <row r="66" spans="1:13" x14ac:dyDescent="0.3">
      <c r="A66" s="8" t="s">
        <v>122</v>
      </c>
      <c r="B66" s="9" t="s">
        <v>420</v>
      </c>
      <c r="C66" s="9" t="s">
        <v>14</v>
      </c>
      <c r="D66" s="9" t="s">
        <v>30</v>
      </c>
      <c r="E66" s="9" t="s">
        <v>616</v>
      </c>
      <c r="F66" s="9" t="s">
        <v>617</v>
      </c>
      <c r="G66" s="9" t="s">
        <v>620</v>
      </c>
      <c r="H66" s="10">
        <v>0</v>
      </c>
      <c r="I66" s="10">
        <v>5</v>
      </c>
      <c r="J66" s="10">
        <v>0</v>
      </c>
      <c r="K66" s="10">
        <f t="shared" si="0"/>
        <v>0</v>
      </c>
      <c r="L66" s="11">
        <f t="shared" si="1"/>
        <v>0</v>
      </c>
      <c r="M66" s="11">
        <f t="shared" si="2"/>
        <v>0</v>
      </c>
    </row>
    <row r="67" spans="1:13" x14ac:dyDescent="0.3">
      <c r="A67" s="8" t="s">
        <v>93</v>
      </c>
      <c r="B67" s="9" t="s">
        <v>395</v>
      </c>
      <c r="C67" s="9" t="s">
        <v>14</v>
      </c>
      <c r="D67" s="9" t="s">
        <v>30</v>
      </c>
      <c r="E67" s="9" t="s">
        <v>616</v>
      </c>
      <c r="F67" s="9" t="s">
        <v>617</v>
      </c>
      <c r="G67" s="9" t="s">
        <v>620</v>
      </c>
      <c r="H67" s="10">
        <v>0</v>
      </c>
      <c r="I67" s="10">
        <v>5</v>
      </c>
      <c r="J67" s="10">
        <v>0</v>
      </c>
      <c r="K67" s="10">
        <f t="shared" si="0"/>
        <v>0</v>
      </c>
      <c r="L67" s="11">
        <f t="shared" si="1"/>
        <v>0</v>
      </c>
      <c r="M67" s="11">
        <f t="shared" si="2"/>
        <v>0</v>
      </c>
    </row>
    <row r="68" spans="1:13" x14ac:dyDescent="0.3">
      <c r="A68" s="8" t="s">
        <v>147</v>
      </c>
      <c r="B68" s="9" t="s">
        <v>437</v>
      </c>
      <c r="C68" s="9" t="s">
        <v>16</v>
      </c>
      <c r="D68" s="9" t="s">
        <v>42</v>
      </c>
      <c r="E68" s="9" t="s">
        <v>616</v>
      </c>
      <c r="F68" s="9" t="s">
        <v>617</v>
      </c>
      <c r="G68" s="9" t="s">
        <v>618</v>
      </c>
      <c r="H68" s="10">
        <v>2</v>
      </c>
      <c r="I68" s="10">
        <v>5</v>
      </c>
      <c r="J68" s="10">
        <v>0</v>
      </c>
      <c r="K68" s="10">
        <f t="shared" si="0"/>
        <v>0</v>
      </c>
      <c r="L68" s="11">
        <f t="shared" si="1"/>
        <v>0</v>
      </c>
      <c r="M68" s="11">
        <f t="shared" si="2"/>
        <v>-1</v>
      </c>
    </row>
    <row r="69" spans="1:13" x14ac:dyDescent="0.3">
      <c r="A69" s="8" t="s">
        <v>161</v>
      </c>
      <c r="B69" s="9" t="s">
        <v>451</v>
      </c>
      <c r="C69" s="9" t="s">
        <v>16</v>
      </c>
      <c r="D69" s="9" t="s">
        <v>36</v>
      </c>
      <c r="E69" s="9" t="s">
        <v>616</v>
      </c>
      <c r="F69" s="9" t="s">
        <v>617</v>
      </c>
      <c r="G69" s="9" t="s">
        <v>622</v>
      </c>
      <c r="H69" s="10">
        <v>1</v>
      </c>
      <c r="I69" s="10">
        <v>5</v>
      </c>
      <c r="J69" s="10">
        <v>1</v>
      </c>
      <c r="K69" s="10">
        <f t="shared" ref="K69:K132" si="5">IFERROR((J69/$A$1*$B$1),0)</f>
        <v>1.24</v>
      </c>
      <c r="L69" s="11">
        <f t="shared" ref="L69:L132" si="6">IFERROR((K69/I69),0)</f>
        <v>0.248</v>
      </c>
      <c r="M69" s="11">
        <f t="shared" ref="M69:M132" si="7">IFERROR((K69-H69)/H69,0)</f>
        <v>0.24</v>
      </c>
    </row>
    <row r="70" spans="1:13" x14ac:dyDescent="0.3">
      <c r="A70" s="8" t="s">
        <v>27</v>
      </c>
      <c r="B70" s="9" t="s">
        <v>340</v>
      </c>
      <c r="C70" s="9" t="s">
        <v>14</v>
      </c>
      <c r="D70" s="9" t="s">
        <v>24</v>
      </c>
      <c r="E70" s="9" t="s">
        <v>616</v>
      </c>
      <c r="F70" s="9" t="s">
        <v>617</v>
      </c>
      <c r="G70" s="9" t="s">
        <v>619</v>
      </c>
      <c r="H70" s="10">
        <v>0</v>
      </c>
      <c r="I70" s="10">
        <v>5</v>
      </c>
      <c r="J70" s="10">
        <v>0</v>
      </c>
      <c r="K70" s="10">
        <f t="shared" si="5"/>
        <v>0</v>
      </c>
      <c r="L70" s="11">
        <f t="shared" si="6"/>
        <v>0</v>
      </c>
      <c r="M70" s="11">
        <f t="shared" si="7"/>
        <v>0</v>
      </c>
    </row>
    <row r="71" spans="1:13" x14ac:dyDescent="0.3">
      <c r="A71" s="8" t="s">
        <v>162</v>
      </c>
      <c r="B71" s="9" t="s">
        <v>452</v>
      </c>
      <c r="C71" s="9" t="s">
        <v>16</v>
      </c>
      <c r="D71" s="9" t="s">
        <v>40</v>
      </c>
      <c r="E71" s="9" t="s">
        <v>616</v>
      </c>
      <c r="F71" s="9" t="s">
        <v>617</v>
      </c>
      <c r="G71" s="9" t="s">
        <v>623</v>
      </c>
      <c r="H71" s="10">
        <v>0</v>
      </c>
      <c r="I71" s="10">
        <v>5</v>
      </c>
      <c r="J71" s="10">
        <v>0</v>
      </c>
      <c r="K71" s="10">
        <f t="shared" si="5"/>
        <v>0</v>
      </c>
      <c r="L71" s="11">
        <f t="shared" si="6"/>
        <v>0</v>
      </c>
      <c r="M71" s="11">
        <f t="shared" si="7"/>
        <v>0</v>
      </c>
    </row>
    <row r="72" spans="1:13" x14ac:dyDescent="0.3">
      <c r="A72" s="8" t="s">
        <v>69</v>
      </c>
      <c r="B72" s="9" t="s">
        <v>371</v>
      </c>
      <c r="C72" s="9" t="s">
        <v>14</v>
      </c>
      <c r="D72" s="9" t="s">
        <v>32</v>
      </c>
      <c r="E72" s="9" t="s">
        <v>616</v>
      </c>
      <c r="F72" s="9" t="s">
        <v>617</v>
      </c>
      <c r="G72" s="9" t="s">
        <v>619</v>
      </c>
      <c r="H72" s="10">
        <v>0</v>
      </c>
      <c r="I72" s="10">
        <v>5</v>
      </c>
      <c r="J72" s="10">
        <v>1</v>
      </c>
      <c r="K72" s="10">
        <f t="shared" si="5"/>
        <v>1.24</v>
      </c>
      <c r="L72" s="11">
        <f t="shared" si="6"/>
        <v>0.248</v>
      </c>
      <c r="M72" s="11">
        <f t="shared" si="7"/>
        <v>0</v>
      </c>
    </row>
    <row r="73" spans="1:13" x14ac:dyDescent="0.3">
      <c r="A73" s="8" t="s">
        <v>31</v>
      </c>
      <c r="B73" s="9" t="s">
        <v>342</v>
      </c>
      <c r="C73" s="9" t="s">
        <v>14</v>
      </c>
      <c r="D73" s="9" t="s">
        <v>32</v>
      </c>
      <c r="E73" s="9" t="s">
        <v>616</v>
      </c>
      <c r="F73" s="9" t="s">
        <v>617</v>
      </c>
      <c r="G73" s="9" t="s">
        <v>619</v>
      </c>
      <c r="H73" s="10">
        <v>0</v>
      </c>
      <c r="I73" s="10">
        <v>5</v>
      </c>
      <c r="J73" s="10">
        <v>0</v>
      </c>
      <c r="K73" s="10">
        <f t="shared" si="5"/>
        <v>0</v>
      </c>
      <c r="L73" s="11">
        <f t="shared" si="6"/>
        <v>0</v>
      </c>
      <c r="M73" s="11">
        <f t="shared" si="7"/>
        <v>0</v>
      </c>
    </row>
    <row r="74" spans="1:13" x14ac:dyDescent="0.3">
      <c r="A74" s="8" t="s">
        <v>75</v>
      </c>
      <c r="B74" s="9" t="s">
        <v>377</v>
      </c>
      <c r="C74" s="9" t="s">
        <v>16</v>
      </c>
      <c r="D74" s="9" t="s">
        <v>42</v>
      </c>
      <c r="E74" s="9" t="s">
        <v>616</v>
      </c>
      <c r="F74" s="9" t="s">
        <v>617</v>
      </c>
      <c r="G74" s="9" t="s">
        <v>618</v>
      </c>
      <c r="H74" s="10">
        <v>0</v>
      </c>
      <c r="I74" s="10">
        <v>5</v>
      </c>
      <c r="J74" s="10">
        <v>1</v>
      </c>
      <c r="K74" s="10">
        <f t="shared" si="5"/>
        <v>1.24</v>
      </c>
      <c r="L74" s="11">
        <f t="shared" si="6"/>
        <v>0.248</v>
      </c>
      <c r="M74" s="11">
        <f t="shared" si="7"/>
        <v>0</v>
      </c>
    </row>
    <row r="75" spans="1:13" x14ac:dyDescent="0.3">
      <c r="A75" s="8" t="s">
        <v>66</v>
      </c>
      <c r="B75" s="9" t="s">
        <v>368</v>
      </c>
      <c r="C75" s="9" t="s">
        <v>14</v>
      </c>
      <c r="D75" s="9" t="s">
        <v>28</v>
      </c>
      <c r="E75" s="9" t="s">
        <v>616</v>
      </c>
      <c r="F75" s="9" t="s">
        <v>617</v>
      </c>
      <c r="G75" s="9" t="s">
        <v>620</v>
      </c>
      <c r="H75" s="10">
        <v>0</v>
      </c>
      <c r="I75" s="10">
        <v>5</v>
      </c>
      <c r="J75" s="10">
        <v>0</v>
      </c>
      <c r="K75" s="10">
        <f t="shared" si="5"/>
        <v>0</v>
      </c>
      <c r="L75" s="11">
        <f t="shared" si="6"/>
        <v>0</v>
      </c>
      <c r="M75" s="11">
        <f t="shared" si="7"/>
        <v>0</v>
      </c>
    </row>
    <row r="76" spans="1:13" x14ac:dyDescent="0.3">
      <c r="A76" s="8" t="s">
        <v>87</v>
      </c>
      <c r="B76" s="9" t="s">
        <v>389</v>
      </c>
      <c r="C76" s="9" t="s">
        <v>14</v>
      </c>
      <c r="D76" s="9" t="s">
        <v>32</v>
      </c>
      <c r="E76" s="9" t="s">
        <v>616</v>
      </c>
      <c r="F76" s="9" t="s">
        <v>617</v>
      </c>
      <c r="G76" s="9" t="s">
        <v>619</v>
      </c>
      <c r="H76" s="10">
        <v>0</v>
      </c>
      <c r="I76" s="10">
        <v>5</v>
      </c>
      <c r="J76" s="10">
        <v>0</v>
      </c>
      <c r="K76" s="10">
        <f t="shared" si="5"/>
        <v>0</v>
      </c>
      <c r="L76" s="11">
        <f t="shared" si="6"/>
        <v>0</v>
      </c>
      <c r="M76" s="11">
        <f t="shared" si="7"/>
        <v>0</v>
      </c>
    </row>
    <row r="77" spans="1:13" x14ac:dyDescent="0.3">
      <c r="A77" s="8" t="s">
        <v>125</v>
      </c>
      <c r="B77" s="9" t="s">
        <v>423</v>
      </c>
      <c r="C77" s="9" t="s">
        <v>16</v>
      </c>
      <c r="D77" s="9" t="s">
        <v>36</v>
      </c>
      <c r="E77" s="9" t="s">
        <v>616</v>
      </c>
      <c r="F77" s="9" t="s">
        <v>617</v>
      </c>
      <c r="G77" s="9" t="s">
        <v>622</v>
      </c>
      <c r="H77" s="10">
        <v>0</v>
      </c>
      <c r="I77" s="10">
        <v>5</v>
      </c>
      <c r="J77" s="10">
        <v>0</v>
      </c>
      <c r="K77" s="10">
        <f t="shared" si="5"/>
        <v>0</v>
      </c>
      <c r="L77" s="11">
        <f t="shared" si="6"/>
        <v>0</v>
      </c>
      <c r="M77" s="11">
        <f t="shared" si="7"/>
        <v>0</v>
      </c>
    </row>
    <row r="78" spans="1:13" x14ac:dyDescent="0.3">
      <c r="A78" s="8" t="s">
        <v>92</v>
      </c>
      <c r="B78" s="9" t="s">
        <v>394</v>
      </c>
      <c r="C78" s="9" t="s">
        <v>16</v>
      </c>
      <c r="D78" s="9" t="s">
        <v>34</v>
      </c>
      <c r="E78" s="9" t="s">
        <v>616</v>
      </c>
      <c r="F78" s="9" t="s">
        <v>617</v>
      </c>
      <c r="G78" s="9" t="s">
        <v>621</v>
      </c>
      <c r="H78" s="10">
        <v>0</v>
      </c>
      <c r="I78" s="10">
        <v>5</v>
      </c>
      <c r="J78" s="10">
        <v>0</v>
      </c>
      <c r="K78" s="10">
        <f t="shared" si="5"/>
        <v>0</v>
      </c>
      <c r="L78" s="11">
        <f t="shared" si="6"/>
        <v>0</v>
      </c>
      <c r="M78" s="11">
        <f t="shared" si="7"/>
        <v>0</v>
      </c>
    </row>
    <row r="79" spans="1:13" x14ac:dyDescent="0.3">
      <c r="A79" s="8" t="s">
        <v>85</v>
      </c>
      <c r="B79" s="9" t="s">
        <v>387</v>
      </c>
      <c r="C79" s="9" t="s">
        <v>16</v>
      </c>
      <c r="D79" s="9" t="s">
        <v>34</v>
      </c>
      <c r="E79" s="9" t="s">
        <v>616</v>
      </c>
      <c r="F79" s="9" t="s">
        <v>617</v>
      </c>
      <c r="G79" s="9" t="s">
        <v>621</v>
      </c>
      <c r="H79" s="10">
        <v>0</v>
      </c>
      <c r="I79" s="10">
        <v>5</v>
      </c>
      <c r="J79" s="10">
        <v>0</v>
      </c>
      <c r="K79" s="10">
        <f t="shared" si="5"/>
        <v>0</v>
      </c>
      <c r="L79" s="11">
        <f t="shared" si="6"/>
        <v>0</v>
      </c>
      <c r="M79" s="11">
        <f t="shared" si="7"/>
        <v>0</v>
      </c>
    </row>
    <row r="80" spans="1:13" x14ac:dyDescent="0.3">
      <c r="A80" s="8" t="s">
        <v>67</v>
      </c>
      <c r="B80" s="9" t="s">
        <v>369</v>
      </c>
      <c r="C80" s="9" t="s">
        <v>14</v>
      </c>
      <c r="D80" s="9" t="s">
        <v>24</v>
      </c>
      <c r="E80" s="9" t="s">
        <v>616</v>
      </c>
      <c r="F80" s="9" t="s">
        <v>617</v>
      </c>
      <c r="G80" s="9" t="s">
        <v>619</v>
      </c>
      <c r="H80" s="10">
        <v>0</v>
      </c>
      <c r="I80" s="10">
        <v>5</v>
      </c>
      <c r="J80" s="10">
        <v>0</v>
      </c>
      <c r="K80" s="10">
        <f t="shared" si="5"/>
        <v>0</v>
      </c>
      <c r="L80" s="11">
        <f t="shared" si="6"/>
        <v>0</v>
      </c>
      <c r="M80" s="11">
        <f t="shared" si="7"/>
        <v>0</v>
      </c>
    </row>
    <row r="81" spans="1:13" x14ac:dyDescent="0.3">
      <c r="A81" s="8" t="s">
        <v>86</v>
      </c>
      <c r="B81" s="9" t="s">
        <v>388</v>
      </c>
      <c r="C81" s="9" t="s">
        <v>16</v>
      </c>
      <c r="D81" s="9" t="s">
        <v>36</v>
      </c>
      <c r="E81" s="9" t="s">
        <v>616</v>
      </c>
      <c r="F81" s="9" t="s">
        <v>617</v>
      </c>
      <c r="G81" s="9" t="s">
        <v>622</v>
      </c>
      <c r="H81" s="10">
        <v>2</v>
      </c>
      <c r="I81" s="10">
        <v>5</v>
      </c>
      <c r="J81" s="10">
        <v>3</v>
      </c>
      <c r="K81" s="10">
        <f t="shared" si="5"/>
        <v>3.7199999999999998</v>
      </c>
      <c r="L81" s="11">
        <f t="shared" si="6"/>
        <v>0.74399999999999999</v>
      </c>
      <c r="M81" s="11">
        <f t="shared" si="7"/>
        <v>0.85999999999999988</v>
      </c>
    </row>
    <row r="82" spans="1:13" x14ac:dyDescent="0.3">
      <c r="A82" s="8" t="s">
        <v>91</v>
      </c>
      <c r="B82" s="9" t="s">
        <v>393</v>
      </c>
      <c r="C82" s="9" t="s">
        <v>14</v>
      </c>
      <c r="D82" s="9" t="s">
        <v>28</v>
      </c>
      <c r="E82" s="9" t="s">
        <v>616</v>
      </c>
      <c r="F82" s="9" t="s">
        <v>617</v>
      </c>
      <c r="G82" s="9" t="s">
        <v>620</v>
      </c>
      <c r="H82" s="10">
        <v>2</v>
      </c>
      <c r="I82" s="10">
        <v>5</v>
      </c>
      <c r="J82" s="10">
        <v>5</v>
      </c>
      <c r="K82" s="10">
        <f t="shared" si="5"/>
        <v>6.2</v>
      </c>
      <c r="L82" s="11">
        <f t="shared" si="6"/>
        <v>1.24</v>
      </c>
      <c r="M82" s="11">
        <f t="shared" si="7"/>
        <v>2.1</v>
      </c>
    </row>
    <row r="83" spans="1:13" x14ac:dyDescent="0.3">
      <c r="A83" s="8" t="s">
        <v>70</v>
      </c>
      <c r="B83" s="9" t="s">
        <v>372</v>
      </c>
      <c r="C83" s="9" t="s">
        <v>16</v>
      </c>
      <c r="D83" s="9" t="s">
        <v>42</v>
      </c>
      <c r="E83" s="9" t="s">
        <v>616</v>
      </c>
      <c r="F83" s="9" t="s">
        <v>617</v>
      </c>
      <c r="G83" s="9" t="s">
        <v>618</v>
      </c>
      <c r="H83" s="10">
        <v>0</v>
      </c>
      <c r="I83" s="10">
        <v>5</v>
      </c>
      <c r="J83" s="10">
        <v>1</v>
      </c>
      <c r="K83" s="10">
        <f t="shared" si="5"/>
        <v>1.24</v>
      </c>
      <c r="L83" s="11">
        <f t="shared" si="6"/>
        <v>0.248</v>
      </c>
      <c r="M83" s="11">
        <f t="shared" si="7"/>
        <v>0</v>
      </c>
    </row>
    <row r="84" spans="1:13" x14ac:dyDescent="0.3">
      <c r="A84" s="8" t="s">
        <v>72</v>
      </c>
      <c r="B84" s="9" t="s">
        <v>374</v>
      </c>
      <c r="C84" s="9" t="s">
        <v>14</v>
      </c>
      <c r="D84" s="9" t="s">
        <v>30</v>
      </c>
      <c r="E84" s="9" t="s">
        <v>616</v>
      </c>
      <c r="F84" s="9" t="s">
        <v>617</v>
      </c>
      <c r="G84" s="9" t="s">
        <v>620</v>
      </c>
      <c r="H84" s="10">
        <v>1</v>
      </c>
      <c r="I84" s="10">
        <v>5</v>
      </c>
      <c r="J84" s="10">
        <v>1</v>
      </c>
      <c r="K84" s="10">
        <f t="shared" si="5"/>
        <v>1.24</v>
      </c>
      <c r="L84" s="11">
        <f t="shared" si="6"/>
        <v>0.248</v>
      </c>
      <c r="M84" s="11">
        <f t="shared" si="7"/>
        <v>0.24</v>
      </c>
    </row>
    <row r="85" spans="1:13" x14ac:dyDescent="0.3">
      <c r="A85" s="8" t="s">
        <v>96</v>
      </c>
      <c r="B85" s="9" t="s">
        <v>398</v>
      </c>
      <c r="C85" s="9" t="s">
        <v>14</v>
      </c>
      <c r="D85" s="9" t="s">
        <v>32</v>
      </c>
      <c r="E85" s="9" t="s">
        <v>616</v>
      </c>
      <c r="F85" s="9" t="s">
        <v>617</v>
      </c>
      <c r="G85" s="9" t="s">
        <v>619</v>
      </c>
      <c r="H85" s="10">
        <v>0</v>
      </c>
      <c r="I85" s="10">
        <v>5</v>
      </c>
      <c r="J85" s="10">
        <v>0</v>
      </c>
      <c r="K85" s="10">
        <f t="shared" si="5"/>
        <v>0</v>
      </c>
      <c r="L85" s="11">
        <f t="shared" si="6"/>
        <v>0</v>
      </c>
      <c r="M85" s="11">
        <f t="shared" si="7"/>
        <v>0</v>
      </c>
    </row>
    <row r="86" spans="1:13" x14ac:dyDescent="0.3">
      <c r="A86" s="8" t="s">
        <v>152</v>
      </c>
      <c r="B86" s="9" t="s">
        <v>442</v>
      </c>
      <c r="C86" s="9" t="s">
        <v>16</v>
      </c>
      <c r="D86" s="9" t="s">
        <v>40</v>
      </c>
      <c r="E86" s="9" t="s">
        <v>616</v>
      </c>
      <c r="F86" s="9" t="s">
        <v>617</v>
      </c>
      <c r="G86" s="9" t="s">
        <v>623</v>
      </c>
      <c r="H86" s="10">
        <v>0</v>
      </c>
      <c r="I86" s="10">
        <v>5</v>
      </c>
      <c r="J86" s="10">
        <v>2</v>
      </c>
      <c r="K86" s="10">
        <f t="shared" si="5"/>
        <v>2.48</v>
      </c>
      <c r="L86" s="11">
        <f t="shared" si="6"/>
        <v>0.496</v>
      </c>
      <c r="M86" s="11">
        <f t="shared" si="7"/>
        <v>0</v>
      </c>
    </row>
    <row r="87" spans="1:13" x14ac:dyDescent="0.3">
      <c r="A87" s="8" t="s">
        <v>78</v>
      </c>
      <c r="B87" s="9" t="s">
        <v>380</v>
      </c>
      <c r="C87" s="9" t="s">
        <v>16</v>
      </c>
      <c r="D87" s="9" t="s">
        <v>38</v>
      </c>
      <c r="E87" s="9" t="s">
        <v>616</v>
      </c>
      <c r="F87" s="9" t="s">
        <v>617</v>
      </c>
      <c r="G87" s="9" t="s">
        <v>621</v>
      </c>
      <c r="H87" s="10">
        <v>0</v>
      </c>
      <c r="I87" s="10">
        <v>5</v>
      </c>
      <c r="J87" s="10">
        <v>0</v>
      </c>
      <c r="K87" s="10">
        <f t="shared" si="5"/>
        <v>0</v>
      </c>
      <c r="L87" s="11">
        <f t="shared" si="6"/>
        <v>0</v>
      </c>
      <c r="M87" s="11">
        <f t="shared" si="7"/>
        <v>0</v>
      </c>
    </row>
    <row r="88" spans="1:13" x14ac:dyDescent="0.3">
      <c r="A88" s="8" t="s">
        <v>82</v>
      </c>
      <c r="B88" s="9" t="s">
        <v>384</v>
      </c>
      <c r="C88" s="9" t="s">
        <v>16</v>
      </c>
      <c r="D88" s="9" t="s">
        <v>44</v>
      </c>
      <c r="E88" s="9" t="s">
        <v>616</v>
      </c>
      <c r="F88" s="9" t="s">
        <v>617</v>
      </c>
      <c r="G88" s="9" t="s">
        <v>622</v>
      </c>
      <c r="H88" s="10">
        <v>2</v>
      </c>
      <c r="I88" s="10">
        <v>5</v>
      </c>
      <c r="J88" s="10">
        <v>2</v>
      </c>
      <c r="K88" s="10">
        <f t="shared" si="5"/>
        <v>2.48</v>
      </c>
      <c r="L88" s="11">
        <f t="shared" si="6"/>
        <v>0.496</v>
      </c>
      <c r="M88" s="11">
        <f t="shared" si="7"/>
        <v>0.24</v>
      </c>
    </row>
    <row r="89" spans="1:13" x14ac:dyDescent="0.3">
      <c r="A89" s="8" t="s">
        <v>151</v>
      </c>
      <c r="B89" s="9" t="s">
        <v>441</v>
      </c>
      <c r="C89" s="9" t="s">
        <v>16</v>
      </c>
      <c r="D89" s="9" t="s">
        <v>36</v>
      </c>
      <c r="E89" s="9" t="s">
        <v>616</v>
      </c>
      <c r="F89" s="9" t="s">
        <v>617</v>
      </c>
      <c r="G89" s="9" t="s">
        <v>622</v>
      </c>
      <c r="H89" s="10">
        <v>0</v>
      </c>
      <c r="I89" s="10">
        <v>5</v>
      </c>
      <c r="J89" s="10">
        <v>0</v>
      </c>
      <c r="K89" s="10">
        <f t="shared" si="5"/>
        <v>0</v>
      </c>
      <c r="L89" s="11">
        <f t="shared" si="6"/>
        <v>0</v>
      </c>
      <c r="M89" s="11">
        <f t="shared" si="7"/>
        <v>0</v>
      </c>
    </row>
    <row r="90" spans="1:13" x14ac:dyDescent="0.3">
      <c r="A90" s="8" t="s">
        <v>106</v>
      </c>
      <c r="B90" s="9" t="s">
        <v>408</v>
      </c>
      <c r="C90" s="9" t="s">
        <v>16</v>
      </c>
      <c r="D90" s="9" t="s">
        <v>34</v>
      </c>
      <c r="E90" s="9" t="s">
        <v>616</v>
      </c>
      <c r="F90" s="9" t="s">
        <v>617</v>
      </c>
      <c r="G90" s="9" t="s">
        <v>621</v>
      </c>
      <c r="H90" s="10">
        <v>3</v>
      </c>
      <c r="I90" s="10">
        <v>5</v>
      </c>
      <c r="J90" s="10">
        <v>3</v>
      </c>
      <c r="K90" s="10">
        <f t="shared" si="5"/>
        <v>3.7199999999999998</v>
      </c>
      <c r="L90" s="11">
        <f t="shared" si="6"/>
        <v>0.74399999999999999</v>
      </c>
      <c r="M90" s="11">
        <f t="shared" si="7"/>
        <v>0.23999999999999991</v>
      </c>
    </row>
    <row r="91" spans="1:13" x14ac:dyDescent="0.3">
      <c r="A91" s="8" t="s">
        <v>114</v>
      </c>
      <c r="B91" s="9" t="s">
        <v>416</v>
      </c>
      <c r="C91" s="9" t="s">
        <v>16</v>
      </c>
      <c r="D91" s="9" t="s">
        <v>38</v>
      </c>
      <c r="E91" s="9" t="s">
        <v>616</v>
      </c>
      <c r="F91" s="9" t="s">
        <v>617</v>
      </c>
      <c r="G91" s="9" t="s">
        <v>621</v>
      </c>
      <c r="H91" s="10">
        <v>0</v>
      </c>
      <c r="I91" s="10">
        <v>5</v>
      </c>
      <c r="J91" s="10">
        <v>2</v>
      </c>
      <c r="K91" s="10">
        <f t="shared" si="5"/>
        <v>2.48</v>
      </c>
      <c r="L91" s="11">
        <f t="shared" si="6"/>
        <v>0.496</v>
      </c>
      <c r="M91" s="11">
        <f t="shared" si="7"/>
        <v>0</v>
      </c>
    </row>
    <row r="92" spans="1:13" x14ac:dyDescent="0.3">
      <c r="A92" s="8" t="s">
        <v>89</v>
      </c>
      <c r="B92" s="9" t="s">
        <v>391</v>
      </c>
      <c r="C92" s="9" t="s">
        <v>16</v>
      </c>
      <c r="D92" s="9" t="s">
        <v>36</v>
      </c>
      <c r="E92" s="9" t="s">
        <v>616</v>
      </c>
      <c r="F92" s="9" t="s">
        <v>617</v>
      </c>
      <c r="G92" s="9" t="s">
        <v>622</v>
      </c>
      <c r="H92" s="10">
        <v>0</v>
      </c>
      <c r="I92" s="10">
        <v>5</v>
      </c>
      <c r="J92" s="10">
        <v>0</v>
      </c>
      <c r="K92" s="10">
        <f t="shared" si="5"/>
        <v>0</v>
      </c>
      <c r="L92" s="11">
        <f t="shared" si="6"/>
        <v>0</v>
      </c>
      <c r="M92" s="11">
        <f t="shared" si="7"/>
        <v>0</v>
      </c>
    </row>
    <row r="93" spans="1:13" x14ac:dyDescent="0.3">
      <c r="A93" s="8" t="s">
        <v>155</v>
      </c>
      <c r="B93" s="9" t="s">
        <v>445</v>
      </c>
      <c r="C93" s="9" t="s">
        <v>14</v>
      </c>
      <c r="D93" s="9" t="s">
        <v>24</v>
      </c>
      <c r="E93" s="9" t="s">
        <v>616</v>
      </c>
      <c r="F93" s="9" t="s">
        <v>624</v>
      </c>
      <c r="G93" s="9" t="s">
        <v>619</v>
      </c>
      <c r="H93" s="10">
        <v>0</v>
      </c>
      <c r="I93" s="10">
        <v>5</v>
      </c>
      <c r="J93" s="10">
        <v>0</v>
      </c>
      <c r="K93" s="10">
        <f t="shared" si="5"/>
        <v>0</v>
      </c>
      <c r="L93" s="11">
        <f t="shared" si="6"/>
        <v>0</v>
      </c>
      <c r="M93" s="11">
        <f t="shared" si="7"/>
        <v>0</v>
      </c>
    </row>
    <row r="94" spans="1:13" x14ac:dyDescent="0.3">
      <c r="A94" s="8" t="s">
        <v>115</v>
      </c>
      <c r="B94" s="9" t="s">
        <v>417</v>
      </c>
      <c r="C94" s="9" t="s">
        <v>16</v>
      </c>
      <c r="D94" s="9" t="s">
        <v>34</v>
      </c>
      <c r="E94" s="9" t="s">
        <v>616</v>
      </c>
      <c r="F94" s="9" t="s">
        <v>617</v>
      </c>
      <c r="G94" s="9" t="s">
        <v>621</v>
      </c>
      <c r="H94" s="10">
        <v>3</v>
      </c>
      <c r="I94" s="10">
        <v>5</v>
      </c>
      <c r="J94" s="10">
        <v>1</v>
      </c>
      <c r="K94" s="10">
        <f t="shared" si="5"/>
        <v>1.24</v>
      </c>
      <c r="L94" s="11">
        <f t="shared" si="6"/>
        <v>0.248</v>
      </c>
      <c r="M94" s="11">
        <f t="shared" si="7"/>
        <v>-0.58666666666666667</v>
      </c>
    </row>
    <row r="95" spans="1:13" x14ac:dyDescent="0.3">
      <c r="A95" s="8" t="s">
        <v>90</v>
      </c>
      <c r="B95" s="9" t="s">
        <v>392</v>
      </c>
      <c r="C95" s="9" t="s">
        <v>16</v>
      </c>
      <c r="D95" s="9" t="s">
        <v>34</v>
      </c>
      <c r="E95" s="9" t="s">
        <v>616</v>
      </c>
      <c r="F95" s="9" t="s">
        <v>617</v>
      </c>
      <c r="G95" s="9" t="s">
        <v>621</v>
      </c>
      <c r="H95" s="10">
        <v>0</v>
      </c>
      <c r="I95" s="10">
        <v>5</v>
      </c>
      <c r="J95" s="10">
        <v>1</v>
      </c>
      <c r="K95" s="10">
        <f t="shared" si="5"/>
        <v>1.24</v>
      </c>
      <c r="L95" s="11">
        <f t="shared" si="6"/>
        <v>0.248</v>
      </c>
      <c r="M95" s="11">
        <f t="shared" si="7"/>
        <v>0</v>
      </c>
    </row>
    <row r="96" spans="1:13" x14ac:dyDescent="0.3">
      <c r="A96" s="8" t="s">
        <v>101</v>
      </c>
      <c r="B96" s="9" t="s">
        <v>403</v>
      </c>
      <c r="C96" s="9" t="s">
        <v>16</v>
      </c>
      <c r="D96" s="9" t="s">
        <v>42</v>
      </c>
      <c r="E96" s="9" t="s">
        <v>616</v>
      </c>
      <c r="F96" s="9" t="s">
        <v>617</v>
      </c>
      <c r="G96" s="9" t="s">
        <v>618</v>
      </c>
      <c r="H96" s="10">
        <v>0</v>
      </c>
      <c r="I96" s="10">
        <v>5</v>
      </c>
      <c r="J96" s="10">
        <v>1</v>
      </c>
      <c r="K96" s="10">
        <f t="shared" si="5"/>
        <v>1.24</v>
      </c>
      <c r="L96" s="11">
        <f t="shared" si="6"/>
        <v>0.248</v>
      </c>
      <c r="M96" s="11">
        <f t="shared" si="7"/>
        <v>0</v>
      </c>
    </row>
    <row r="97" spans="1:13" x14ac:dyDescent="0.3">
      <c r="A97" s="8" t="s">
        <v>164</v>
      </c>
      <c r="B97" s="9" t="s">
        <v>454</v>
      </c>
      <c r="C97" s="9" t="s">
        <v>16</v>
      </c>
      <c r="D97" s="9" t="s">
        <v>34</v>
      </c>
      <c r="E97" s="9" t="s">
        <v>616</v>
      </c>
      <c r="F97" s="9" t="s">
        <v>617</v>
      </c>
      <c r="G97" s="9" t="s">
        <v>621</v>
      </c>
      <c r="H97" s="10">
        <v>2</v>
      </c>
      <c r="I97" s="10">
        <v>5</v>
      </c>
      <c r="J97" s="10">
        <v>1</v>
      </c>
      <c r="K97" s="10">
        <f t="shared" si="5"/>
        <v>1.24</v>
      </c>
      <c r="L97" s="11">
        <f t="shared" si="6"/>
        <v>0.248</v>
      </c>
      <c r="M97" s="11">
        <f t="shared" si="7"/>
        <v>-0.38</v>
      </c>
    </row>
    <row r="98" spans="1:13" x14ac:dyDescent="0.3">
      <c r="A98" s="8" t="s">
        <v>97</v>
      </c>
      <c r="B98" s="9" t="s">
        <v>399</v>
      </c>
      <c r="C98" s="9" t="s">
        <v>16</v>
      </c>
      <c r="D98" s="9" t="s">
        <v>44</v>
      </c>
      <c r="E98" s="9" t="s">
        <v>616</v>
      </c>
      <c r="F98" s="9" t="s">
        <v>617</v>
      </c>
      <c r="G98" s="9" t="s">
        <v>622</v>
      </c>
      <c r="H98" s="10">
        <v>1</v>
      </c>
      <c r="I98" s="10">
        <v>5</v>
      </c>
      <c r="J98" s="10">
        <v>2</v>
      </c>
      <c r="K98" s="10">
        <f t="shared" si="5"/>
        <v>2.48</v>
      </c>
      <c r="L98" s="11">
        <f t="shared" si="6"/>
        <v>0.496</v>
      </c>
      <c r="M98" s="11">
        <f t="shared" si="7"/>
        <v>1.48</v>
      </c>
    </row>
    <row r="99" spans="1:13" x14ac:dyDescent="0.3">
      <c r="A99" s="8" t="s">
        <v>105</v>
      </c>
      <c r="B99" s="9" t="s">
        <v>407</v>
      </c>
      <c r="C99" s="9" t="s">
        <v>14</v>
      </c>
      <c r="D99" s="9" t="s">
        <v>32</v>
      </c>
      <c r="E99" s="9" t="s">
        <v>616</v>
      </c>
      <c r="F99" s="9" t="s">
        <v>617</v>
      </c>
      <c r="G99" s="9" t="s">
        <v>619</v>
      </c>
      <c r="H99" s="10">
        <v>0</v>
      </c>
      <c r="I99" s="10">
        <v>5</v>
      </c>
      <c r="J99" s="10">
        <v>1</v>
      </c>
      <c r="K99" s="10">
        <f t="shared" si="5"/>
        <v>1.24</v>
      </c>
      <c r="L99" s="11">
        <f t="shared" si="6"/>
        <v>0.248</v>
      </c>
      <c r="M99" s="11">
        <f t="shared" si="7"/>
        <v>0</v>
      </c>
    </row>
    <row r="100" spans="1:13" x14ac:dyDescent="0.3">
      <c r="A100" s="8" t="s">
        <v>64</v>
      </c>
      <c r="B100" s="9" t="s">
        <v>366</v>
      </c>
      <c r="C100" s="9" t="s">
        <v>14</v>
      </c>
      <c r="D100" s="9" t="s">
        <v>32</v>
      </c>
      <c r="E100" s="9" t="s">
        <v>616</v>
      </c>
      <c r="F100" s="9" t="s">
        <v>617</v>
      </c>
      <c r="G100" s="9" t="s">
        <v>619</v>
      </c>
      <c r="H100" s="10">
        <v>0</v>
      </c>
      <c r="I100" s="10">
        <v>5</v>
      </c>
      <c r="J100" s="10">
        <v>1</v>
      </c>
      <c r="K100" s="10">
        <f t="shared" si="5"/>
        <v>1.24</v>
      </c>
      <c r="L100" s="11">
        <f t="shared" si="6"/>
        <v>0.248</v>
      </c>
      <c r="M100" s="11">
        <f t="shared" si="7"/>
        <v>0</v>
      </c>
    </row>
    <row r="101" spans="1:13" x14ac:dyDescent="0.3">
      <c r="A101" s="8" t="s">
        <v>127</v>
      </c>
      <c r="B101" s="9" t="s">
        <v>425</v>
      </c>
      <c r="C101" s="9" t="s">
        <v>14</v>
      </c>
      <c r="D101" s="9" t="s">
        <v>28</v>
      </c>
      <c r="E101" s="9" t="s">
        <v>616</v>
      </c>
      <c r="F101" s="9" t="s">
        <v>617</v>
      </c>
      <c r="G101" s="9" t="s">
        <v>620</v>
      </c>
      <c r="H101" s="10">
        <v>1</v>
      </c>
      <c r="I101" s="10">
        <v>5</v>
      </c>
      <c r="J101" s="10">
        <v>1</v>
      </c>
      <c r="K101" s="10">
        <f t="shared" si="5"/>
        <v>1.24</v>
      </c>
      <c r="L101" s="11">
        <f t="shared" si="6"/>
        <v>0.248</v>
      </c>
      <c r="M101" s="11">
        <f t="shared" si="7"/>
        <v>0.24</v>
      </c>
    </row>
    <row r="102" spans="1:13" x14ac:dyDescent="0.3">
      <c r="A102" s="8" t="s">
        <v>103</v>
      </c>
      <c r="B102" s="9" t="s">
        <v>405</v>
      </c>
      <c r="C102" s="9" t="s">
        <v>14</v>
      </c>
      <c r="D102" s="9" t="s">
        <v>26</v>
      </c>
      <c r="E102" s="9" t="s">
        <v>616</v>
      </c>
      <c r="F102" s="9" t="s">
        <v>617</v>
      </c>
      <c r="G102" s="9" t="s">
        <v>619</v>
      </c>
      <c r="H102" s="10">
        <v>1</v>
      </c>
      <c r="I102" s="10">
        <v>5</v>
      </c>
      <c r="J102" s="10">
        <v>3</v>
      </c>
      <c r="K102" s="10">
        <f t="shared" si="5"/>
        <v>3.7199999999999998</v>
      </c>
      <c r="L102" s="11">
        <f t="shared" si="6"/>
        <v>0.74399999999999999</v>
      </c>
      <c r="M102" s="11">
        <f t="shared" si="7"/>
        <v>2.7199999999999998</v>
      </c>
    </row>
    <row r="103" spans="1:13" x14ac:dyDescent="0.3">
      <c r="A103" s="8" t="s">
        <v>94</v>
      </c>
      <c r="B103" s="9" t="s">
        <v>396</v>
      </c>
      <c r="C103" s="9" t="s">
        <v>14</v>
      </c>
      <c r="D103" s="9" t="s">
        <v>32</v>
      </c>
      <c r="E103" s="9" t="s">
        <v>616</v>
      </c>
      <c r="F103" s="9" t="s">
        <v>617</v>
      </c>
      <c r="G103" s="9" t="s">
        <v>619</v>
      </c>
      <c r="H103" s="10">
        <v>0</v>
      </c>
      <c r="I103" s="10">
        <v>5</v>
      </c>
      <c r="J103" s="10">
        <v>0</v>
      </c>
      <c r="K103" s="10">
        <f t="shared" si="5"/>
        <v>0</v>
      </c>
      <c r="L103" s="11">
        <f t="shared" si="6"/>
        <v>0</v>
      </c>
      <c r="M103" s="11">
        <f t="shared" si="7"/>
        <v>0</v>
      </c>
    </row>
    <row r="104" spans="1:13" x14ac:dyDescent="0.3">
      <c r="A104" s="8" t="s">
        <v>95</v>
      </c>
      <c r="B104" s="9" t="s">
        <v>397</v>
      </c>
      <c r="C104" s="9" t="s">
        <v>16</v>
      </c>
      <c r="D104" s="9" t="s">
        <v>38</v>
      </c>
      <c r="E104" s="9" t="s">
        <v>616</v>
      </c>
      <c r="F104" s="9" t="s">
        <v>617</v>
      </c>
      <c r="G104" s="9" t="s">
        <v>621</v>
      </c>
      <c r="H104" s="10">
        <v>0</v>
      </c>
      <c r="I104" s="10">
        <v>5</v>
      </c>
      <c r="J104" s="10">
        <v>0</v>
      </c>
      <c r="K104" s="10">
        <f t="shared" si="5"/>
        <v>0</v>
      </c>
      <c r="L104" s="11">
        <f t="shared" si="6"/>
        <v>0</v>
      </c>
      <c r="M104" s="11">
        <f t="shared" si="7"/>
        <v>0</v>
      </c>
    </row>
    <row r="105" spans="1:13" x14ac:dyDescent="0.3">
      <c r="A105" s="8" t="s">
        <v>83</v>
      </c>
      <c r="B105" s="9" t="s">
        <v>385</v>
      </c>
      <c r="C105" s="9" t="s">
        <v>14</v>
      </c>
      <c r="D105" s="9" t="s">
        <v>32</v>
      </c>
      <c r="E105" s="9" t="s">
        <v>616</v>
      </c>
      <c r="F105" s="9" t="s">
        <v>617</v>
      </c>
      <c r="G105" s="9" t="s">
        <v>619</v>
      </c>
      <c r="H105" s="10">
        <v>0</v>
      </c>
      <c r="I105" s="10">
        <v>5</v>
      </c>
      <c r="J105" s="10">
        <v>1</v>
      </c>
      <c r="K105" s="10">
        <f t="shared" si="5"/>
        <v>1.24</v>
      </c>
      <c r="L105" s="11">
        <f t="shared" si="6"/>
        <v>0.248</v>
      </c>
      <c r="M105" s="11">
        <f t="shared" si="7"/>
        <v>0</v>
      </c>
    </row>
    <row r="106" spans="1:13" x14ac:dyDescent="0.3">
      <c r="A106" s="8" t="s">
        <v>80</v>
      </c>
      <c r="B106" s="9" t="s">
        <v>382</v>
      </c>
      <c r="C106" s="9" t="s">
        <v>16</v>
      </c>
      <c r="D106" s="9" t="s">
        <v>44</v>
      </c>
      <c r="E106" s="9" t="s">
        <v>616</v>
      </c>
      <c r="F106" s="9" t="s">
        <v>617</v>
      </c>
      <c r="G106" s="9" t="s">
        <v>622</v>
      </c>
      <c r="H106" s="10">
        <v>0</v>
      </c>
      <c r="I106" s="10">
        <v>5</v>
      </c>
      <c r="J106" s="10">
        <v>0</v>
      </c>
      <c r="K106" s="10">
        <f t="shared" si="5"/>
        <v>0</v>
      </c>
      <c r="L106" s="11">
        <f t="shared" si="6"/>
        <v>0</v>
      </c>
      <c r="M106" s="11">
        <f t="shared" si="7"/>
        <v>0</v>
      </c>
    </row>
    <row r="107" spans="1:13" x14ac:dyDescent="0.3">
      <c r="A107" s="8" t="s">
        <v>204</v>
      </c>
      <c r="B107" s="9" t="s">
        <v>494</v>
      </c>
      <c r="C107" s="9" t="s">
        <v>16</v>
      </c>
      <c r="D107" s="9" t="s">
        <v>38</v>
      </c>
      <c r="E107" s="9" t="s">
        <v>616</v>
      </c>
      <c r="F107" s="9" t="s">
        <v>617</v>
      </c>
      <c r="G107" s="9" t="s">
        <v>621</v>
      </c>
      <c r="H107" s="10">
        <v>1</v>
      </c>
      <c r="I107" s="10">
        <v>5</v>
      </c>
      <c r="J107" s="10">
        <v>0</v>
      </c>
      <c r="K107" s="10">
        <f t="shared" si="5"/>
        <v>0</v>
      </c>
      <c r="L107" s="11">
        <f t="shared" si="6"/>
        <v>0</v>
      </c>
      <c r="M107" s="11">
        <f t="shared" si="7"/>
        <v>-1</v>
      </c>
    </row>
    <row r="108" spans="1:13" x14ac:dyDescent="0.3">
      <c r="A108" s="8" t="s">
        <v>84</v>
      </c>
      <c r="B108" s="9" t="s">
        <v>386</v>
      </c>
      <c r="C108" s="9" t="s">
        <v>16</v>
      </c>
      <c r="D108" s="9" t="s">
        <v>44</v>
      </c>
      <c r="E108" s="9" t="s">
        <v>616</v>
      </c>
      <c r="F108" s="9" t="s">
        <v>617</v>
      </c>
      <c r="G108" s="9" t="s">
        <v>622</v>
      </c>
      <c r="H108" s="10">
        <v>0</v>
      </c>
      <c r="I108" s="10">
        <v>5</v>
      </c>
      <c r="J108" s="10">
        <v>0</v>
      </c>
      <c r="K108" s="10">
        <f t="shared" si="5"/>
        <v>0</v>
      </c>
      <c r="L108" s="11">
        <f t="shared" si="6"/>
        <v>0</v>
      </c>
      <c r="M108" s="11">
        <f t="shared" si="7"/>
        <v>0</v>
      </c>
    </row>
    <row r="109" spans="1:13" x14ac:dyDescent="0.3">
      <c r="A109" s="8" t="s">
        <v>77</v>
      </c>
      <c r="B109" s="9" t="s">
        <v>379</v>
      </c>
      <c r="C109" s="9" t="s">
        <v>16</v>
      </c>
      <c r="D109" s="9" t="s">
        <v>44</v>
      </c>
      <c r="E109" s="9" t="s">
        <v>616</v>
      </c>
      <c r="F109" s="9" t="s">
        <v>617</v>
      </c>
      <c r="G109" s="9" t="s">
        <v>622</v>
      </c>
      <c r="H109" s="10">
        <v>0</v>
      </c>
      <c r="I109" s="10">
        <v>5</v>
      </c>
      <c r="J109" s="10">
        <v>2</v>
      </c>
      <c r="K109" s="10">
        <f t="shared" si="5"/>
        <v>2.48</v>
      </c>
      <c r="L109" s="11">
        <f t="shared" si="6"/>
        <v>0.496</v>
      </c>
      <c r="M109" s="11">
        <f t="shared" si="7"/>
        <v>0</v>
      </c>
    </row>
    <row r="110" spans="1:13" x14ac:dyDescent="0.3">
      <c r="A110" s="8" t="s">
        <v>141</v>
      </c>
      <c r="B110" s="9" t="s">
        <v>431</v>
      </c>
      <c r="C110" s="9" t="s">
        <v>16</v>
      </c>
      <c r="D110" s="9" t="s">
        <v>36</v>
      </c>
      <c r="E110" s="9" t="s">
        <v>616</v>
      </c>
      <c r="F110" s="9" t="s">
        <v>624</v>
      </c>
      <c r="G110" s="9" t="s">
        <v>622</v>
      </c>
      <c r="H110" s="10">
        <v>0</v>
      </c>
      <c r="I110" s="10">
        <v>5</v>
      </c>
      <c r="J110" s="10">
        <v>0</v>
      </c>
      <c r="K110" s="10">
        <f t="shared" si="5"/>
        <v>0</v>
      </c>
      <c r="L110" s="11">
        <f t="shared" si="6"/>
        <v>0</v>
      </c>
      <c r="M110" s="11">
        <f t="shared" si="7"/>
        <v>0</v>
      </c>
    </row>
    <row r="111" spans="1:13" x14ac:dyDescent="0.3">
      <c r="A111" s="8" t="s">
        <v>107</v>
      </c>
      <c r="B111" s="9" t="s">
        <v>409</v>
      </c>
      <c r="C111" s="9" t="s">
        <v>16</v>
      </c>
      <c r="D111" s="9" t="s">
        <v>34</v>
      </c>
      <c r="E111" s="9" t="s">
        <v>616</v>
      </c>
      <c r="F111" s="9" t="s">
        <v>617</v>
      </c>
      <c r="G111" s="9" t="s">
        <v>621</v>
      </c>
      <c r="H111" s="10">
        <v>0</v>
      </c>
      <c r="I111" s="10">
        <v>5</v>
      </c>
      <c r="J111" s="10">
        <v>2</v>
      </c>
      <c r="K111" s="10">
        <f t="shared" si="5"/>
        <v>2.48</v>
      </c>
      <c r="L111" s="11">
        <f t="shared" si="6"/>
        <v>0.496</v>
      </c>
      <c r="M111" s="11">
        <f t="shared" si="7"/>
        <v>0</v>
      </c>
    </row>
    <row r="112" spans="1:13" x14ac:dyDescent="0.3">
      <c r="A112" s="8" t="s">
        <v>108</v>
      </c>
      <c r="B112" s="9" t="s">
        <v>410</v>
      </c>
      <c r="C112" s="9" t="s">
        <v>14</v>
      </c>
      <c r="D112" s="9" t="s">
        <v>24</v>
      </c>
      <c r="E112" s="9" t="s">
        <v>616</v>
      </c>
      <c r="F112" s="9" t="s">
        <v>617</v>
      </c>
      <c r="G112" s="9" t="s">
        <v>619</v>
      </c>
      <c r="H112" s="10">
        <v>1</v>
      </c>
      <c r="I112" s="10">
        <v>5</v>
      </c>
      <c r="J112" s="10">
        <v>0</v>
      </c>
      <c r="K112" s="10">
        <f t="shared" si="5"/>
        <v>0</v>
      </c>
      <c r="L112" s="11">
        <f t="shared" si="6"/>
        <v>0</v>
      </c>
      <c r="M112" s="11">
        <f t="shared" si="7"/>
        <v>-1</v>
      </c>
    </row>
    <row r="113" spans="1:13" x14ac:dyDescent="0.3">
      <c r="A113" s="8" t="s">
        <v>233</v>
      </c>
      <c r="B113" s="9" t="s">
        <v>523</v>
      </c>
      <c r="C113" s="9" t="s">
        <v>14</v>
      </c>
      <c r="D113" s="9" t="s">
        <v>30</v>
      </c>
      <c r="E113" s="9" t="s">
        <v>616</v>
      </c>
      <c r="F113" s="9" t="s">
        <v>617</v>
      </c>
      <c r="G113" s="9" t="s">
        <v>620</v>
      </c>
      <c r="H113" s="10">
        <v>0</v>
      </c>
      <c r="I113" s="10">
        <v>5</v>
      </c>
      <c r="J113" s="10">
        <v>0</v>
      </c>
      <c r="K113" s="10">
        <f t="shared" si="5"/>
        <v>0</v>
      </c>
      <c r="L113" s="11">
        <f t="shared" si="6"/>
        <v>0</v>
      </c>
      <c r="M113" s="11">
        <f t="shared" si="7"/>
        <v>0</v>
      </c>
    </row>
    <row r="114" spans="1:13" x14ac:dyDescent="0.3">
      <c r="A114" s="8" t="s">
        <v>111</v>
      </c>
      <c r="B114" s="9" t="s">
        <v>413</v>
      </c>
      <c r="C114" s="9" t="s">
        <v>16</v>
      </c>
      <c r="D114" s="9" t="s">
        <v>34</v>
      </c>
      <c r="E114" s="9" t="s">
        <v>616</v>
      </c>
      <c r="F114" s="9" t="s">
        <v>617</v>
      </c>
      <c r="G114" s="9" t="s">
        <v>621</v>
      </c>
      <c r="H114" s="10">
        <v>0</v>
      </c>
      <c r="I114" s="10">
        <v>5</v>
      </c>
      <c r="J114" s="10">
        <v>0</v>
      </c>
      <c r="K114" s="10">
        <f t="shared" si="5"/>
        <v>0</v>
      </c>
      <c r="L114" s="11">
        <f t="shared" si="6"/>
        <v>0</v>
      </c>
      <c r="M114" s="11">
        <f t="shared" si="7"/>
        <v>0</v>
      </c>
    </row>
    <row r="115" spans="1:13" x14ac:dyDescent="0.3">
      <c r="A115" s="8" t="s">
        <v>33</v>
      </c>
      <c r="B115" s="9" t="s">
        <v>343</v>
      </c>
      <c r="C115" s="9" t="s">
        <v>16</v>
      </c>
      <c r="D115" s="9" t="s">
        <v>36</v>
      </c>
      <c r="E115" s="9" t="s">
        <v>616</v>
      </c>
      <c r="F115" s="9" t="s">
        <v>617</v>
      </c>
      <c r="G115" s="9" t="s">
        <v>622</v>
      </c>
      <c r="H115" s="10">
        <v>0</v>
      </c>
      <c r="I115" s="10">
        <v>5</v>
      </c>
      <c r="J115" s="10">
        <v>0</v>
      </c>
      <c r="K115" s="10">
        <f t="shared" si="5"/>
        <v>0</v>
      </c>
      <c r="L115" s="11">
        <f t="shared" si="6"/>
        <v>0</v>
      </c>
      <c r="M115" s="11">
        <f t="shared" si="7"/>
        <v>0</v>
      </c>
    </row>
    <row r="116" spans="1:13" x14ac:dyDescent="0.3">
      <c r="A116" s="8" t="s">
        <v>68</v>
      </c>
      <c r="B116" s="9" t="s">
        <v>370</v>
      </c>
      <c r="C116" s="9" t="s">
        <v>16</v>
      </c>
      <c r="D116" s="9" t="s">
        <v>38</v>
      </c>
      <c r="E116" s="9" t="s">
        <v>616</v>
      </c>
      <c r="F116" s="9" t="s">
        <v>617</v>
      </c>
      <c r="G116" s="9" t="s">
        <v>622</v>
      </c>
      <c r="H116" s="10">
        <v>2</v>
      </c>
      <c r="I116" s="10">
        <v>5</v>
      </c>
      <c r="J116" s="10">
        <v>1</v>
      </c>
      <c r="K116" s="10">
        <f t="shared" si="5"/>
        <v>1.24</v>
      </c>
      <c r="L116" s="11">
        <f t="shared" si="6"/>
        <v>0.248</v>
      </c>
      <c r="M116" s="11">
        <f t="shared" si="7"/>
        <v>-0.38</v>
      </c>
    </row>
    <row r="117" spans="1:13" x14ac:dyDescent="0.3">
      <c r="A117" s="8" t="s">
        <v>150</v>
      </c>
      <c r="B117" s="9" t="s">
        <v>440</v>
      </c>
      <c r="C117" s="9" t="s">
        <v>16</v>
      </c>
      <c r="D117" s="9" t="s">
        <v>42</v>
      </c>
      <c r="E117" s="9" t="s">
        <v>616</v>
      </c>
      <c r="F117" s="9" t="s">
        <v>624</v>
      </c>
      <c r="G117" s="9" t="s">
        <v>618</v>
      </c>
      <c r="H117" s="10">
        <v>2</v>
      </c>
      <c r="I117" s="10">
        <v>5</v>
      </c>
      <c r="J117" s="10">
        <v>0</v>
      </c>
      <c r="K117" s="10">
        <f t="shared" si="5"/>
        <v>0</v>
      </c>
      <c r="L117" s="11">
        <f t="shared" si="6"/>
        <v>0</v>
      </c>
      <c r="M117" s="11">
        <f t="shared" si="7"/>
        <v>-1</v>
      </c>
    </row>
    <row r="118" spans="1:13" x14ac:dyDescent="0.3">
      <c r="A118" s="8" t="s">
        <v>102</v>
      </c>
      <c r="B118" s="9" t="s">
        <v>404</v>
      </c>
      <c r="C118" s="9" t="s">
        <v>16</v>
      </c>
      <c r="D118" s="9" t="s">
        <v>42</v>
      </c>
      <c r="E118" s="9" t="s">
        <v>616</v>
      </c>
      <c r="F118" s="9" t="s">
        <v>617</v>
      </c>
      <c r="G118" s="9" t="s">
        <v>618</v>
      </c>
      <c r="H118" s="10">
        <v>1</v>
      </c>
      <c r="I118" s="10">
        <v>5</v>
      </c>
      <c r="J118" s="10">
        <v>0</v>
      </c>
      <c r="K118" s="10">
        <f t="shared" si="5"/>
        <v>0</v>
      </c>
      <c r="L118" s="11">
        <f t="shared" si="6"/>
        <v>0</v>
      </c>
      <c r="M118" s="11">
        <f t="shared" si="7"/>
        <v>-1</v>
      </c>
    </row>
    <row r="119" spans="1:13" x14ac:dyDescent="0.3">
      <c r="A119" s="8" t="s">
        <v>104</v>
      </c>
      <c r="B119" s="9" t="s">
        <v>406</v>
      </c>
      <c r="C119" s="9" t="s">
        <v>16</v>
      </c>
      <c r="D119" s="9" t="s">
        <v>36</v>
      </c>
      <c r="E119" s="9" t="s">
        <v>616</v>
      </c>
      <c r="F119" s="9" t="s">
        <v>617</v>
      </c>
      <c r="G119" s="9" t="s">
        <v>622</v>
      </c>
      <c r="H119" s="10">
        <v>0</v>
      </c>
      <c r="I119" s="10">
        <v>5</v>
      </c>
      <c r="J119" s="10">
        <v>0</v>
      </c>
      <c r="K119" s="10">
        <f t="shared" si="5"/>
        <v>0</v>
      </c>
      <c r="L119" s="11">
        <f t="shared" si="6"/>
        <v>0</v>
      </c>
      <c r="M119" s="11">
        <f t="shared" si="7"/>
        <v>0</v>
      </c>
    </row>
    <row r="120" spans="1:13" x14ac:dyDescent="0.3">
      <c r="A120" s="8" t="s">
        <v>109</v>
      </c>
      <c r="B120" s="9" t="s">
        <v>411</v>
      </c>
      <c r="C120" s="9" t="s">
        <v>16</v>
      </c>
      <c r="D120" s="9" t="s">
        <v>38</v>
      </c>
      <c r="E120" s="9" t="s">
        <v>616</v>
      </c>
      <c r="F120" s="9" t="s">
        <v>617</v>
      </c>
      <c r="G120" s="9" t="s">
        <v>621</v>
      </c>
      <c r="H120" s="10">
        <v>1</v>
      </c>
      <c r="I120" s="10">
        <v>5</v>
      </c>
      <c r="J120" s="10">
        <v>2</v>
      </c>
      <c r="K120" s="10">
        <f t="shared" si="5"/>
        <v>2.48</v>
      </c>
      <c r="L120" s="11">
        <f t="shared" si="6"/>
        <v>0.496</v>
      </c>
      <c r="M120" s="11">
        <f t="shared" si="7"/>
        <v>1.48</v>
      </c>
    </row>
    <row r="121" spans="1:13" x14ac:dyDescent="0.3">
      <c r="A121" s="8" t="s">
        <v>113</v>
      </c>
      <c r="B121" s="9" t="s">
        <v>415</v>
      </c>
      <c r="C121" s="9" t="s">
        <v>14</v>
      </c>
      <c r="D121" s="9" t="s">
        <v>24</v>
      </c>
      <c r="E121" s="9" t="s">
        <v>616</v>
      </c>
      <c r="F121" s="9" t="s">
        <v>617</v>
      </c>
      <c r="G121" s="9" t="s">
        <v>619</v>
      </c>
      <c r="H121" s="10">
        <v>0</v>
      </c>
      <c r="I121" s="10">
        <v>5</v>
      </c>
      <c r="J121" s="10">
        <v>0</v>
      </c>
      <c r="K121" s="10">
        <f t="shared" si="5"/>
        <v>0</v>
      </c>
      <c r="L121" s="11">
        <f t="shared" si="6"/>
        <v>0</v>
      </c>
      <c r="M121" s="11">
        <f t="shared" si="7"/>
        <v>0</v>
      </c>
    </row>
    <row r="122" spans="1:13" x14ac:dyDescent="0.3">
      <c r="A122" s="8" t="s">
        <v>157</v>
      </c>
      <c r="B122" s="9" t="s">
        <v>447</v>
      </c>
      <c r="C122" s="9" t="s">
        <v>16</v>
      </c>
      <c r="D122" s="9" t="s">
        <v>42</v>
      </c>
      <c r="E122" s="9" t="s">
        <v>616</v>
      </c>
      <c r="F122" s="9" t="s">
        <v>624</v>
      </c>
      <c r="G122" s="9" t="s">
        <v>618</v>
      </c>
      <c r="H122" s="10">
        <v>0</v>
      </c>
      <c r="I122" s="10">
        <v>5</v>
      </c>
      <c r="J122" s="10">
        <v>0</v>
      </c>
      <c r="K122" s="10">
        <f t="shared" si="5"/>
        <v>0</v>
      </c>
      <c r="L122" s="11">
        <f t="shared" si="6"/>
        <v>0</v>
      </c>
      <c r="M122" s="11">
        <f t="shared" si="7"/>
        <v>0</v>
      </c>
    </row>
    <row r="123" spans="1:13" x14ac:dyDescent="0.3">
      <c r="A123" s="8" t="s">
        <v>110</v>
      </c>
      <c r="B123" s="9" t="s">
        <v>412</v>
      </c>
      <c r="C123" s="9" t="s">
        <v>14</v>
      </c>
      <c r="D123" s="9" t="s">
        <v>32</v>
      </c>
      <c r="E123" s="9" t="s">
        <v>616</v>
      </c>
      <c r="F123" s="9" t="s">
        <v>617</v>
      </c>
      <c r="G123" s="9" t="s">
        <v>619</v>
      </c>
      <c r="H123" s="10">
        <v>1</v>
      </c>
      <c r="I123" s="10">
        <v>5</v>
      </c>
      <c r="J123" s="10">
        <v>0</v>
      </c>
      <c r="K123" s="10">
        <f t="shared" si="5"/>
        <v>0</v>
      </c>
      <c r="L123" s="11">
        <f t="shared" si="6"/>
        <v>0</v>
      </c>
      <c r="M123" s="11">
        <f t="shared" si="7"/>
        <v>-1</v>
      </c>
    </row>
    <row r="124" spans="1:13" x14ac:dyDescent="0.3">
      <c r="A124" s="8" t="s">
        <v>112</v>
      </c>
      <c r="B124" s="9" t="s">
        <v>414</v>
      </c>
      <c r="C124" s="9" t="s">
        <v>14</v>
      </c>
      <c r="D124" s="9" t="s">
        <v>32</v>
      </c>
      <c r="E124" s="9" t="s">
        <v>616</v>
      </c>
      <c r="F124" s="9" t="s">
        <v>617</v>
      </c>
      <c r="G124" s="9" t="s">
        <v>619</v>
      </c>
      <c r="H124" s="10">
        <v>1</v>
      </c>
      <c r="I124" s="10">
        <v>5</v>
      </c>
      <c r="J124" s="10">
        <v>1</v>
      </c>
      <c r="K124" s="10">
        <f t="shared" si="5"/>
        <v>1.24</v>
      </c>
      <c r="L124" s="11">
        <f t="shared" si="6"/>
        <v>0.248</v>
      </c>
      <c r="M124" s="11">
        <f t="shared" si="7"/>
        <v>0.24</v>
      </c>
    </row>
    <row r="125" spans="1:13" x14ac:dyDescent="0.3">
      <c r="A125" s="8" t="s">
        <v>165</v>
      </c>
      <c r="B125" s="9" t="s">
        <v>455</v>
      </c>
      <c r="C125" s="9" t="s">
        <v>14</v>
      </c>
      <c r="D125" s="9" t="s">
        <v>28</v>
      </c>
      <c r="E125" s="9" t="s">
        <v>616</v>
      </c>
      <c r="F125" s="9" t="s">
        <v>617</v>
      </c>
      <c r="G125" s="9" t="s">
        <v>620</v>
      </c>
      <c r="H125" s="10">
        <v>0</v>
      </c>
      <c r="I125" s="10">
        <v>5</v>
      </c>
      <c r="J125" s="10">
        <v>0</v>
      </c>
      <c r="K125" s="10">
        <f t="shared" si="5"/>
        <v>0</v>
      </c>
      <c r="L125" s="11">
        <f t="shared" si="6"/>
        <v>0</v>
      </c>
      <c r="M125" s="11">
        <f t="shared" si="7"/>
        <v>0</v>
      </c>
    </row>
    <row r="126" spans="1:13" x14ac:dyDescent="0.3">
      <c r="A126" s="8" t="s">
        <v>100</v>
      </c>
      <c r="B126" s="9" t="s">
        <v>402</v>
      </c>
      <c r="C126" s="9" t="s">
        <v>16</v>
      </c>
      <c r="D126" s="9" t="s">
        <v>44</v>
      </c>
      <c r="E126" s="9" t="s">
        <v>616</v>
      </c>
      <c r="F126" s="9" t="s">
        <v>617</v>
      </c>
      <c r="G126" s="9" t="s">
        <v>622</v>
      </c>
      <c r="H126" s="10">
        <v>0</v>
      </c>
      <c r="I126" s="10">
        <v>5</v>
      </c>
      <c r="J126" s="10">
        <v>1</v>
      </c>
      <c r="K126" s="10">
        <f t="shared" si="5"/>
        <v>1.24</v>
      </c>
      <c r="L126" s="11">
        <f t="shared" si="6"/>
        <v>0.248</v>
      </c>
      <c r="M126" s="11">
        <f t="shared" si="7"/>
        <v>0</v>
      </c>
    </row>
    <row r="127" spans="1:13" x14ac:dyDescent="0.3">
      <c r="A127" s="8" t="s">
        <v>156</v>
      </c>
      <c r="B127" s="9" t="s">
        <v>446</v>
      </c>
      <c r="C127" s="9" t="s">
        <v>14</v>
      </c>
      <c r="D127" s="9" t="s">
        <v>28</v>
      </c>
      <c r="E127" s="9" t="s">
        <v>616</v>
      </c>
      <c r="F127" s="9" t="s">
        <v>624</v>
      </c>
      <c r="G127" s="9" t="s">
        <v>620</v>
      </c>
      <c r="H127" s="10">
        <v>0</v>
      </c>
      <c r="I127" s="10">
        <v>5</v>
      </c>
      <c r="J127" s="10">
        <v>0</v>
      </c>
      <c r="K127" s="10">
        <f t="shared" si="5"/>
        <v>0</v>
      </c>
      <c r="L127" s="11">
        <f t="shared" si="6"/>
        <v>0</v>
      </c>
      <c r="M127" s="11">
        <f t="shared" si="7"/>
        <v>0</v>
      </c>
    </row>
    <row r="128" spans="1:13" x14ac:dyDescent="0.3">
      <c r="A128" s="8" t="s">
        <v>142</v>
      </c>
      <c r="B128" s="9" t="s">
        <v>432</v>
      </c>
      <c r="C128" s="9" t="s">
        <v>16</v>
      </c>
      <c r="D128" s="9" t="s">
        <v>38</v>
      </c>
      <c r="E128" s="9" t="s">
        <v>616</v>
      </c>
      <c r="F128" s="9" t="s">
        <v>624</v>
      </c>
      <c r="G128" s="9" t="s">
        <v>621</v>
      </c>
      <c r="H128" s="10">
        <v>0</v>
      </c>
      <c r="I128" s="10">
        <v>5</v>
      </c>
      <c r="J128" s="10">
        <v>0</v>
      </c>
      <c r="K128" s="10">
        <f t="shared" si="5"/>
        <v>0</v>
      </c>
      <c r="L128" s="11">
        <f t="shared" si="6"/>
        <v>0</v>
      </c>
      <c r="M128" s="11">
        <f t="shared" si="7"/>
        <v>0</v>
      </c>
    </row>
    <row r="129" spans="1:22" x14ac:dyDescent="0.3">
      <c r="A129" s="8" t="s">
        <v>261</v>
      </c>
      <c r="B129" s="9" t="s">
        <v>550</v>
      </c>
      <c r="C129" s="9" t="s">
        <v>16</v>
      </c>
      <c r="D129" s="9" t="s">
        <v>38</v>
      </c>
      <c r="E129" s="9" t="s">
        <v>630</v>
      </c>
      <c r="F129" s="9" t="s">
        <v>617</v>
      </c>
      <c r="G129" s="9" t="s">
        <v>621</v>
      </c>
      <c r="H129" s="10">
        <v>0</v>
      </c>
      <c r="I129" s="10">
        <v>5</v>
      </c>
      <c r="J129" s="10">
        <v>0</v>
      </c>
      <c r="K129" s="10">
        <f t="shared" si="5"/>
        <v>0</v>
      </c>
      <c r="L129" s="11">
        <f t="shared" si="6"/>
        <v>0</v>
      </c>
      <c r="M129" s="11">
        <f t="shared" si="7"/>
        <v>0</v>
      </c>
    </row>
    <row r="130" spans="1:22" x14ac:dyDescent="0.3">
      <c r="A130" s="8" t="s">
        <v>270</v>
      </c>
      <c r="B130" s="9" t="s">
        <v>559</v>
      </c>
      <c r="C130" s="9" t="s">
        <v>16</v>
      </c>
      <c r="D130" s="9" t="s">
        <v>22</v>
      </c>
      <c r="E130" s="9" t="s">
        <v>631</v>
      </c>
      <c r="F130" s="9" t="s">
        <v>624</v>
      </c>
      <c r="G130" s="9" t="s">
        <v>618</v>
      </c>
      <c r="H130" s="10">
        <v>0</v>
      </c>
      <c r="I130" s="10">
        <v>5</v>
      </c>
      <c r="J130" s="10">
        <v>0</v>
      </c>
      <c r="K130" s="10">
        <f t="shared" si="5"/>
        <v>0</v>
      </c>
      <c r="L130" s="11">
        <f t="shared" si="6"/>
        <v>0</v>
      </c>
      <c r="M130" s="11">
        <f t="shared" si="7"/>
        <v>0</v>
      </c>
    </row>
    <row r="131" spans="1:22" x14ac:dyDescent="0.3">
      <c r="A131" s="8" t="s">
        <v>258</v>
      </c>
      <c r="B131" s="9" t="s">
        <v>547</v>
      </c>
      <c r="C131" s="9" t="s">
        <v>14</v>
      </c>
      <c r="D131" s="9" t="s">
        <v>24</v>
      </c>
      <c r="E131" s="9" t="s">
        <v>630</v>
      </c>
      <c r="F131" s="9" t="s">
        <v>617</v>
      </c>
      <c r="G131" s="9" t="s">
        <v>619</v>
      </c>
      <c r="H131" s="10">
        <v>2</v>
      </c>
      <c r="I131" s="10">
        <v>5</v>
      </c>
      <c r="J131" s="10">
        <v>0</v>
      </c>
      <c r="K131" s="10">
        <f t="shared" si="5"/>
        <v>0</v>
      </c>
      <c r="L131" s="11">
        <f t="shared" si="6"/>
        <v>0</v>
      </c>
      <c r="M131" s="11">
        <f t="shared" si="7"/>
        <v>-1</v>
      </c>
    </row>
    <row r="132" spans="1:22" x14ac:dyDescent="0.3">
      <c r="A132" s="8" t="s">
        <v>263</v>
      </c>
      <c r="B132" s="9" t="s">
        <v>552</v>
      </c>
      <c r="C132" s="9" t="s">
        <v>16</v>
      </c>
      <c r="D132" s="9" t="s">
        <v>44</v>
      </c>
      <c r="E132" s="9" t="s">
        <v>630</v>
      </c>
      <c r="F132" s="9" t="s">
        <v>617</v>
      </c>
      <c r="G132" s="9" t="s">
        <v>622</v>
      </c>
      <c r="H132" s="10">
        <v>0</v>
      </c>
      <c r="I132" s="10">
        <v>5</v>
      </c>
      <c r="J132" s="10">
        <v>1</v>
      </c>
      <c r="K132" s="10">
        <f t="shared" si="5"/>
        <v>1.24</v>
      </c>
      <c r="L132" s="11">
        <f t="shared" si="6"/>
        <v>0.248</v>
      </c>
      <c r="M132" s="11">
        <f t="shared" si="7"/>
        <v>0</v>
      </c>
    </row>
    <row r="133" spans="1:22" x14ac:dyDescent="0.3">
      <c r="A133" s="8" t="s">
        <v>264</v>
      </c>
      <c r="B133" s="9" t="s">
        <v>553</v>
      </c>
      <c r="C133" s="9" t="s">
        <v>16</v>
      </c>
      <c r="D133" s="9" t="s">
        <v>42</v>
      </c>
      <c r="E133" s="9" t="s">
        <v>630</v>
      </c>
      <c r="F133" s="9" t="s">
        <v>617</v>
      </c>
      <c r="G133" s="9" t="s">
        <v>618</v>
      </c>
      <c r="H133" s="10">
        <v>0</v>
      </c>
      <c r="I133" s="10">
        <v>5</v>
      </c>
      <c r="J133" s="10">
        <v>0</v>
      </c>
      <c r="K133" s="10">
        <f t="shared" ref="K133" si="8">IFERROR((J133/$A$1*$B$1),0)</f>
        <v>0</v>
      </c>
      <c r="L133" s="11">
        <f t="shared" ref="L133" si="9">IFERROR((K133/I133),0)</f>
        <v>0</v>
      </c>
      <c r="M133" s="11">
        <f t="shared" ref="M133" si="10">IFERROR((K133-H133)/H133,0)</f>
        <v>0</v>
      </c>
    </row>
    <row r="134" spans="1:22" s="15" customFormat="1" ht="15.05" customHeight="1" x14ac:dyDescent="0.3">
      <c r="A134" s="4" t="s">
        <v>18</v>
      </c>
      <c r="B134" s="7"/>
      <c r="C134" s="7"/>
      <c r="D134" s="7"/>
      <c r="E134" s="7"/>
      <c r="F134" s="7"/>
      <c r="G134" s="7"/>
      <c r="H134" s="12">
        <f>SUM(H5:H133)</f>
        <v>151</v>
      </c>
      <c r="I134" s="12">
        <f>SUM(I5:I133)</f>
        <v>707</v>
      </c>
      <c r="J134" s="12">
        <f>SUM(J5:J133)</f>
        <v>151</v>
      </c>
      <c r="K134" s="12">
        <f>SUM(K5:K133)</f>
        <v>187.24000000000007</v>
      </c>
      <c r="L134" s="13">
        <f>IFERROR((K134/I134),0)</f>
        <v>0.26483734087694494</v>
      </c>
      <c r="M134" s="14">
        <f>IFERROR((K134-H134)/H134,0)</f>
        <v>0.24000000000000044</v>
      </c>
      <c r="P134"/>
      <c r="Q134"/>
      <c r="R134"/>
      <c r="S134"/>
      <c r="T134"/>
      <c r="U134"/>
      <c r="V134"/>
    </row>
    <row r="135" spans="1:22" ht="15.05" customHeight="1" x14ac:dyDescent="0.3"/>
  </sheetData>
  <autoFilter ref="A4:M134" xr:uid="{9C37F107-75DF-4C86-A97B-8DB1A6F13EC7}"/>
  <mergeCells count="2">
    <mergeCell ref="A3:M3"/>
    <mergeCell ref="P3:V3"/>
  </mergeCells>
  <conditionalFormatting sqref="L5:L134">
    <cfRule type="cellIs" dxfId="6" priority="4" operator="lessThan">
      <formula>1</formula>
    </cfRule>
  </conditionalFormatting>
  <conditionalFormatting sqref="U5:U7 U11:U23">
    <cfRule type="cellIs" dxfId="5" priority="2" operator="lessThan">
      <formula>1</formula>
    </cfRule>
    <cfRule type="cellIs" dxfId="4" priority="3" operator="lessThan">
      <formula>0</formula>
    </cfRule>
  </conditionalFormatting>
  <conditionalFormatting sqref="V5:V8 L5:M134 V11:V24">
    <cfRule type="cellIs" dxfId="3" priority="1" operator="lessThan">
      <formula>0</formula>
    </cfRule>
  </conditionalFormatting>
  <conditionalFormatting sqref="A5:A133">
    <cfRule type="duplicateValues" dxfId="2" priority="5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94153-2E72-4AAA-AF8C-EBB06C18A0A1}">
  <dimension ref="A1:R230"/>
  <sheetViews>
    <sheetView showGridLines="0" zoomScale="70" zoomScaleNormal="70" workbookViewId="0">
      <pane ySplit="4" topLeftCell="A5" activePane="bottomLeft" state="frozen"/>
      <selection activeCell="J6" sqref="J6"/>
      <selection pane="bottomLeft" activeCell="J6" sqref="J6"/>
    </sheetView>
  </sheetViews>
  <sheetFormatPr defaultRowHeight="15.05" x14ac:dyDescent="0.3"/>
  <cols>
    <col min="1" max="1" width="10.33203125" bestFit="1" customWidth="1"/>
    <col min="2" max="2" width="41.109375" customWidth="1"/>
    <col min="3" max="3" width="15.109375" bestFit="1" customWidth="1"/>
    <col min="4" max="4" width="23" bestFit="1" customWidth="1"/>
    <col min="5" max="6" width="23" customWidth="1"/>
    <col min="7" max="7" width="19.44140625" bestFit="1" customWidth="1"/>
    <col min="8" max="8" width="19.44140625" customWidth="1"/>
    <col min="9" max="11" width="18" customWidth="1"/>
    <col min="14" max="14" width="25.88671875" customWidth="1"/>
    <col min="15" max="18" width="15.109375" customWidth="1"/>
  </cols>
  <sheetData>
    <row r="1" spans="1:18" x14ac:dyDescent="0.3">
      <c r="A1" s="1">
        <v>25</v>
      </c>
      <c r="B1" s="1">
        <v>31</v>
      </c>
    </row>
    <row r="2" spans="1:18" x14ac:dyDescent="0.3">
      <c r="A2" s="16"/>
    </row>
    <row r="3" spans="1:18" s="3" customFormat="1" ht="23.5" customHeight="1" x14ac:dyDescent="0.3">
      <c r="A3" s="2" t="str">
        <f>"TV (01 - "&amp;A1&amp;" MEI 2026)"</f>
        <v>TV (01 - 25 MEI 2026)</v>
      </c>
      <c r="B3" s="2"/>
      <c r="C3" s="2"/>
      <c r="D3" s="2"/>
      <c r="E3" s="2"/>
      <c r="F3" s="2"/>
      <c r="G3" s="2"/>
      <c r="H3" s="2"/>
      <c r="I3" s="2"/>
      <c r="J3" s="2"/>
      <c r="K3" s="2"/>
      <c r="N3" s="2" t="str">
        <f>A3</f>
        <v>TV (01 - 25 MEI 2026)</v>
      </c>
      <c r="O3" s="2"/>
      <c r="P3" s="2"/>
      <c r="Q3" s="2"/>
      <c r="R3" s="2"/>
    </row>
    <row r="4" spans="1:18" s="3" customFormat="1" ht="29.45" customHeight="1" x14ac:dyDescent="0.3">
      <c r="A4" s="4" t="s">
        <v>0</v>
      </c>
      <c r="B4" s="5" t="s">
        <v>1</v>
      </c>
      <c r="C4" s="5" t="s">
        <v>2</v>
      </c>
      <c r="D4" s="5" t="s">
        <v>3</v>
      </c>
      <c r="E4" s="5" t="s">
        <v>4</v>
      </c>
      <c r="F4" s="5" t="s">
        <v>5</v>
      </c>
      <c r="G4" s="5" t="s">
        <v>6</v>
      </c>
      <c r="H4" s="6" t="s">
        <v>7</v>
      </c>
      <c r="I4" s="6" t="s">
        <v>9</v>
      </c>
      <c r="J4" s="6" t="s">
        <v>10</v>
      </c>
      <c r="K4" s="6" t="s">
        <v>12</v>
      </c>
      <c r="N4" s="7" t="s">
        <v>2</v>
      </c>
      <c r="O4" s="6" t="s">
        <v>7</v>
      </c>
      <c r="P4" s="6" t="s">
        <v>9</v>
      </c>
      <c r="Q4" s="6" t="s">
        <v>10</v>
      </c>
      <c r="R4" s="6" t="s">
        <v>12</v>
      </c>
    </row>
    <row r="5" spans="1:18" x14ac:dyDescent="0.3">
      <c r="A5" s="8" t="s">
        <v>51</v>
      </c>
      <c r="B5" s="9" t="s">
        <v>355</v>
      </c>
      <c r="C5" s="9" t="s">
        <v>16</v>
      </c>
      <c r="D5" s="9" t="s">
        <v>44</v>
      </c>
      <c r="E5" s="9" t="s">
        <v>616</v>
      </c>
      <c r="F5" s="9" t="s">
        <v>617</v>
      </c>
      <c r="G5" s="9" t="s">
        <v>622</v>
      </c>
      <c r="H5" s="10">
        <v>0</v>
      </c>
      <c r="I5" s="10">
        <v>2071171</v>
      </c>
      <c r="J5" s="10">
        <f t="shared" ref="J5:J68" si="0">IFERROR((I5/$A$1*$B$1),0)</f>
        <v>2568252.04</v>
      </c>
      <c r="K5" s="11">
        <f t="shared" ref="K5:K68" si="1">IFERROR((J5-H5)/H5,0)</f>
        <v>0</v>
      </c>
      <c r="N5" s="9" t="s">
        <v>14</v>
      </c>
      <c r="O5" s="10">
        <f t="shared" ref="O5:Q7" si="2">SUMIF($C:$C,$N5,H:H)</f>
        <v>443421623</v>
      </c>
      <c r="P5" s="10">
        <f t="shared" si="2"/>
        <v>323399987</v>
      </c>
      <c r="Q5" s="10">
        <f t="shared" si="2"/>
        <v>401015983.87999994</v>
      </c>
      <c r="R5" s="11">
        <f>IFERROR((Q5-O5)/O5,0)</f>
        <v>-9.5632772333251917E-2</v>
      </c>
    </row>
    <row r="6" spans="1:18" x14ac:dyDescent="0.3">
      <c r="A6" s="8" t="s">
        <v>49</v>
      </c>
      <c r="B6" s="9" t="s">
        <v>353</v>
      </c>
      <c r="C6" s="9" t="s">
        <v>16</v>
      </c>
      <c r="D6" s="9" t="s">
        <v>44</v>
      </c>
      <c r="E6" s="9" t="s">
        <v>616</v>
      </c>
      <c r="F6" s="9" t="s">
        <v>617</v>
      </c>
      <c r="G6" s="9" t="s">
        <v>622</v>
      </c>
      <c r="H6" s="10">
        <v>2701802</v>
      </c>
      <c r="I6" s="10">
        <v>4412612</v>
      </c>
      <c r="J6" s="10">
        <f t="shared" si="0"/>
        <v>5471638.8799999999</v>
      </c>
      <c r="K6" s="11">
        <f t="shared" si="1"/>
        <v>1.0251812975192112</v>
      </c>
      <c r="N6" s="9" t="s">
        <v>16</v>
      </c>
      <c r="O6" s="10">
        <f t="shared" si="2"/>
        <v>636521620</v>
      </c>
      <c r="P6" s="10">
        <f t="shared" si="2"/>
        <v>490645935</v>
      </c>
      <c r="Q6" s="10">
        <f t="shared" si="2"/>
        <v>608400959.4000001</v>
      </c>
      <c r="R6" s="11">
        <f>IFERROR((Q6-O6)/O6,0)</f>
        <v>-4.4178641724690992E-2</v>
      </c>
    </row>
    <row r="7" spans="1:18" x14ac:dyDescent="0.3">
      <c r="A7" s="8" t="s">
        <v>167</v>
      </c>
      <c r="B7" s="9" t="s">
        <v>457</v>
      </c>
      <c r="C7" s="9" t="s">
        <v>16</v>
      </c>
      <c r="D7" s="9" t="s">
        <v>44</v>
      </c>
      <c r="E7" s="9" t="s">
        <v>616</v>
      </c>
      <c r="F7" s="9" t="s">
        <v>617</v>
      </c>
      <c r="G7" s="9" t="s">
        <v>622</v>
      </c>
      <c r="H7" s="10">
        <v>22877476</v>
      </c>
      <c r="I7" s="10">
        <v>11796396</v>
      </c>
      <c r="J7" s="10">
        <f t="shared" si="0"/>
        <v>14627531.040000001</v>
      </c>
      <c r="K7" s="11">
        <f t="shared" si="1"/>
        <v>-0.36061429853538035</v>
      </c>
      <c r="N7" s="9" t="s">
        <v>120</v>
      </c>
      <c r="O7" s="10">
        <f t="shared" si="2"/>
        <v>1473272064</v>
      </c>
      <c r="P7" s="10">
        <f t="shared" si="2"/>
        <v>892564844</v>
      </c>
      <c r="Q7" s="10">
        <f t="shared" si="2"/>
        <v>1106780406.5600002</v>
      </c>
      <c r="R7" s="11">
        <f>IFERROR((Q7-O7)/O7,0)</f>
        <v>-0.24876033856568111</v>
      </c>
    </row>
    <row r="8" spans="1:18" x14ac:dyDescent="0.3">
      <c r="A8" s="8" t="s">
        <v>61</v>
      </c>
      <c r="B8" s="9" t="s">
        <v>364</v>
      </c>
      <c r="C8" s="9" t="s">
        <v>16</v>
      </c>
      <c r="D8" s="9" t="s">
        <v>44</v>
      </c>
      <c r="E8" s="9" t="s">
        <v>616</v>
      </c>
      <c r="F8" s="9" t="s">
        <v>617</v>
      </c>
      <c r="G8" s="9" t="s">
        <v>622</v>
      </c>
      <c r="H8" s="10">
        <v>12698200</v>
      </c>
      <c r="I8" s="10">
        <v>12519819</v>
      </c>
      <c r="J8" s="10">
        <f t="shared" si="0"/>
        <v>15524575.560000001</v>
      </c>
      <c r="K8" s="11">
        <f t="shared" si="1"/>
        <v>0.22258080357845997</v>
      </c>
      <c r="N8" s="4" t="s">
        <v>18</v>
      </c>
      <c r="O8" s="12">
        <f>SUM(O5:O7)</f>
        <v>2553215307</v>
      </c>
      <c r="P8" s="12">
        <f>SUM(P5:P7)</f>
        <v>1706610766</v>
      </c>
      <c r="Q8" s="12">
        <f>SUM(Q5:Q7)</f>
        <v>2116197349.8400002</v>
      </c>
      <c r="R8" s="14">
        <f>IFERROR((Q8-O8)/O8,0)</f>
        <v>-0.17116376984026904</v>
      </c>
    </row>
    <row r="9" spans="1:18" x14ac:dyDescent="0.3">
      <c r="A9" s="8" t="s">
        <v>188</v>
      </c>
      <c r="B9" s="9" t="s">
        <v>478</v>
      </c>
      <c r="C9" s="9" t="s">
        <v>120</v>
      </c>
      <c r="D9" s="9" t="s">
        <v>135</v>
      </c>
      <c r="E9" s="9" t="s">
        <v>627</v>
      </c>
      <c r="F9" s="9" t="s">
        <v>617</v>
      </c>
      <c r="G9" s="9" t="s">
        <v>622</v>
      </c>
      <c r="H9" s="10">
        <v>0</v>
      </c>
      <c r="I9" s="10">
        <v>3963063</v>
      </c>
      <c r="J9" s="10">
        <f t="shared" si="0"/>
        <v>4914198.12</v>
      </c>
      <c r="K9" s="11">
        <f t="shared" si="1"/>
        <v>0</v>
      </c>
    </row>
    <row r="10" spans="1:18" x14ac:dyDescent="0.3">
      <c r="A10" s="8" t="s">
        <v>263</v>
      </c>
      <c r="B10" s="9" t="s">
        <v>552</v>
      </c>
      <c r="C10" s="9" t="s">
        <v>16</v>
      </c>
      <c r="D10" s="9" t="s">
        <v>44</v>
      </c>
      <c r="E10" s="9" t="s">
        <v>630</v>
      </c>
      <c r="F10" s="9" t="s">
        <v>617</v>
      </c>
      <c r="G10" s="9" t="s">
        <v>622</v>
      </c>
      <c r="H10" s="10">
        <v>0</v>
      </c>
      <c r="I10" s="10">
        <v>0</v>
      </c>
      <c r="J10" s="10">
        <f t="shared" si="0"/>
        <v>0</v>
      </c>
      <c r="K10" s="11">
        <f t="shared" si="1"/>
        <v>0</v>
      </c>
      <c r="N10" s="7" t="s">
        <v>3</v>
      </c>
      <c r="O10" s="7" t="s">
        <v>7</v>
      </c>
      <c r="P10" s="7" t="s">
        <v>9</v>
      </c>
      <c r="Q10" s="7" t="s">
        <v>10</v>
      </c>
      <c r="R10" s="7" t="s">
        <v>12</v>
      </c>
    </row>
    <row r="11" spans="1:18" x14ac:dyDescent="0.3">
      <c r="A11" s="8" t="s">
        <v>35</v>
      </c>
      <c r="B11" s="9" t="s">
        <v>344</v>
      </c>
      <c r="C11" s="9" t="s">
        <v>16</v>
      </c>
      <c r="D11" s="9" t="s">
        <v>34</v>
      </c>
      <c r="E11" s="9" t="s">
        <v>616</v>
      </c>
      <c r="F11" s="9" t="s">
        <v>617</v>
      </c>
      <c r="G11" s="9" t="s">
        <v>621</v>
      </c>
      <c r="H11" s="10">
        <v>0</v>
      </c>
      <c r="I11" s="10">
        <v>4772973</v>
      </c>
      <c r="J11" s="10">
        <f t="shared" si="0"/>
        <v>5918486.5200000005</v>
      </c>
      <c r="K11" s="11">
        <f t="shared" si="1"/>
        <v>0</v>
      </c>
      <c r="N11" s="9" t="s">
        <v>22</v>
      </c>
      <c r="O11" s="10">
        <f t="shared" ref="O11:Q26" si="3">SUMIF($D:$D,$N11,H:H)</f>
        <v>142146851</v>
      </c>
      <c r="P11" s="10">
        <f t="shared" si="3"/>
        <v>41878377</v>
      </c>
      <c r="Q11" s="10">
        <f t="shared" si="3"/>
        <v>51929187.479999997</v>
      </c>
      <c r="R11" s="11">
        <f t="shared" ref="R11:R27" si="4">IFERROR((Q11-O11)/O11,0)</f>
        <v>-0.6346792973978721</v>
      </c>
    </row>
    <row r="12" spans="1:18" x14ac:dyDescent="0.3">
      <c r="A12" s="8" t="s">
        <v>29</v>
      </c>
      <c r="B12" s="9" t="s">
        <v>341</v>
      </c>
      <c r="C12" s="9" t="s">
        <v>16</v>
      </c>
      <c r="D12" s="9" t="s">
        <v>34</v>
      </c>
      <c r="E12" s="9" t="s">
        <v>616</v>
      </c>
      <c r="F12" s="9" t="s">
        <v>617</v>
      </c>
      <c r="G12" s="9" t="s">
        <v>621</v>
      </c>
      <c r="H12" s="10">
        <v>1800901</v>
      </c>
      <c r="I12" s="10">
        <v>0</v>
      </c>
      <c r="J12" s="10">
        <f t="shared" si="0"/>
        <v>0</v>
      </c>
      <c r="K12" s="11">
        <f t="shared" si="1"/>
        <v>-1</v>
      </c>
      <c r="N12" s="9" t="s">
        <v>44</v>
      </c>
      <c r="O12" s="10">
        <f t="shared" si="3"/>
        <v>66242342</v>
      </c>
      <c r="P12" s="10">
        <f t="shared" si="3"/>
        <v>57952249</v>
      </c>
      <c r="Q12" s="10">
        <f t="shared" si="3"/>
        <v>71860788.760000005</v>
      </c>
      <c r="R12" s="11">
        <f t="shared" si="4"/>
        <v>8.4816547699959124E-2</v>
      </c>
    </row>
    <row r="13" spans="1:18" x14ac:dyDescent="0.3">
      <c r="A13" s="8" t="s">
        <v>48</v>
      </c>
      <c r="B13" s="9" t="s">
        <v>352</v>
      </c>
      <c r="C13" s="9" t="s">
        <v>16</v>
      </c>
      <c r="D13" s="9" t="s">
        <v>42</v>
      </c>
      <c r="E13" s="9" t="s">
        <v>616</v>
      </c>
      <c r="F13" s="9" t="s">
        <v>617</v>
      </c>
      <c r="G13" s="9" t="s">
        <v>618</v>
      </c>
      <c r="H13" s="10">
        <v>34402702</v>
      </c>
      <c r="I13" s="10">
        <v>17921621</v>
      </c>
      <c r="J13" s="10">
        <f t="shared" si="0"/>
        <v>22222810.039999999</v>
      </c>
      <c r="K13" s="11">
        <f t="shared" si="1"/>
        <v>-0.35403881823003325</v>
      </c>
      <c r="N13" s="9" t="s">
        <v>42</v>
      </c>
      <c r="O13" s="10">
        <f t="shared" si="3"/>
        <v>74747744</v>
      </c>
      <c r="P13" s="10">
        <f t="shared" si="3"/>
        <v>51063061</v>
      </c>
      <c r="Q13" s="10">
        <f t="shared" si="3"/>
        <v>63318195.640000001</v>
      </c>
      <c r="R13" s="11">
        <f t="shared" si="4"/>
        <v>-0.1529082718536629</v>
      </c>
    </row>
    <row r="14" spans="1:18" x14ac:dyDescent="0.3">
      <c r="A14" s="8" t="s">
        <v>52</v>
      </c>
      <c r="B14" s="9" t="s">
        <v>356</v>
      </c>
      <c r="C14" s="9" t="s">
        <v>16</v>
      </c>
      <c r="D14" s="9" t="s">
        <v>40</v>
      </c>
      <c r="E14" s="9" t="s">
        <v>616</v>
      </c>
      <c r="F14" s="9" t="s">
        <v>617</v>
      </c>
      <c r="G14" s="9" t="s">
        <v>623</v>
      </c>
      <c r="H14" s="10">
        <v>14361262</v>
      </c>
      <c r="I14" s="10">
        <v>4547747</v>
      </c>
      <c r="J14" s="10">
        <f t="shared" si="0"/>
        <v>5639206.2800000003</v>
      </c>
      <c r="K14" s="11">
        <f t="shared" si="1"/>
        <v>-0.60733212164780492</v>
      </c>
      <c r="N14" s="9" t="s">
        <v>36</v>
      </c>
      <c r="O14" s="10">
        <f t="shared" si="3"/>
        <v>73757658</v>
      </c>
      <c r="P14" s="10">
        <f t="shared" si="3"/>
        <v>123586491</v>
      </c>
      <c r="Q14" s="10">
        <f t="shared" si="3"/>
        <v>153247248.84</v>
      </c>
      <c r="R14" s="11">
        <f t="shared" si="4"/>
        <v>1.0777130537414841</v>
      </c>
    </row>
    <row r="15" spans="1:18" x14ac:dyDescent="0.3">
      <c r="A15" s="8" t="s">
        <v>55</v>
      </c>
      <c r="B15" s="9" t="s">
        <v>359</v>
      </c>
      <c r="C15" s="9" t="s">
        <v>16</v>
      </c>
      <c r="D15" s="9" t="s">
        <v>40</v>
      </c>
      <c r="E15" s="9" t="s">
        <v>616</v>
      </c>
      <c r="F15" s="9" t="s">
        <v>617</v>
      </c>
      <c r="G15" s="9" t="s">
        <v>623</v>
      </c>
      <c r="H15" s="10">
        <v>13058559</v>
      </c>
      <c r="I15" s="10">
        <v>17021620</v>
      </c>
      <c r="J15" s="10">
        <f t="shared" si="0"/>
        <v>21106808.800000001</v>
      </c>
      <c r="K15" s="11">
        <f t="shared" si="1"/>
        <v>0.61631990175945151</v>
      </c>
      <c r="N15" s="9" t="s">
        <v>32</v>
      </c>
      <c r="O15" s="10">
        <f t="shared" si="3"/>
        <v>83076577</v>
      </c>
      <c r="P15" s="10">
        <f t="shared" si="3"/>
        <v>95736034</v>
      </c>
      <c r="Q15" s="10">
        <f t="shared" si="3"/>
        <v>118712682.16000001</v>
      </c>
      <c r="R15" s="11">
        <f t="shared" si="4"/>
        <v>0.42895490458158875</v>
      </c>
    </row>
    <row r="16" spans="1:18" x14ac:dyDescent="0.3">
      <c r="A16" s="8" t="s">
        <v>43</v>
      </c>
      <c r="B16" s="9" t="s">
        <v>348</v>
      </c>
      <c r="C16" s="9" t="s">
        <v>16</v>
      </c>
      <c r="D16" s="9" t="s">
        <v>40</v>
      </c>
      <c r="E16" s="9" t="s">
        <v>616</v>
      </c>
      <c r="F16" s="9" t="s">
        <v>617</v>
      </c>
      <c r="G16" s="9" t="s">
        <v>623</v>
      </c>
      <c r="H16" s="10">
        <v>13913513</v>
      </c>
      <c r="I16" s="10">
        <v>14499999</v>
      </c>
      <c r="J16" s="10">
        <f t="shared" si="0"/>
        <v>17979998.759999998</v>
      </c>
      <c r="K16" s="11">
        <f t="shared" si="1"/>
        <v>0.29226880084131146</v>
      </c>
      <c r="N16" s="9" t="s">
        <v>26</v>
      </c>
      <c r="O16" s="10">
        <f t="shared" si="3"/>
        <v>80194592</v>
      </c>
      <c r="P16" s="10">
        <f t="shared" si="3"/>
        <v>38273871</v>
      </c>
      <c r="Q16" s="10">
        <f t="shared" si="3"/>
        <v>47459600.039999992</v>
      </c>
      <c r="R16" s="11">
        <f t="shared" si="4"/>
        <v>-0.40819450718073369</v>
      </c>
    </row>
    <row r="17" spans="1:18" x14ac:dyDescent="0.3">
      <c r="A17" s="8" t="s">
        <v>47</v>
      </c>
      <c r="B17" s="9" t="s">
        <v>351</v>
      </c>
      <c r="C17" s="9" t="s">
        <v>16</v>
      </c>
      <c r="D17" s="9" t="s">
        <v>40</v>
      </c>
      <c r="E17" s="9" t="s">
        <v>616</v>
      </c>
      <c r="F17" s="9" t="s">
        <v>617</v>
      </c>
      <c r="G17" s="9" t="s">
        <v>623</v>
      </c>
      <c r="H17" s="10">
        <v>25036937</v>
      </c>
      <c r="I17" s="10">
        <v>15647747</v>
      </c>
      <c r="J17" s="10">
        <f t="shared" si="0"/>
        <v>19403206.280000001</v>
      </c>
      <c r="K17" s="11">
        <f t="shared" si="1"/>
        <v>-0.22501677102115161</v>
      </c>
      <c r="N17" s="9" t="s">
        <v>30</v>
      </c>
      <c r="O17" s="10">
        <f t="shared" si="3"/>
        <v>111081982</v>
      </c>
      <c r="P17" s="10">
        <f t="shared" si="3"/>
        <v>58537833</v>
      </c>
      <c r="Q17" s="10">
        <f t="shared" si="3"/>
        <v>72586912.920000002</v>
      </c>
      <c r="R17" s="11">
        <f t="shared" si="4"/>
        <v>-0.34654647303646419</v>
      </c>
    </row>
    <row r="18" spans="1:18" x14ac:dyDescent="0.3">
      <c r="A18" s="8" t="s">
        <v>195</v>
      </c>
      <c r="B18" s="9" t="s">
        <v>485</v>
      </c>
      <c r="C18" s="9" t="s">
        <v>120</v>
      </c>
      <c r="D18" s="9" t="s">
        <v>135</v>
      </c>
      <c r="E18" s="9" t="s">
        <v>627</v>
      </c>
      <c r="F18" s="9" t="s">
        <v>617</v>
      </c>
      <c r="G18" s="9" t="s">
        <v>623</v>
      </c>
      <c r="H18" s="10">
        <v>0</v>
      </c>
      <c r="I18" s="10">
        <v>0</v>
      </c>
      <c r="J18" s="10">
        <f t="shared" si="0"/>
        <v>0</v>
      </c>
      <c r="K18" s="11">
        <f t="shared" si="1"/>
        <v>0</v>
      </c>
      <c r="N18" s="9" t="s">
        <v>28</v>
      </c>
      <c r="O18" s="10">
        <f t="shared" si="3"/>
        <v>103779281</v>
      </c>
      <c r="P18" s="10">
        <f t="shared" si="3"/>
        <v>36925224</v>
      </c>
      <c r="Q18" s="10">
        <f t="shared" si="3"/>
        <v>45787277.75999999</v>
      </c>
      <c r="R18" s="11">
        <f t="shared" si="4"/>
        <v>-0.55880135881843318</v>
      </c>
    </row>
    <row r="19" spans="1:18" x14ac:dyDescent="0.3">
      <c r="A19" s="8" t="s">
        <v>174</v>
      </c>
      <c r="B19" s="9" t="s">
        <v>464</v>
      </c>
      <c r="C19" s="9" t="s">
        <v>120</v>
      </c>
      <c r="D19" s="9" t="s">
        <v>139</v>
      </c>
      <c r="E19" s="9" t="s">
        <v>626</v>
      </c>
      <c r="F19" s="9" t="s">
        <v>617</v>
      </c>
      <c r="G19" s="9" t="s">
        <v>623</v>
      </c>
      <c r="H19" s="10">
        <v>91821621</v>
      </c>
      <c r="I19" s="10">
        <v>77996393</v>
      </c>
      <c r="J19" s="10">
        <f t="shared" si="0"/>
        <v>96715527.320000008</v>
      </c>
      <c r="K19" s="11">
        <f t="shared" si="1"/>
        <v>5.3297973469669066E-2</v>
      </c>
      <c r="N19" s="9" t="s">
        <v>40</v>
      </c>
      <c r="O19" s="10">
        <f t="shared" si="3"/>
        <v>144542341</v>
      </c>
      <c r="P19" s="10">
        <f t="shared" si="3"/>
        <v>117012609</v>
      </c>
      <c r="Q19" s="10">
        <f t="shared" si="3"/>
        <v>145095635.16000003</v>
      </c>
      <c r="R19" s="11">
        <f t="shared" si="4"/>
        <v>3.8279036867129904E-3</v>
      </c>
    </row>
    <row r="20" spans="1:18" x14ac:dyDescent="0.3">
      <c r="A20" s="8" t="s">
        <v>123</v>
      </c>
      <c r="B20" s="9" t="s">
        <v>421</v>
      </c>
      <c r="C20" s="9" t="s">
        <v>14</v>
      </c>
      <c r="D20" s="9" t="s">
        <v>30</v>
      </c>
      <c r="E20" s="9" t="s">
        <v>616</v>
      </c>
      <c r="F20" s="9" t="s">
        <v>617</v>
      </c>
      <c r="G20" s="9" t="s">
        <v>620</v>
      </c>
      <c r="H20" s="10">
        <v>3152252</v>
      </c>
      <c r="I20" s="10">
        <v>0</v>
      </c>
      <c r="J20" s="10">
        <f t="shared" si="0"/>
        <v>0</v>
      </c>
      <c r="K20" s="11">
        <f t="shared" si="1"/>
        <v>-1</v>
      </c>
      <c r="N20" s="9" t="s">
        <v>34</v>
      </c>
      <c r="O20" s="10">
        <f t="shared" si="3"/>
        <v>91764864</v>
      </c>
      <c r="P20" s="10">
        <f t="shared" si="3"/>
        <v>29267565</v>
      </c>
      <c r="Q20" s="10">
        <f t="shared" si="3"/>
        <v>36291780.600000001</v>
      </c>
      <c r="R20" s="11">
        <f t="shared" si="4"/>
        <v>-0.60451332876164887</v>
      </c>
    </row>
    <row r="21" spans="1:18" x14ac:dyDescent="0.3">
      <c r="A21" s="8" t="s">
        <v>54</v>
      </c>
      <c r="B21" s="9" t="s">
        <v>358</v>
      </c>
      <c r="C21" s="9" t="s">
        <v>14</v>
      </c>
      <c r="D21" s="9" t="s">
        <v>30</v>
      </c>
      <c r="E21" s="9" t="s">
        <v>616</v>
      </c>
      <c r="F21" s="9" t="s">
        <v>617</v>
      </c>
      <c r="G21" s="9" t="s">
        <v>620</v>
      </c>
      <c r="H21" s="10">
        <v>11347748</v>
      </c>
      <c r="I21" s="10">
        <v>5223423</v>
      </c>
      <c r="J21" s="10">
        <f t="shared" si="0"/>
        <v>6477044.5200000005</v>
      </c>
      <c r="K21" s="11">
        <f t="shared" si="1"/>
        <v>-0.42922203418687122</v>
      </c>
      <c r="N21" s="9" t="s">
        <v>24</v>
      </c>
      <c r="O21" s="10">
        <f t="shared" si="3"/>
        <v>65289191</v>
      </c>
      <c r="P21" s="10">
        <f t="shared" si="3"/>
        <v>93927025</v>
      </c>
      <c r="Q21" s="10">
        <f t="shared" si="3"/>
        <v>116469511.00000001</v>
      </c>
      <c r="R21" s="11">
        <f t="shared" si="4"/>
        <v>0.78390188660784621</v>
      </c>
    </row>
    <row r="22" spans="1:18" x14ac:dyDescent="0.3">
      <c r="A22" s="8" t="s">
        <v>122</v>
      </c>
      <c r="B22" s="9" t="s">
        <v>420</v>
      </c>
      <c r="C22" s="9" t="s">
        <v>14</v>
      </c>
      <c r="D22" s="9" t="s">
        <v>30</v>
      </c>
      <c r="E22" s="9" t="s">
        <v>616</v>
      </c>
      <c r="F22" s="9" t="s">
        <v>617</v>
      </c>
      <c r="G22" s="9" t="s">
        <v>620</v>
      </c>
      <c r="H22" s="10">
        <v>3962162</v>
      </c>
      <c r="I22" s="10">
        <v>2071171</v>
      </c>
      <c r="J22" s="10">
        <f t="shared" si="0"/>
        <v>2568252.04</v>
      </c>
      <c r="K22" s="11">
        <f t="shared" si="1"/>
        <v>-0.35180539311618253</v>
      </c>
      <c r="N22" s="9" t="s">
        <v>38</v>
      </c>
      <c r="O22" s="10">
        <f t="shared" si="3"/>
        <v>43319820</v>
      </c>
      <c r="P22" s="10">
        <f t="shared" si="3"/>
        <v>69885583</v>
      </c>
      <c r="Q22" s="10">
        <f t="shared" si="3"/>
        <v>86658122.919999987</v>
      </c>
      <c r="R22" s="11">
        <f t="shared" si="4"/>
        <v>1.0004266619759727</v>
      </c>
    </row>
    <row r="23" spans="1:18" x14ac:dyDescent="0.3">
      <c r="A23" s="8" t="s">
        <v>256</v>
      </c>
      <c r="B23" s="9" t="s">
        <v>545</v>
      </c>
      <c r="C23" s="9" t="s">
        <v>14</v>
      </c>
      <c r="D23" s="9" t="s">
        <v>30</v>
      </c>
      <c r="E23" s="9" t="s">
        <v>631</v>
      </c>
      <c r="F23" s="9" t="s">
        <v>617</v>
      </c>
      <c r="G23" s="9" t="s">
        <v>620</v>
      </c>
      <c r="H23" s="10">
        <v>0</v>
      </c>
      <c r="I23" s="10">
        <v>0</v>
      </c>
      <c r="J23" s="10">
        <f t="shared" si="0"/>
        <v>0</v>
      </c>
      <c r="K23" s="11">
        <f t="shared" si="1"/>
        <v>0</v>
      </c>
      <c r="N23" s="9" t="s">
        <v>135</v>
      </c>
      <c r="O23" s="10">
        <f t="shared" si="3"/>
        <v>0</v>
      </c>
      <c r="P23" s="10">
        <f t="shared" si="3"/>
        <v>3963063</v>
      </c>
      <c r="Q23" s="10">
        <f t="shared" si="3"/>
        <v>4914198.12</v>
      </c>
      <c r="R23" s="11">
        <f t="shared" si="4"/>
        <v>0</v>
      </c>
    </row>
    <row r="24" spans="1:18" x14ac:dyDescent="0.3">
      <c r="A24" s="8" t="s">
        <v>191</v>
      </c>
      <c r="B24" s="9" t="s">
        <v>481</v>
      </c>
      <c r="C24" s="9" t="s">
        <v>120</v>
      </c>
      <c r="D24" s="9" t="s">
        <v>137</v>
      </c>
      <c r="E24" s="9" t="s">
        <v>627</v>
      </c>
      <c r="F24" s="9" t="s">
        <v>617</v>
      </c>
      <c r="G24" s="9" t="s">
        <v>620</v>
      </c>
      <c r="H24" s="10">
        <v>0</v>
      </c>
      <c r="I24" s="10">
        <v>0</v>
      </c>
      <c r="J24" s="10">
        <f t="shared" si="0"/>
        <v>0</v>
      </c>
      <c r="K24" s="11">
        <f t="shared" si="1"/>
        <v>0</v>
      </c>
      <c r="N24" s="9" t="s">
        <v>137</v>
      </c>
      <c r="O24" s="10">
        <f t="shared" si="3"/>
        <v>0</v>
      </c>
      <c r="P24" s="10">
        <f t="shared" si="3"/>
        <v>0</v>
      </c>
      <c r="Q24" s="10">
        <f t="shared" si="3"/>
        <v>0</v>
      </c>
      <c r="R24" s="11">
        <f t="shared" si="4"/>
        <v>0</v>
      </c>
    </row>
    <row r="25" spans="1:18" x14ac:dyDescent="0.3">
      <c r="A25" s="8" t="s">
        <v>194</v>
      </c>
      <c r="B25" s="9" t="s">
        <v>484</v>
      </c>
      <c r="C25" s="9" t="s">
        <v>120</v>
      </c>
      <c r="D25" s="9" t="s">
        <v>137</v>
      </c>
      <c r="E25" s="9" t="s">
        <v>627</v>
      </c>
      <c r="F25" s="9" t="s">
        <v>617</v>
      </c>
      <c r="G25" s="9" t="s">
        <v>620</v>
      </c>
      <c r="H25" s="10">
        <v>0</v>
      </c>
      <c r="I25" s="10">
        <v>0</v>
      </c>
      <c r="J25" s="10">
        <f t="shared" si="0"/>
        <v>0</v>
      </c>
      <c r="K25" s="11">
        <f t="shared" si="1"/>
        <v>0</v>
      </c>
      <c r="N25" s="9" t="s">
        <v>139</v>
      </c>
      <c r="O25" s="10">
        <f t="shared" si="3"/>
        <v>1386345039</v>
      </c>
      <c r="P25" s="10">
        <f t="shared" si="3"/>
        <v>858879258</v>
      </c>
      <c r="Q25" s="10">
        <f t="shared" si="3"/>
        <v>1065010279.9200002</v>
      </c>
      <c r="R25" s="11">
        <f t="shared" si="4"/>
        <v>-0.23178555845793292</v>
      </c>
    </row>
    <row r="26" spans="1:18" x14ac:dyDescent="0.3">
      <c r="A26" s="8" t="s">
        <v>15</v>
      </c>
      <c r="B26" s="9" t="s">
        <v>333</v>
      </c>
      <c r="C26" s="9" t="s">
        <v>14</v>
      </c>
      <c r="D26" s="9" t="s">
        <v>24</v>
      </c>
      <c r="E26" s="9" t="s">
        <v>616</v>
      </c>
      <c r="F26" s="9" t="s">
        <v>617</v>
      </c>
      <c r="G26" s="9" t="s">
        <v>619</v>
      </c>
      <c r="H26" s="10">
        <v>4547748</v>
      </c>
      <c r="I26" s="10">
        <v>12066667</v>
      </c>
      <c r="J26" s="10">
        <f t="shared" si="0"/>
        <v>14962667.08</v>
      </c>
      <c r="K26" s="11">
        <f t="shared" si="1"/>
        <v>2.2901266912766496</v>
      </c>
      <c r="N26" s="9" t="s">
        <v>129</v>
      </c>
      <c r="O26" s="10">
        <f t="shared" si="3"/>
        <v>86927025</v>
      </c>
      <c r="P26" s="10">
        <f t="shared" si="3"/>
        <v>29722523</v>
      </c>
      <c r="Q26" s="10">
        <f t="shared" si="3"/>
        <v>36855928.520000003</v>
      </c>
      <c r="R26" s="11">
        <f t="shared" si="4"/>
        <v>-0.57601300032987435</v>
      </c>
    </row>
    <row r="27" spans="1:18" x14ac:dyDescent="0.3">
      <c r="A27" s="8" t="s">
        <v>17</v>
      </c>
      <c r="B27" s="9" t="s">
        <v>334</v>
      </c>
      <c r="C27" s="9" t="s">
        <v>14</v>
      </c>
      <c r="D27" s="9" t="s">
        <v>24</v>
      </c>
      <c r="E27" s="9" t="s">
        <v>616</v>
      </c>
      <c r="F27" s="9" t="s">
        <v>617</v>
      </c>
      <c r="G27" s="9" t="s">
        <v>619</v>
      </c>
      <c r="H27" s="10">
        <v>11798198</v>
      </c>
      <c r="I27" s="10">
        <v>12337837</v>
      </c>
      <c r="J27" s="10">
        <f t="shared" si="0"/>
        <v>15298917.879999999</v>
      </c>
      <c r="K27" s="11">
        <f t="shared" si="1"/>
        <v>0.29671648839933007</v>
      </c>
      <c r="N27" s="4" t="s">
        <v>18</v>
      </c>
      <c r="O27" s="12">
        <f>SUM(O11:O26)</f>
        <v>2553215307</v>
      </c>
      <c r="P27" s="12">
        <f>SUM(P11:P26)</f>
        <v>1706610766</v>
      </c>
      <c r="Q27" s="12">
        <f>SUM(Q11:Q26)</f>
        <v>2116197349.8400002</v>
      </c>
      <c r="R27" s="14">
        <f t="shared" si="4"/>
        <v>-0.17116376984026904</v>
      </c>
    </row>
    <row r="28" spans="1:18" x14ac:dyDescent="0.3">
      <c r="A28" s="8" t="s">
        <v>27</v>
      </c>
      <c r="B28" s="9" t="s">
        <v>340</v>
      </c>
      <c r="C28" s="9" t="s">
        <v>14</v>
      </c>
      <c r="D28" s="9" t="s">
        <v>24</v>
      </c>
      <c r="E28" s="9" t="s">
        <v>616</v>
      </c>
      <c r="F28" s="9" t="s">
        <v>617</v>
      </c>
      <c r="G28" s="9" t="s">
        <v>619</v>
      </c>
      <c r="H28" s="10">
        <v>7700000</v>
      </c>
      <c r="I28" s="10">
        <v>3601802</v>
      </c>
      <c r="J28" s="10">
        <f t="shared" si="0"/>
        <v>4466234.4799999995</v>
      </c>
      <c r="K28" s="11">
        <f t="shared" si="1"/>
        <v>-0.41996954805194814</v>
      </c>
    </row>
    <row r="29" spans="1:18" x14ac:dyDescent="0.3">
      <c r="A29" s="8" t="s">
        <v>258</v>
      </c>
      <c r="B29" s="9" t="s">
        <v>547</v>
      </c>
      <c r="C29" s="9" t="s">
        <v>14</v>
      </c>
      <c r="D29" s="9" t="s">
        <v>24</v>
      </c>
      <c r="E29" s="9" t="s">
        <v>630</v>
      </c>
      <c r="F29" s="9" t="s">
        <v>617</v>
      </c>
      <c r="G29" s="9" t="s">
        <v>619</v>
      </c>
      <c r="H29" s="10">
        <v>0</v>
      </c>
      <c r="I29" s="10">
        <v>0</v>
      </c>
      <c r="J29" s="10">
        <f t="shared" si="0"/>
        <v>0</v>
      </c>
      <c r="K29" s="11">
        <f t="shared" si="1"/>
        <v>0</v>
      </c>
    </row>
    <row r="30" spans="1:18" x14ac:dyDescent="0.3">
      <c r="A30" s="8" t="s">
        <v>19</v>
      </c>
      <c r="B30" s="9" t="s">
        <v>335</v>
      </c>
      <c r="C30" s="9" t="s">
        <v>14</v>
      </c>
      <c r="D30" s="9" t="s">
        <v>26</v>
      </c>
      <c r="E30" s="9" t="s">
        <v>616</v>
      </c>
      <c r="F30" s="9" t="s">
        <v>617</v>
      </c>
      <c r="G30" s="9" t="s">
        <v>619</v>
      </c>
      <c r="H30" s="10">
        <v>5133333</v>
      </c>
      <c r="I30" s="10">
        <v>2071171</v>
      </c>
      <c r="J30" s="10">
        <f t="shared" si="0"/>
        <v>2568252.04</v>
      </c>
      <c r="K30" s="11">
        <f t="shared" si="1"/>
        <v>-0.49969112855137199</v>
      </c>
    </row>
    <row r="31" spans="1:18" x14ac:dyDescent="0.3">
      <c r="A31" s="8" t="s">
        <v>25</v>
      </c>
      <c r="B31" s="9" t="s">
        <v>339</v>
      </c>
      <c r="C31" s="9" t="s">
        <v>14</v>
      </c>
      <c r="D31" s="9" t="s">
        <v>26</v>
      </c>
      <c r="E31" s="9" t="s">
        <v>616</v>
      </c>
      <c r="F31" s="9" t="s">
        <v>617</v>
      </c>
      <c r="G31" s="9" t="s">
        <v>619</v>
      </c>
      <c r="H31" s="10">
        <v>30752251</v>
      </c>
      <c r="I31" s="10">
        <v>17020719</v>
      </c>
      <c r="J31" s="10">
        <f t="shared" si="0"/>
        <v>21105691.559999999</v>
      </c>
      <c r="K31" s="11">
        <f t="shared" si="1"/>
        <v>-0.313686287224958</v>
      </c>
    </row>
    <row r="32" spans="1:18" x14ac:dyDescent="0.3">
      <c r="A32" s="8" t="s">
        <v>41</v>
      </c>
      <c r="B32" s="9" t="s">
        <v>347</v>
      </c>
      <c r="C32" s="9" t="s">
        <v>14</v>
      </c>
      <c r="D32" s="9" t="s">
        <v>32</v>
      </c>
      <c r="E32" s="9" t="s">
        <v>616</v>
      </c>
      <c r="F32" s="9" t="s">
        <v>617</v>
      </c>
      <c r="G32" s="9" t="s">
        <v>619</v>
      </c>
      <c r="H32" s="10">
        <v>9500901</v>
      </c>
      <c r="I32" s="10">
        <v>26388287</v>
      </c>
      <c r="J32" s="10">
        <f t="shared" si="0"/>
        <v>32721475.879999999</v>
      </c>
      <c r="K32" s="11">
        <f t="shared" si="1"/>
        <v>2.4440392421729262</v>
      </c>
    </row>
    <row r="33" spans="1:18" x14ac:dyDescent="0.3">
      <c r="A33" s="8" t="s">
        <v>119</v>
      </c>
      <c r="B33" s="9" t="s">
        <v>418</v>
      </c>
      <c r="C33" s="9" t="s">
        <v>14</v>
      </c>
      <c r="D33" s="9" t="s">
        <v>32</v>
      </c>
      <c r="E33" s="9" t="s">
        <v>616</v>
      </c>
      <c r="F33" s="9" t="s">
        <v>617</v>
      </c>
      <c r="G33" s="9" t="s">
        <v>619</v>
      </c>
      <c r="H33" s="10">
        <v>6664865</v>
      </c>
      <c r="I33" s="10">
        <v>3152252</v>
      </c>
      <c r="J33" s="10">
        <f t="shared" si="0"/>
        <v>3908792.48</v>
      </c>
      <c r="K33" s="11">
        <f t="shared" si="1"/>
        <v>-0.41352263249143079</v>
      </c>
      <c r="R33" s="15"/>
    </row>
    <row r="34" spans="1:18" x14ac:dyDescent="0.3">
      <c r="A34" s="8" t="s">
        <v>257</v>
      </c>
      <c r="B34" s="9" t="s">
        <v>546</v>
      </c>
      <c r="C34" s="9" t="s">
        <v>14</v>
      </c>
      <c r="D34" s="9" t="s">
        <v>32</v>
      </c>
      <c r="E34" s="9" t="s">
        <v>630</v>
      </c>
      <c r="F34" s="9" t="s">
        <v>617</v>
      </c>
      <c r="G34" s="9" t="s">
        <v>619</v>
      </c>
      <c r="H34" s="10">
        <v>0</v>
      </c>
      <c r="I34" s="10">
        <v>0</v>
      </c>
      <c r="J34" s="10">
        <f t="shared" si="0"/>
        <v>0</v>
      </c>
      <c r="K34" s="11">
        <f t="shared" si="1"/>
        <v>0</v>
      </c>
    </row>
    <row r="35" spans="1:18" x14ac:dyDescent="0.3">
      <c r="A35" s="8" t="s">
        <v>185</v>
      </c>
      <c r="B35" s="9" t="s">
        <v>475</v>
      </c>
      <c r="C35" s="9" t="s">
        <v>120</v>
      </c>
      <c r="D35" s="9" t="s">
        <v>137</v>
      </c>
      <c r="E35" s="9" t="s">
        <v>627</v>
      </c>
      <c r="F35" s="9" t="s">
        <v>617</v>
      </c>
      <c r="G35" s="9" t="s">
        <v>619</v>
      </c>
      <c r="H35" s="10">
        <v>0</v>
      </c>
      <c r="I35" s="10">
        <v>0</v>
      </c>
      <c r="J35" s="10">
        <f t="shared" si="0"/>
        <v>0</v>
      </c>
      <c r="K35" s="11">
        <f t="shared" si="1"/>
        <v>0</v>
      </c>
    </row>
    <row r="36" spans="1:18" x14ac:dyDescent="0.3">
      <c r="A36" s="8" t="s">
        <v>175</v>
      </c>
      <c r="B36" s="9" t="s">
        <v>465</v>
      </c>
      <c r="C36" s="9" t="s">
        <v>120</v>
      </c>
      <c r="D36" s="9" t="s">
        <v>139</v>
      </c>
      <c r="E36" s="9" t="s">
        <v>626</v>
      </c>
      <c r="F36" s="9" t="s">
        <v>617</v>
      </c>
      <c r="G36" s="9" t="s">
        <v>619</v>
      </c>
      <c r="H36" s="10">
        <v>62191891</v>
      </c>
      <c r="I36" s="10">
        <v>76378377</v>
      </c>
      <c r="J36" s="10">
        <f t="shared" si="0"/>
        <v>94709187.480000004</v>
      </c>
      <c r="K36" s="11">
        <f t="shared" si="1"/>
        <v>0.52285428143678736</v>
      </c>
    </row>
    <row r="37" spans="1:18" x14ac:dyDescent="0.3">
      <c r="A37" s="8" t="s">
        <v>260</v>
      </c>
      <c r="B37" s="9" t="s">
        <v>549</v>
      </c>
      <c r="C37" s="9" t="s">
        <v>14</v>
      </c>
      <c r="D37" s="9" t="s">
        <v>32</v>
      </c>
      <c r="E37" s="9" t="s">
        <v>630</v>
      </c>
      <c r="F37" s="9" t="s">
        <v>617</v>
      </c>
      <c r="G37" s="9" t="s">
        <v>619</v>
      </c>
      <c r="H37" s="10">
        <v>1981081</v>
      </c>
      <c r="I37" s="10">
        <v>1800901</v>
      </c>
      <c r="J37" s="10">
        <f t="shared" si="0"/>
        <v>2233117.2399999998</v>
      </c>
      <c r="K37" s="11">
        <f t="shared" si="1"/>
        <v>0.12722157246472998</v>
      </c>
    </row>
    <row r="38" spans="1:18" x14ac:dyDescent="0.3">
      <c r="A38" s="8" t="s">
        <v>131</v>
      </c>
      <c r="B38" s="9" t="s">
        <v>427</v>
      </c>
      <c r="C38" s="9" t="s">
        <v>16</v>
      </c>
      <c r="D38" s="9" t="s">
        <v>36</v>
      </c>
      <c r="E38" s="9" t="s">
        <v>616</v>
      </c>
      <c r="F38" s="9" t="s">
        <v>617</v>
      </c>
      <c r="G38" s="9" t="s">
        <v>622</v>
      </c>
      <c r="H38" s="10">
        <v>40751351</v>
      </c>
      <c r="I38" s="10">
        <v>70248651</v>
      </c>
      <c r="J38" s="10">
        <f t="shared" si="0"/>
        <v>87108327.239999995</v>
      </c>
      <c r="K38" s="11">
        <f t="shared" si="1"/>
        <v>1.1375567951109153</v>
      </c>
    </row>
    <row r="39" spans="1:18" x14ac:dyDescent="0.3">
      <c r="A39" s="8" t="s">
        <v>125</v>
      </c>
      <c r="B39" s="9" t="s">
        <v>423</v>
      </c>
      <c r="C39" s="9" t="s">
        <v>16</v>
      </c>
      <c r="D39" s="9" t="s">
        <v>36</v>
      </c>
      <c r="E39" s="9" t="s">
        <v>616</v>
      </c>
      <c r="F39" s="9" t="s">
        <v>617</v>
      </c>
      <c r="G39" s="9" t="s">
        <v>622</v>
      </c>
      <c r="H39" s="10">
        <v>3152252</v>
      </c>
      <c r="I39" s="10">
        <v>4142342</v>
      </c>
      <c r="J39" s="10">
        <f t="shared" si="0"/>
        <v>5136504.08</v>
      </c>
      <c r="K39" s="11">
        <f t="shared" si="1"/>
        <v>0.62947127323576924</v>
      </c>
    </row>
    <row r="40" spans="1:18" x14ac:dyDescent="0.3">
      <c r="A40" s="8" t="s">
        <v>58</v>
      </c>
      <c r="B40" s="9" t="s">
        <v>362</v>
      </c>
      <c r="C40" s="9" t="s">
        <v>16</v>
      </c>
      <c r="D40" s="9" t="s">
        <v>36</v>
      </c>
      <c r="E40" s="9" t="s">
        <v>616</v>
      </c>
      <c r="F40" s="9" t="s">
        <v>617</v>
      </c>
      <c r="G40" s="9" t="s">
        <v>622</v>
      </c>
      <c r="H40" s="10">
        <v>0</v>
      </c>
      <c r="I40" s="10">
        <v>0</v>
      </c>
      <c r="J40" s="10">
        <f t="shared" si="0"/>
        <v>0</v>
      </c>
      <c r="K40" s="11">
        <f t="shared" si="1"/>
        <v>0</v>
      </c>
    </row>
    <row r="41" spans="1:18" x14ac:dyDescent="0.3">
      <c r="A41" s="8" t="s">
        <v>37</v>
      </c>
      <c r="B41" s="9" t="s">
        <v>345</v>
      </c>
      <c r="C41" s="9" t="s">
        <v>16</v>
      </c>
      <c r="D41" s="9" t="s">
        <v>38</v>
      </c>
      <c r="E41" s="9" t="s">
        <v>616</v>
      </c>
      <c r="F41" s="9" t="s">
        <v>617</v>
      </c>
      <c r="G41" s="9" t="s">
        <v>621</v>
      </c>
      <c r="H41" s="10">
        <v>1800901</v>
      </c>
      <c r="I41" s="10">
        <v>18909910</v>
      </c>
      <c r="J41" s="10">
        <f t="shared" si="0"/>
        <v>23448288.400000002</v>
      </c>
      <c r="K41" s="11">
        <f t="shared" si="1"/>
        <v>12.020309500633296</v>
      </c>
    </row>
    <row r="42" spans="1:18" x14ac:dyDescent="0.3">
      <c r="A42" s="8" t="s">
        <v>193</v>
      </c>
      <c r="B42" s="9" t="s">
        <v>483</v>
      </c>
      <c r="C42" s="9" t="s">
        <v>120</v>
      </c>
      <c r="D42" s="9" t="s">
        <v>135</v>
      </c>
      <c r="E42" s="9" t="s">
        <v>627</v>
      </c>
      <c r="F42" s="9" t="s">
        <v>617</v>
      </c>
      <c r="G42" s="9" t="s">
        <v>621</v>
      </c>
      <c r="H42" s="10">
        <v>0</v>
      </c>
      <c r="I42" s="10">
        <v>0</v>
      </c>
      <c r="J42" s="10">
        <f t="shared" si="0"/>
        <v>0</v>
      </c>
      <c r="K42" s="11">
        <f t="shared" si="1"/>
        <v>0</v>
      </c>
    </row>
    <row r="43" spans="1:18" x14ac:dyDescent="0.3">
      <c r="A43" s="8" t="s">
        <v>180</v>
      </c>
      <c r="B43" s="9" t="s">
        <v>470</v>
      </c>
      <c r="C43" s="9" t="s">
        <v>120</v>
      </c>
      <c r="D43" s="9" t="s">
        <v>139</v>
      </c>
      <c r="E43" s="9" t="s">
        <v>626</v>
      </c>
      <c r="F43" s="9" t="s">
        <v>617</v>
      </c>
      <c r="G43" s="9" t="s">
        <v>621</v>
      </c>
      <c r="H43" s="10">
        <v>369942344</v>
      </c>
      <c r="I43" s="10">
        <v>131589186</v>
      </c>
      <c r="J43" s="10">
        <f t="shared" si="0"/>
        <v>163170590.64000002</v>
      </c>
      <c r="K43" s="11">
        <f t="shared" si="1"/>
        <v>-0.55892967299790908</v>
      </c>
    </row>
    <row r="44" spans="1:18" x14ac:dyDescent="0.3">
      <c r="A44" s="8" t="s">
        <v>124</v>
      </c>
      <c r="B44" s="9" t="s">
        <v>422</v>
      </c>
      <c r="C44" s="9" t="s">
        <v>16</v>
      </c>
      <c r="D44" s="9" t="s">
        <v>38</v>
      </c>
      <c r="E44" s="9" t="s">
        <v>616</v>
      </c>
      <c r="F44" s="9" t="s">
        <v>617</v>
      </c>
      <c r="G44" s="9" t="s">
        <v>621</v>
      </c>
      <c r="H44" s="10">
        <v>0</v>
      </c>
      <c r="I44" s="10">
        <v>0</v>
      </c>
      <c r="J44" s="10">
        <f t="shared" si="0"/>
        <v>0</v>
      </c>
      <c r="K44" s="11">
        <f t="shared" si="1"/>
        <v>0</v>
      </c>
    </row>
    <row r="45" spans="1:18" x14ac:dyDescent="0.3">
      <c r="A45" s="8" t="s">
        <v>39</v>
      </c>
      <c r="B45" s="9" t="s">
        <v>346</v>
      </c>
      <c r="C45" s="9" t="s">
        <v>16</v>
      </c>
      <c r="D45" s="9" t="s">
        <v>38</v>
      </c>
      <c r="E45" s="9" t="s">
        <v>616</v>
      </c>
      <c r="F45" s="9" t="s">
        <v>617</v>
      </c>
      <c r="G45" s="9" t="s">
        <v>621</v>
      </c>
      <c r="H45" s="10">
        <v>2341441</v>
      </c>
      <c r="I45" s="10">
        <v>11977476</v>
      </c>
      <c r="J45" s="10">
        <f t="shared" si="0"/>
        <v>14852070.24</v>
      </c>
      <c r="K45" s="11">
        <f t="shared" si="1"/>
        <v>5.3431323872777492</v>
      </c>
    </row>
    <row r="46" spans="1:18" x14ac:dyDescent="0.3">
      <c r="A46" s="8" t="s">
        <v>126</v>
      </c>
      <c r="B46" s="9" t="s">
        <v>424</v>
      </c>
      <c r="C46" s="9" t="s">
        <v>16</v>
      </c>
      <c r="D46" s="9" t="s">
        <v>36</v>
      </c>
      <c r="E46" s="9" t="s">
        <v>616</v>
      </c>
      <c r="F46" s="9" t="s">
        <v>617</v>
      </c>
      <c r="G46" s="9" t="s">
        <v>621</v>
      </c>
      <c r="H46" s="10">
        <v>2566667</v>
      </c>
      <c r="I46" s="10">
        <v>0</v>
      </c>
      <c r="J46" s="10">
        <f t="shared" si="0"/>
        <v>0</v>
      </c>
      <c r="K46" s="11">
        <f t="shared" si="1"/>
        <v>-1</v>
      </c>
    </row>
    <row r="47" spans="1:18" x14ac:dyDescent="0.3">
      <c r="A47" s="8" t="s">
        <v>261</v>
      </c>
      <c r="B47" s="9" t="s">
        <v>550</v>
      </c>
      <c r="C47" s="9" t="s">
        <v>16</v>
      </c>
      <c r="D47" s="9" t="s">
        <v>38</v>
      </c>
      <c r="E47" s="9" t="s">
        <v>630</v>
      </c>
      <c r="F47" s="9" t="s">
        <v>617</v>
      </c>
      <c r="G47" s="9" t="s">
        <v>621</v>
      </c>
      <c r="H47" s="10">
        <v>0</v>
      </c>
      <c r="I47" s="10">
        <v>0</v>
      </c>
      <c r="J47" s="10">
        <f t="shared" si="0"/>
        <v>0</v>
      </c>
      <c r="K47" s="11">
        <f t="shared" si="1"/>
        <v>0</v>
      </c>
    </row>
    <row r="48" spans="1:18" x14ac:dyDescent="0.3">
      <c r="A48" s="8" t="s">
        <v>189</v>
      </c>
      <c r="B48" s="9" t="s">
        <v>479</v>
      </c>
      <c r="C48" s="9" t="s">
        <v>120</v>
      </c>
      <c r="D48" s="9" t="s">
        <v>135</v>
      </c>
      <c r="E48" s="9" t="s">
        <v>627</v>
      </c>
      <c r="F48" s="9" t="s">
        <v>617</v>
      </c>
      <c r="G48" s="9" t="s">
        <v>621</v>
      </c>
      <c r="H48" s="10">
        <v>0</v>
      </c>
      <c r="I48" s="10">
        <v>0</v>
      </c>
      <c r="J48" s="10">
        <f t="shared" si="0"/>
        <v>0</v>
      </c>
      <c r="K48" s="11">
        <f t="shared" si="1"/>
        <v>0</v>
      </c>
    </row>
    <row r="49" spans="1:11" x14ac:dyDescent="0.3">
      <c r="A49" s="8" t="s">
        <v>172</v>
      </c>
      <c r="B49" s="9" t="s">
        <v>462</v>
      </c>
      <c r="C49" s="9" t="s">
        <v>120</v>
      </c>
      <c r="D49" s="9" t="s">
        <v>139</v>
      </c>
      <c r="E49" s="9" t="s">
        <v>626</v>
      </c>
      <c r="F49" s="9" t="s">
        <v>617</v>
      </c>
      <c r="G49" s="9" t="s">
        <v>621</v>
      </c>
      <c r="H49" s="10">
        <v>112946845</v>
      </c>
      <c r="I49" s="10">
        <v>90521621</v>
      </c>
      <c r="J49" s="10">
        <f t="shared" si="0"/>
        <v>112246810.03999999</v>
      </c>
      <c r="K49" s="11">
        <f t="shared" si="1"/>
        <v>-6.1979151343271996E-3</v>
      </c>
    </row>
    <row r="50" spans="1:11" x14ac:dyDescent="0.3">
      <c r="A50" s="8" t="s">
        <v>173</v>
      </c>
      <c r="B50" s="9" t="s">
        <v>463</v>
      </c>
      <c r="C50" s="9" t="s">
        <v>120</v>
      </c>
      <c r="D50" s="9" t="s">
        <v>139</v>
      </c>
      <c r="E50" s="9" t="s">
        <v>626</v>
      </c>
      <c r="F50" s="9" t="s">
        <v>617</v>
      </c>
      <c r="G50" s="9" t="s">
        <v>621</v>
      </c>
      <c r="H50" s="10">
        <v>156046844</v>
      </c>
      <c r="I50" s="10">
        <v>89798195</v>
      </c>
      <c r="J50" s="10">
        <f t="shared" si="0"/>
        <v>111349761.8</v>
      </c>
      <c r="K50" s="11">
        <f t="shared" si="1"/>
        <v>-0.28643374677926842</v>
      </c>
    </row>
    <row r="51" spans="1:11" x14ac:dyDescent="0.3">
      <c r="A51" s="8" t="s">
        <v>59</v>
      </c>
      <c r="B51" s="9" t="s">
        <v>363</v>
      </c>
      <c r="C51" s="9" t="s">
        <v>14</v>
      </c>
      <c r="D51" s="9" t="s">
        <v>30</v>
      </c>
      <c r="E51" s="9" t="s">
        <v>616</v>
      </c>
      <c r="F51" s="9" t="s">
        <v>617</v>
      </c>
      <c r="G51" s="9" t="s">
        <v>620</v>
      </c>
      <c r="H51" s="10">
        <v>1800901</v>
      </c>
      <c r="I51" s="10">
        <v>6304504</v>
      </c>
      <c r="J51" s="10">
        <f t="shared" si="0"/>
        <v>7817584.96</v>
      </c>
      <c r="K51" s="11">
        <f t="shared" si="1"/>
        <v>3.340929878988351</v>
      </c>
    </row>
    <row r="52" spans="1:11" x14ac:dyDescent="0.3">
      <c r="A52" s="8" t="s">
        <v>192</v>
      </c>
      <c r="B52" s="9" t="s">
        <v>482</v>
      </c>
      <c r="C52" s="9" t="s">
        <v>120</v>
      </c>
      <c r="D52" s="9" t="s">
        <v>137</v>
      </c>
      <c r="E52" s="9" t="s">
        <v>627</v>
      </c>
      <c r="F52" s="9" t="s">
        <v>617</v>
      </c>
      <c r="G52" s="9" t="s">
        <v>620</v>
      </c>
      <c r="H52" s="10">
        <v>0</v>
      </c>
      <c r="I52" s="10">
        <v>0</v>
      </c>
      <c r="J52" s="10">
        <f t="shared" si="0"/>
        <v>0</v>
      </c>
      <c r="K52" s="11">
        <f t="shared" si="1"/>
        <v>0</v>
      </c>
    </row>
    <row r="53" spans="1:11" x14ac:dyDescent="0.3">
      <c r="A53" s="8" t="s">
        <v>186</v>
      </c>
      <c r="B53" s="9" t="s">
        <v>476</v>
      </c>
      <c r="C53" s="9" t="s">
        <v>120</v>
      </c>
      <c r="D53" s="9" t="s">
        <v>137</v>
      </c>
      <c r="E53" s="9" t="s">
        <v>627</v>
      </c>
      <c r="F53" s="9" t="s">
        <v>617</v>
      </c>
      <c r="G53" s="9" t="s">
        <v>620</v>
      </c>
      <c r="H53" s="10">
        <v>0</v>
      </c>
      <c r="I53" s="10">
        <v>0</v>
      </c>
      <c r="J53" s="10">
        <f t="shared" si="0"/>
        <v>0</v>
      </c>
      <c r="K53" s="11">
        <f t="shared" si="1"/>
        <v>0</v>
      </c>
    </row>
    <row r="54" spans="1:11" x14ac:dyDescent="0.3">
      <c r="A54" s="8" t="s">
        <v>127</v>
      </c>
      <c r="B54" s="9" t="s">
        <v>425</v>
      </c>
      <c r="C54" s="9" t="s">
        <v>14</v>
      </c>
      <c r="D54" s="9" t="s">
        <v>28</v>
      </c>
      <c r="E54" s="9" t="s">
        <v>616</v>
      </c>
      <c r="F54" s="9" t="s">
        <v>617</v>
      </c>
      <c r="G54" s="9" t="s">
        <v>620</v>
      </c>
      <c r="H54" s="10">
        <v>0</v>
      </c>
      <c r="I54" s="10">
        <v>2791892</v>
      </c>
      <c r="J54" s="10">
        <f t="shared" si="0"/>
        <v>3461946.0799999996</v>
      </c>
      <c r="K54" s="11">
        <f t="shared" si="1"/>
        <v>0</v>
      </c>
    </row>
    <row r="55" spans="1:11" x14ac:dyDescent="0.3">
      <c r="A55" s="8" t="s">
        <v>121</v>
      </c>
      <c r="B55" s="9" t="s">
        <v>419</v>
      </c>
      <c r="C55" s="9" t="s">
        <v>14</v>
      </c>
      <c r="D55" s="9" t="s">
        <v>28</v>
      </c>
      <c r="E55" s="9" t="s">
        <v>616</v>
      </c>
      <c r="F55" s="9" t="s">
        <v>617</v>
      </c>
      <c r="G55" s="9" t="s">
        <v>620</v>
      </c>
      <c r="H55" s="10">
        <v>8057658</v>
      </c>
      <c r="I55" s="10">
        <v>14319819</v>
      </c>
      <c r="J55" s="10">
        <f t="shared" si="0"/>
        <v>17756575.559999999</v>
      </c>
      <c r="K55" s="11">
        <f t="shared" si="1"/>
        <v>1.2036894045391351</v>
      </c>
    </row>
    <row r="56" spans="1:11" x14ac:dyDescent="0.3">
      <c r="A56" s="8" t="s">
        <v>266</v>
      </c>
      <c r="B56" s="9" t="s">
        <v>555</v>
      </c>
      <c r="C56" s="9" t="s">
        <v>14</v>
      </c>
      <c r="D56" s="9" t="s">
        <v>28</v>
      </c>
      <c r="E56" s="9" t="s">
        <v>630</v>
      </c>
      <c r="F56" s="9" t="s">
        <v>617</v>
      </c>
      <c r="G56" s="9" t="s">
        <v>620</v>
      </c>
      <c r="H56" s="10">
        <v>0</v>
      </c>
      <c r="I56" s="10">
        <v>0</v>
      </c>
      <c r="J56" s="10">
        <f t="shared" si="0"/>
        <v>0</v>
      </c>
      <c r="K56" s="11">
        <f t="shared" si="1"/>
        <v>0</v>
      </c>
    </row>
    <row r="57" spans="1:11" x14ac:dyDescent="0.3">
      <c r="A57" s="8" t="s">
        <v>265</v>
      </c>
      <c r="B57" s="9" t="s">
        <v>554</v>
      </c>
      <c r="C57" s="9" t="s">
        <v>14</v>
      </c>
      <c r="D57" s="9" t="s">
        <v>28</v>
      </c>
      <c r="E57" s="9" t="s">
        <v>630</v>
      </c>
      <c r="F57" s="9" t="s">
        <v>617</v>
      </c>
      <c r="G57" s="9" t="s">
        <v>620</v>
      </c>
      <c r="H57" s="10">
        <v>0</v>
      </c>
      <c r="I57" s="10">
        <v>0</v>
      </c>
      <c r="J57" s="10">
        <f t="shared" si="0"/>
        <v>0</v>
      </c>
      <c r="K57" s="11">
        <f t="shared" si="1"/>
        <v>0</v>
      </c>
    </row>
    <row r="58" spans="1:11" x14ac:dyDescent="0.3">
      <c r="A58" s="8" t="s">
        <v>190</v>
      </c>
      <c r="B58" s="9" t="s">
        <v>480</v>
      </c>
      <c r="C58" s="9" t="s">
        <v>120</v>
      </c>
      <c r="D58" s="9" t="s">
        <v>137</v>
      </c>
      <c r="E58" s="9" t="s">
        <v>627</v>
      </c>
      <c r="F58" s="9" t="s">
        <v>617</v>
      </c>
      <c r="G58" s="9" t="s">
        <v>620</v>
      </c>
      <c r="H58" s="10">
        <v>0</v>
      </c>
      <c r="I58" s="10">
        <v>0</v>
      </c>
      <c r="J58" s="10">
        <f t="shared" si="0"/>
        <v>0</v>
      </c>
      <c r="K58" s="11">
        <f t="shared" si="1"/>
        <v>0</v>
      </c>
    </row>
    <row r="59" spans="1:11" x14ac:dyDescent="0.3">
      <c r="A59" s="8" t="s">
        <v>13</v>
      </c>
      <c r="B59" s="9" t="s">
        <v>332</v>
      </c>
      <c r="C59" s="9" t="s">
        <v>16</v>
      </c>
      <c r="D59" s="9" t="s">
        <v>22</v>
      </c>
      <c r="E59" s="9" t="s">
        <v>616</v>
      </c>
      <c r="F59" s="9" t="s">
        <v>617</v>
      </c>
      <c r="G59" s="9" t="s">
        <v>618</v>
      </c>
      <c r="H59" s="10">
        <v>22471171</v>
      </c>
      <c r="I59" s="10">
        <v>16390991</v>
      </c>
      <c r="J59" s="10">
        <f t="shared" si="0"/>
        <v>20324828.84</v>
      </c>
      <c r="K59" s="11">
        <f t="shared" si="1"/>
        <v>-9.5515367668200304E-2</v>
      </c>
    </row>
    <row r="60" spans="1:11" x14ac:dyDescent="0.3">
      <c r="A60" s="8" t="s">
        <v>128</v>
      </c>
      <c r="B60" s="9" t="s">
        <v>426</v>
      </c>
      <c r="C60" s="9" t="s">
        <v>16</v>
      </c>
      <c r="D60" s="9" t="s">
        <v>42</v>
      </c>
      <c r="E60" s="9" t="s">
        <v>616</v>
      </c>
      <c r="F60" s="9" t="s">
        <v>617</v>
      </c>
      <c r="G60" s="9" t="s">
        <v>618</v>
      </c>
      <c r="H60" s="10">
        <v>4682882</v>
      </c>
      <c r="I60" s="10">
        <v>3152252</v>
      </c>
      <c r="J60" s="10">
        <f t="shared" si="0"/>
        <v>3908792.48</v>
      </c>
      <c r="K60" s="11">
        <f t="shared" si="1"/>
        <v>-0.16530194867177947</v>
      </c>
    </row>
    <row r="61" spans="1:11" x14ac:dyDescent="0.3">
      <c r="A61" s="8" t="s">
        <v>187</v>
      </c>
      <c r="B61" s="9" t="s">
        <v>477</v>
      </c>
      <c r="C61" s="9" t="s">
        <v>120</v>
      </c>
      <c r="D61" s="9" t="s">
        <v>135</v>
      </c>
      <c r="E61" s="9" t="s">
        <v>627</v>
      </c>
      <c r="F61" s="9" t="s">
        <v>617</v>
      </c>
      <c r="G61" s="9" t="s">
        <v>618</v>
      </c>
      <c r="H61" s="10">
        <v>0</v>
      </c>
      <c r="I61" s="10">
        <v>0</v>
      </c>
      <c r="J61" s="10">
        <f t="shared" si="0"/>
        <v>0</v>
      </c>
      <c r="K61" s="11">
        <f t="shared" si="1"/>
        <v>0</v>
      </c>
    </row>
    <row r="62" spans="1:11" x14ac:dyDescent="0.3">
      <c r="A62" s="8" t="s">
        <v>264</v>
      </c>
      <c r="B62" s="9" t="s">
        <v>553</v>
      </c>
      <c r="C62" s="9" t="s">
        <v>16</v>
      </c>
      <c r="D62" s="9" t="s">
        <v>42</v>
      </c>
      <c r="E62" s="9" t="s">
        <v>630</v>
      </c>
      <c r="F62" s="9" t="s">
        <v>617</v>
      </c>
      <c r="G62" s="9" t="s">
        <v>618</v>
      </c>
      <c r="H62" s="10">
        <v>0</v>
      </c>
      <c r="I62" s="10">
        <v>0</v>
      </c>
      <c r="J62" s="10">
        <f t="shared" si="0"/>
        <v>0</v>
      </c>
      <c r="K62" s="11">
        <f t="shared" si="1"/>
        <v>0</v>
      </c>
    </row>
    <row r="63" spans="1:11" x14ac:dyDescent="0.3">
      <c r="A63" s="8" t="s">
        <v>45</v>
      </c>
      <c r="B63" s="9" t="s">
        <v>349</v>
      </c>
      <c r="C63" s="9" t="s">
        <v>16</v>
      </c>
      <c r="D63" s="9" t="s">
        <v>34</v>
      </c>
      <c r="E63" s="9" t="s">
        <v>616</v>
      </c>
      <c r="F63" s="9" t="s">
        <v>617</v>
      </c>
      <c r="G63" s="9" t="s">
        <v>621</v>
      </c>
      <c r="H63" s="10">
        <v>12877477</v>
      </c>
      <c r="I63" s="10">
        <v>4953153</v>
      </c>
      <c r="J63" s="10">
        <f t="shared" si="0"/>
        <v>6141909.7199999997</v>
      </c>
      <c r="K63" s="11">
        <f t="shared" si="1"/>
        <v>-0.52305022792896472</v>
      </c>
    </row>
    <row r="64" spans="1:11" x14ac:dyDescent="0.3">
      <c r="A64" s="8" t="s">
        <v>196</v>
      </c>
      <c r="B64" s="9" t="s">
        <v>486</v>
      </c>
      <c r="C64" s="9" t="s">
        <v>120</v>
      </c>
      <c r="D64" s="9" t="s">
        <v>135</v>
      </c>
      <c r="E64" s="9" t="s">
        <v>627</v>
      </c>
      <c r="F64" s="9" t="s">
        <v>617</v>
      </c>
      <c r="G64" s="9" t="s">
        <v>621</v>
      </c>
      <c r="H64" s="10">
        <v>0</v>
      </c>
      <c r="I64" s="10">
        <v>0</v>
      </c>
      <c r="J64" s="10">
        <f t="shared" si="0"/>
        <v>0</v>
      </c>
      <c r="K64" s="11">
        <f t="shared" si="1"/>
        <v>0</v>
      </c>
    </row>
    <row r="65" spans="1:11" x14ac:dyDescent="0.3">
      <c r="A65" s="8" t="s">
        <v>136</v>
      </c>
      <c r="B65" s="9" t="s">
        <v>428</v>
      </c>
      <c r="C65" s="9" t="s">
        <v>14</v>
      </c>
      <c r="D65" s="9" t="s">
        <v>26</v>
      </c>
      <c r="E65" s="9" t="s">
        <v>616</v>
      </c>
      <c r="F65" s="9" t="s">
        <v>617</v>
      </c>
      <c r="G65" s="9" t="s">
        <v>619</v>
      </c>
      <c r="H65" s="10">
        <v>1981081</v>
      </c>
      <c r="I65" s="10">
        <v>2701802</v>
      </c>
      <c r="J65" s="10">
        <f t="shared" si="0"/>
        <v>3350234.48</v>
      </c>
      <c r="K65" s="11">
        <f t="shared" si="1"/>
        <v>0.69111433606197825</v>
      </c>
    </row>
    <row r="66" spans="1:11" x14ac:dyDescent="0.3">
      <c r="A66" s="8" t="s">
        <v>46</v>
      </c>
      <c r="B66" s="9" t="s">
        <v>350</v>
      </c>
      <c r="C66" s="9" t="s">
        <v>16</v>
      </c>
      <c r="D66" s="9" t="s">
        <v>22</v>
      </c>
      <c r="E66" s="9" t="s">
        <v>616</v>
      </c>
      <c r="F66" s="9" t="s">
        <v>617</v>
      </c>
      <c r="G66" s="9" t="s">
        <v>618</v>
      </c>
      <c r="H66" s="10">
        <v>11392793</v>
      </c>
      <c r="I66" s="10">
        <v>5223423</v>
      </c>
      <c r="J66" s="10">
        <f t="shared" si="0"/>
        <v>6477044.5200000005</v>
      </c>
      <c r="K66" s="11">
        <f t="shared" si="1"/>
        <v>-0.43147878487742203</v>
      </c>
    </row>
    <row r="67" spans="1:11" x14ac:dyDescent="0.3">
      <c r="A67" s="8" t="s">
        <v>140</v>
      </c>
      <c r="B67" s="9" t="s">
        <v>430</v>
      </c>
      <c r="C67" s="9" t="s">
        <v>14</v>
      </c>
      <c r="D67" s="9" t="s">
        <v>26</v>
      </c>
      <c r="E67" s="9" t="s">
        <v>616</v>
      </c>
      <c r="F67" s="9" t="s">
        <v>617</v>
      </c>
      <c r="G67" s="9" t="s">
        <v>619</v>
      </c>
      <c r="H67" s="10">
        <v>6754955</v>
      </c>
      <c r="I67" s="10">
        <v>2341441</v>
      </c>
      <c r="J67" s="10">
        <f t="shared" si="0"/>
        <v>2903386.84</v>
      </c>
      <c r="K67" s="11">
        <f t="shared" si="1"/>
        <v>-0.57018413298090076</v>
      </c>
    </row>
    <row r="68" spans="1:11" x14ac:dyDescent="0.3">
      <c r="A68" s="8" t="s">
        <v>138</v>
      </c>
      <c r="B68" s="9" t="s">
        <v>429</v>
      </c>
      <c r="C68" s="9" t="s">
        <v>14</v>
      </c>
      <c r="D68" s="9" t="s">
        <v>28</v>
      </c>
      <c r="E68" s="9" t="s">
        <v>616</v>
      </c>
      <c r="F68" s="9" t="s">
        <v>617</v>
      </c>
      <c r="G68" s="9" t="s">
        <v>620</v>
      </c>
      <c r="H68" s="10">
        <v>2566667</v>
      </c>
      <c r="I68" s="10">
        <v>2071171</v>
      </c>
      <c r="J68" s="10">
        <f t="shared" si="0"/>
        <v>2568252.04</v>
      </c>
      <c r="K68" s="11">
        <f t="shared" si="1"/>
        <v>6.1754797174703112E-4</v>
      </c>
    </row>
    <row r="69" spans="1:11" x14ac:dyDescent="0.3">
      <c r="A69" s="8" t="s">
        <v>197</v>
      </c>
      <c r="B69" s="9" t="s">
        <v>487</v>
      </c>
      <c r="C69" s="9" t="s">
        <v>120</v>
      </c>
      <c r="D69" s="9" t="s">
        <v>137</v>
      </c>
      <c r="E69" s="9" t="s">
        <v>627</v>
      </c>
      <c r="F69" s="9" t="s">
        <v>617</v>
      </c>
      <c r="G69" s="9" t="s">
        <v>620</v>
      </c>
      <c r="H69" s="10">
        <v>0</v>
      </c>
      <c r="I69" s="10">
        <v>0</v>
      </c>
      <c r="J69" s="10">
        <f t="shared" ref="J69:J132" si="5">IFERROR((I69/$A$1*$B$1),0)</f>
        <v>0</v>
      </c>
      <c r="K69" s="11">
        <f t="shared" ref="K69:K132" si="6">IFERROR((J69-H69)/H69,0)</f>
        <v>0</v>
      </c>
    </row>
    <row r="70" spans="1:11" x14ac:dyDescent="0.3">
      <c r="A70" s="8" t="s">
        <v>63</v>
      </c>
      <c r="B70" s="9" t="s">
        <v>365</v>
      </c>
      <c r="C70" s="9" t="s">
        <v>16</v>
      </c>
      <c r="D70" s="9" t="s">
        <v>22</v>
      </c>
      <c r="E70" s="9" t="s">
        <v>616</v>
      </c>
      <c r="F70" s="9" t="s">
        <v>617</v>
      </c>
      <c r="G70" s="9" t="s">
        <v>618</v>
      </c>
      <c r="H70" s="10">
        <v>0</v>
      </c>
      <c r="I70" s="10">
        <v>2071171</v>
      </c>
      <c r="J70" s="10">
        <f t="shared" si="5"/>
        <v>2568252.04</v>
      </c>
      <c r="K70" s="11">
        <f t="shared" si="6"/>
        <v>0</v>
      </c>
    </row>
    <row r="71" spans="1:11" x14ac:dyDescent="0.3">
      <c r="A71" s="8" t="s">
        <v>168</v>
      </c>
      <c r="B71" s="9" t="s">
        <v>458</v>
      </c>
      <c r="C71" s="9" t="s">
        <v>14</v>
      </c>
      <c r="D71" s="9" t="s">
        <v>24</v>
      </c>
      <c r="E71" s="9" t="s">
        <v>616</v>
      </c>
      <c r="F71" s="9" t="s">
        <v>617</v>
      </c>
      <c r="G71" s="9" t="s">
        <v>619</v>
      </c>
      <c r="H71" s="10">
        <v>11708109</v>
      </c>
      <c r="I71" s="10">
        <v>22691892</v>
      </c>
      <c r="J71" s="10">
        <f t="shared" si="5"/>
        <v>28137946.080000002</v>
      </c>
      <c r="K71" s="11">
        <f t="shared" si="6"/>
        <v>1.4032869936554231</v>
      </c>
    </row>
    <row r="72" spans="1:11" x14ac:dyDescent="0.3">
      <c r="A72" s="8" t="s">
        <v>178</v>
      </c>
      <c r="B72" s="9" t="s">
        <v>468</v>
      </c>
      <c r="C72" s="9" t="s">
        <v>120</v>
      </c>
      <c r="D72" s="9" t="s">
        <v>139</v>
      </c>
      <c r="E72" s="9" t="s">
        <v>626</v>
      </c>
      <c r="F72" s="9" t="s">
        <v>617</v>
      </c>
      <c r="G72" s="9" t="s">
        <v>622</v>
      </c>
      <c r="H72" s="10">
        <v>94882882</v>
      </c>
      <c r="I72" s="10">
        <v>54581079</v>
      </c>
      <c r="J72" s="10">
        <f t="shared" si="5"/>
        <v>67680537.960000008</v>
      </c>
      <c r="K72" s="11">
        <f t="shared" si="6"/>
        <v>-0.28669390586175481</v>
      </c>
    </row>
    <row r="73" spans="1:11" x14ac:dyDescent="0.3">
      <c r="A73" s="8" t="s">
        <v>88</v>
      </c>
      <c r="B73" s="9" t="s">
        <v>390</v>
      </c>
      <c r="C73" s="9" t="s">
        <v>16</v>
      </c>
      <c r="D73" s="9" t="s">
        <v>34</v>
      </c>
      <c r="E73" s="9" t="s">
        <v>616</v>
      </c>
      <c r="F73" s="9" t="s">
        <v>617</v>
      </c>
      <c r="G73" s="9" t="s">
        <v>621</v>
      </c>
      <c r="H73" s="10">
        <v>2341441</v>
      </c>
      <c r="I73" s="10">
        <v>4682882</v>
      </c>
      <c r="J73" s="10">
        <f t="shared" si="5"/>
        <v>5806773.6799999997</v>
      </c>
      <c r="K73" s="11">
        <f t="shared" si="6"/>
        <v>1.48</v>
      </c>
    </row>
    <row r="74" spans="1:11" x14ac:dyDescent="0.3">
      <c r="A74" s="8" t="s">
        <v>143</v>
      </c>
      <c r="B74" s="9" t="s">
        <v>433</v>
      </c>
      <c r="C74" s="9" t="s">
        <v>16</v>
      </c>
      <c r="D74" s="9" t="s">
        <v>22</v>
      </c>
      <c r="E74" s="9" t="s">
        <v>616</v>
      </c>
      <c r="F74" s="9" t="s">
        <v>617</v>
      </c>
      <c r="G74" s="9" t="s">
        <v>618</v>
      </c>
      <c r="H74" s="10">
        <v>12743243</v>
      </c>
      <c r="I74" s="10">
        <v>6575676</v>
      </c>
      <c r="J74" s="10">
        <f t="shared" si="5"/>
        <v>8153838.2399999993</v>
      </c>
      <c r="K74" s="11">
        <f t="shared" si="6"/>
        <v>-0.36014417680020705</v>
      </c>
    </row>
    <row r="75" spans="1:11" x14ac:dyDescent="0.3">
      <c r="A75" s="8" t="s">
        <v>102</v>
      </c>
      <c r="B75" s="9" t="s">
        <v>404</v>
      </c>
      <c r="C75" s="9" t="s">
        <v>16</v>
      </c>
      <c r="D75" s="9" t="s">
        <v>42</v>
      </c>
      <c r="E75" s="9" t="s">
        <v>616</v>
      </c>
      <c r="F75" s="9" t="s">
        <v>617</v>
      </c>
      <c r="G75" s="9" t="s">
        <v>618</v>
      </c>
      <c r="H75" s="10">
        <v>1981081</v>
      </c>
      <c r="I75" s="10">
        <v>0</v>
      </c>
      <c r="J75" s="10">
        <f t="shared" si="5"/>
        <v>0</v>
      </c>
      <c r="K75" s="11">
        <f t="shared" si="6"/>
        <v>-1</v>
      </c>
    </row>
    <row r="76" spans="1:11" x14ac:dyDescent="0.3">
      <c r="A76" s="8" t="s">
        <v>179</v>
      </c>
      <c r="B76" s="9" t="s">
        <v>469</v>
      </c>
      <c r="C76" s="9" t="s">
        <v>120</v>
      </c>
      <c r="D76" s="9" t="s">
        <v>139</v>
      </c>
      <c r="E76" s="9" t="s">
        <v>626</v>
      </c>
      <c r="F76" s="9" t="s">
        <v>617</v>
      </c>
      <c r="G76" s="9" t="s">
        <v>618</v>
      </c>
      <c r="H76" s="10">
        <v>120145945</v>
      </c>
      <c r="I76" s="10">
        <v>74843240</v>
      </c>
      <c r="J76" s="10">
        <f t="shared" si="5"/>
        <v>92805617.600000009</v>
      </c>
      <c r="K76" s="11">
        <f t="shared" si="6"/>
        <v>-0.22755930214706782</v>
      </c>
    </row>
    <row r="77" spans="1:11" x14ac:dyDescent="0.3">
      <c r="A77" s="8" t="s">
        <v>77</v>
      </c>
      <c r="B77" s="9" t="s">
        <v>379</v>
      </c>
      <c r="C77" s="9" t="s">
        <v>16</v>
      </c>
      <c r="D77" s="9" t="s">
        <v>44</v>
      </c>
      <c r="E77" s="9" t="s">
        <v>616</v>
      </c>
      <c r="F77" s="9" t="s">
        <v>617</v>
      </c>
      <c r="G77" s="9" t="s">
        <v>622</v>
      </c>
      <c r="H77" s="10">
        <v>0</v>
      </c>
      <c r="I77" s="10">
        <v>0</v>
      </c>
      <c r="J77" s="10">
        <f t="shared" si="5"/>
        <v>0</v>
      </c>
      <c r="K77" s="11">
        <f t="shared" si="6"/>
        <v>0</v>
      </c>
    </row>
    <row r="78" spans="1:11" x14ac:dyDescent="0.3">
      <c r="A78" s="8" t="s">
        <v>176</v>
      </c>
      <c r="B78" s="9" t="s">
        <v>466</v>
      </c>
      <c r="C78" s="9" t="s">
        <v>120</v>
      </c>
      <c r="D78" s="9" t="s">
        <v>139</v>
      </c>
      <c r="E78" s="9" t="s">
        <v>626</v>
      </c>
      <c r="F78" s="9" t="s">
        <v>617</v>
      </c>
      <c r="G78" s="9" t="s">
        <v>622</v>
      </c>
      <c r="H78" s="10">
        <v>176125226</v>
      </c>
      <c r="I78" s="10">
        <v>84035135</v>
      </c>
      <c r="J78" s="10">
        <f t="shared" si="5"/>
        <v>104203567.39999999</v>
      </c>
      <c r="K78" s="11">
        <f t="shared" si="6"/>
        <v>-0.40835523810768598</v>
      </c>
    </row>
    <row r="79" spans="1:11" x14ac:dyDescent="0.3">
      <c r="A79" s="8" t="s">
        <v>144</v>
      </c>
      <c r="B79" s="9" t="s">
        <v>434</v>
      </c>
      <c r="C79" s="9" t="s">
        <v>16</v>
      </c>
      <c r="D79" s="9" t="s">
        <v>40</v>
      </c>
      <c r="E79" s="9" t="s">
        <v>616</v>
      </c>
      <c r="F79" s="9" t="s">
        <v>617</v>
      </c>
      <c r="G79" s="9" t="s">
        <v>623</v>
      </c>
      <c r="H79" s="10">
        <v>1981081</v>
      </c>
      <c r="I79" s="10">
        <v>7565766</v>
      </c>
      <c r="J79" s="10">
        <f t="shared" si="5"/>
        <v>9381549.8399999999</v>
      </c>
      <c r="K79" s="11">
        <f t="shared" si="6"/>
        <v>3.7355710543889926</v>
      </c>
    </row>
    <row r="80" spans="1:11" x14ac:dyDescent="0.3">
      <c r="A80" s="8" t="s">
        <v>145</v>
      </c>
      <c r="B80" s="9" t="s">
        <v>435</v>
      </c>
      <c r="C80" s="9" t="s">
        <v>14</v>
      </c>
      <c r="D80" s="9" t="s">
        <v>26</v>
      </c>
      <c r="E80" s="9" t="s">
        <v>616</v>
      </c>
      <c r="F80" s="9" t="s">
        <v>617</v>
      </c>
      <c r="G80" s="9" t="s">
        <v>619</v>
      </c>
      <c r="H80" s="10">
        <v>6528829</v>
      </c>
      <c r="I80" s="10">
        <v>2071171</v>
      </c>
      <c r="J80" s="10">
        <f t="shared" si="5"/>
        <v>2568252.04</v>
      </c>
      <c r="K80" s="11">
        <f t="shared" si="6"/>
        <v>-0.6066289927336127</v>
      </c>
    </row>
    <row r="81" spans="1:11" x14ac:dyDescent="0.3">
      <c r="A81" s="8" t="s">
        <v>53</v>
      </c>
      <c r="B81" s="9" t="s">
        <v>357</v>
      </c>
      <c r="C81" s="9" t="s">
        <v>16</v>
      </c>
      <c r="D81" s="9" t="s">
        <v>44</v>
      </c>
      <c r="E81" s="9" t="s">
        <v>616</v>
      </c>
      <c r="F81" s="9" t="s">
        <v>617</v>
      </c>
      <c r="G81" s="9" t="s">
        <v>622</v>
      </c>
      <c r="H81" s="10">
        <v>6303603</v>
      </c>
      <c r="I81" s="10">
        <v>11436937</v>
      </c>
      <c r="J81" s="10">
        <f t="shared" si="5"/>
        <v>14181801.879999999</v>
      </c>
      <c r="K81" s="11">
        <f t="shared" si="6"/>
        <v>1.2497929961642571</v>
      </c>
    </row>
    <row r="82" spans="1:11" x14ac:dyDescent="0.3">
      <c r="A82" s="8" t="s">
        <v>146</v>
      </c>
      <c r="B82" s="9" t="s">
        <v>436</v>
      </c>
      <c r="C82" s="9" t="s">
        <v>16</v>
      </c>
      <c r="D82" s="9" t="s">
        <v>40</v>
      </c>
      <c r="E82" s="9" t="s">
        <v>616</v>
      </c>
      <c r="F82" s="9" t="s">
        <v>617</v>
      </c>
      <c r="G82" s="9" t="s">
        <v>623</v>
      </c>
      <c r="H82" s="10">
        <v>20623422</v>
      </c>
      <c r="I82" s="10">
        <v>20894594</v>
      </c>
      <c r="J82" s="10">
        <f t="shared" si="5"/>
        <v>25909296.559999999</v>
      </c>
      <c r="K82" s="11">
        <f t="shared" si="6"/>
        <v>0.25630443677096842</v>
      </c>
    </row>
    <row r="83" spans="1:11" x14ac:dyDescent="0.3">
      <c r="A83" s="8" t="s">
        <v>177</v>
      </c>
      <c r="B83" s="9" t="s">
        <v>467</v>
      </c>
      <c r="C83" s="9" t="s">
        <v>120</v>
      </c>
      <c r="D83" s="9" t="s">
        <v>139</v>
      </c>
      <c r="E83" s="9" t="s">
        <v>626</v>
      </c>
      <c r="F83" s="9" t="s">
        <v>617</v>
      </c>
      <c r="G83" s="9" t="s">
        <v>619</v>
      </c>
      <c r="H83" s="10">
        <v>79080180</v>
      </c>
      <c r="I83" s="10">
        <v>49986487</v>
      </c>
      <c r="J83" s="10">
        <f t="shared" si="5"/>
        <v>61983243.880000003</v>
      </c>
      <c r="K83" s="11">
        <f t="shared" si="6"/>
        <v>-0.21619748614633905</v>
      </c>
    </row>
    <row r="84" spans="1:11" x14ac:dyDescent="0.3">
      <c r="A84" s="8" t="s">
        <v>69</v>
      </c>
      <c r="B84" s="9" t="s">
        <v>371</v>
      </c>
      <c r="C84" s="9" t="s">
        <v>14</v>
      </c>
      <c r="D84" s="9" t="s">
        <v>32</v>
      </c>
      <c r="E84" s="9" t="s">
        <v>616</v>
      </c>
      <c r="F84" s="9" t="s">
        <v>617</v>
      </c>
      <c r="G84" s="9" t="s">
        <v>619</v>
      </c>
      <c r="H84" s="10">
        <v>0</v>
      </c>
      <c r="I84" s="10">
        <v>2431532</v>
      </c>
      <c r="J84" s="10">
        <f t="shared" si="5"/>
        <v>3015099.68</v>
      </c>
      <c r="K84" s="11">
        <f t="shared" si="6"/>
        <v>0</v>
      </c>
    </row>
    <row r="85" spans="1:11" x14ac:dyDescent="0.3">
      <c r="A85" s="8" t="s">
        <v>57</v>
      </c>
      <c r="B85" s="9" t="s">
        <v>361</v>
      </c>
      <c r="C85" s="9" t="s">
        <v>14</v>
      </c>
      <c r="D85" s="9" t="s">
        <v>28</v>
      </c>
      <c r="E85" s="9" t="s">
        <v>616</v>
      </c>
      <c r="F85" s="9" t="s">
        <v>617</v>
      </c>
      <c r="G85" s="9" t="s">
        <v>620</v>
      </c>
      <c r="H85" s="10">
        <v>0</v>
      </c>
      <c r="I85" s="10">
        <v>0</v>
      </c>
      <c r="J85" s="10">
        <f t="shared" si="5"/>
        <v>0</v>
      </c>
      <c r="K85" s="11">
        <f t="shared" si="6"/>
        <v>0</v>
      </c>
    </row>
    <row r="86" spans="1:11" x14ac:dyDescent="0.3">
      <c r="A86" s="8" t="s">
        <v>181</v>
      </c>
      <c r="B86" s="9" t="s">
        <v>471</v>
      </c>
      <c r="C86" s="9" t="s">
        <v>120</v>
      </c>
      <c r="D86" s="9" t="s">
        <v>139</v>
      </c>
      <c r="E86" s="9" t="s">
        <v>626</v>
      </c>
      <c r="F86" s="9" t="s">
        <v>617</v>
      </c>
      <c r="G86" s="9" t="s">
        <v>621</v>
      </c>
      <c r="H86" s="10">
        <v>51604504</v>
      </c>
      <c r="I86" s="10">
        <v>63131529</v>
      </c>
      <c r="J86" s="10">
        <f t="shared" si="5"/>
        <v>78283095.960000008</v>
      </c>
      <c r="K86" s="11">
        <f t="shared" si="6"/>
        <v>0.51698185026640331</v>
      </c>
    </row>
    <row r="87" spans="1:11" x14ac:dyDescent="0.3">
      <c r="A87" s="8" t="s">
        <v>198</v>
      </c>
      <c r="B87" s="9" t="s">
        <v>488</v>
      </c>
      <c r="C87" s="9" t="s">
        <v>120</v>
      </c>
      <c r="D87" s="9" t="s">
        <v>135</v>
      </c>
      <c r="E87" s="9" t="s">
        <v>627</v>
      </c>
      <c r="F87" s="9" t="s">
        <v>617</v>
      </c>
      <c r="G87" s="9" t="s">
        <v>623</v>
      </c>
      <c r="H87" s="10">
        <v>0</v>
      </c>
      <c r="I87" s="10">
        <v>0</v>
      </c>
      <c r="J87" s="10">
        <f t="shared" si="5"/>
        <v>0</v>
      </c>
      <c r="K87" s="11">
        <f t="shared" si="6"/>
        <v>0</v>
      </c>
    </row>
    <row r="88" spans="1:11" x14ac:dyDescent="0.3">
      <c r="A88" s="8" t="s">
        <v>200</v>
      </c>
      <c r="B88" s="9" t="s">
        <v>490</v>
      </c>
      <c r="C88" s="9" t="s">
        <v>120</v>
      </c>
      <c r="D88" s="9" t="s">
        <v>137</v>
      </c>
      <c r="E88" s="9" t="s">
        <v>627</v>
      </c>
      <c r="F88" s="9" t="s">
        <v>617</v>
      </c>
      <c r="G88" s="9" t="s">
        <v>619</v>
      </c>
      <c r="H88" s="10">
        <v>0</v>
      </c>
      <c r="I88" s="10">
        <v>0</v>
      </c>
      <c r="J88" s="10">
        <f t="shared" si="5"/>
        <v>0</v>
      </c>
      <c r="K88" s="11">
        <f t="shared" si="6"/>
        <v>0</v>
      </c>
    </row>
    <row r="89" spans="1:11" x14ac:dyDescent="0.3">
      <c r="A89" s="8" t="s">
        <v>147</v>
      </c>
      <c r="B89" s="9" t="s">
        <v>437</v>
      </c>
      <c r="C89" s="9" t="s">
        <v>16</v>
      </c>
      <c r="D89" s="9" t="s">
        <v>42</v>
      </c>
      <c r="E89" s="9" t="s">
        <v>616</v>
      </c>
      <c r="F89" s="9" t="s">
        <v>617</v>
      </c>
      <c r="G89" s="9" t="s">
        <v>618</v>
      </c>
      <c r="H89" s="10">
        <v>1981081</v>
      </c>
      <c r="I89" s="10">
        <v>3962162</v>
      </c>
      <c r="J89" s="10">
        <f t="shared" si="5"/>
        <v>4913080.88</v>
      </c>
      <c r="K89" s="11">
        <f t="shared" si="6"/>
        <v>1.48</v>
      </c>
    </row>
    <row r="90" spans="1:11" x14ac:dyDescent="0.3">
      <c r="A90" s="8" t="s">
        <v>99</v>
      </c>
      <c r="B90" s="9" t="s">
        <v>401</v>
      </c>
      <c r="C90" s="9" t="s">
        <v>16</v>
      </c>
      <c r="D90" s="9" t="s">
        <v>42</v>
      </c>
      <c r="E90" s="9" t="s">
        <v>616</v>
      </c>
      <c r="F90" s="9" t="s">
        <v>617</v>
      </c>
      <c r="G90" s="9" t="s">
        <v>618</v>
      </c>
      <c r="H90" s="10">
        <v>8645044</v>
      </c>
      <c r="I90" s="10">
        <v>4322523</v>
      </c>
      <c r="J90" s="10">
        <f t="shared" si="5"/>
        <v>5359928.5200000005</v>
      </c>
      <c r="K90" s="11">
        <f t="shared" si="6"/>
        <v>-0.37999985656521812</v>
      </c>
    </row>
    <row r="91" spans="1:11" x14ac:dyDescent="0.3">
      <c r="A91" s="8" t="s">
        <v>71</v>
      </c>
      <c r="B91" s="9" t="s">
        <v>373</v>
      </c>
      <c r="C91" s="9" t="s">
        <v>16</v>
      </c>
      <c r="D91" s="9" t="s">
        <v>44</v>
      </c>
      <c r="E91" s="9" t="s">
        <v>616</v>
      </c>
      <c r="F91" s="9" t="s">
        <v>617</v>
      </c>
      <c r="G91" s="9" t="s">
        <v>622</v>
      </c>
      <c r="H91" s="10">
        <v>4953153</v>
      </c>
      <c r="I91" s="10">
        <v>4142342</v>
      </c>
      <c r="J91" s="10">
        <f t="shared" si="5"/>
        <v>5136504.08</v>
      </c>
      <c r="K91" s="11">
        <f t="shared" si="6"/>
        <v>3.7017043487249449E-2</v>
      </c>
    </row>
    <row r="92" spans="1:11" x14ac:dyDescent="0.3">
      <c r="A92" s="8" t="s">
        <v>148</v>
      </c>
      <c r="B92" s="9" t="s">
        <v>438</v>
      </c>
      <c r="C92" s="9" t="s">
        <v>14</v>
      </c>
      <c r="D92" s="9" t="s">
        <v>30</v>
      </c>
      <c r="E92" s="9" t="s">
        <v>616</v>
      </c>
      <c r="F92" s="9" t="s">
        <v>617</v>
      </c>
      <c r="G92" s="9" t="s">
        <v>620</v>
      </c>
      <c r="H92" s="10">
        <v>3152252</v>
      </c>
      <c r="I92" s="10">
        <v>5133333</v>
      </c>
      <c r="J92" s="10">
        <f t="shared" si="5"/>
        <v>6365332.9199999999</v>
      </c>
      <c r="K92" s="11">
        <f t="shared" si="6"/>
        <v>1.0192969724501721</v>
      </c>
    </row>
    <row r="93" spans="1:11" x14ac:dyDescent="0.3">
      <c r="A93" s="8" t="s">
        <v>149</v>
      </c>
      <c r="B93" s="9" t="s">
        <v>439</v>
      </c>
      <c r="C93" s="9" t="s">
        <v>14</v>
      </c>
      <c r="D93" s="9" t="s">
        <v>32</v>
      </c>
      <c r="E93" s="9" t="s">
        <v>616</v>
      </c>
      <c r="F93" s="9" t="s">
        <v>617</v>
      </c>
      <c r="G93" s="9" t="s">
        <v>619</v>
      </c>
      <c r="H93" s="10">
        <v>1981081</v>
      </c>
      <c r="I93" s="10">
        <v>2791892</v>
      </c>
      <c r="J93" s="10">
        <f t="shared" si="5"/>
        <v>3461946.0799999996</v>
      </c>
      <c r="K93" s="11">
        <f t="shared" si="6"/>
        <v>0.74750354982961298</v>
      </c>
    </row>
    <row r="94" spans="1:11" x14ac:dyDescent="0.3">
      <c r="A94" s="8" t="s">
        <v>21</v>
      </c>
      <c r="B94" s="9" t="s">
        <v>337</v>
      </c>
      <c r="C94" s="9" t="s">
        <v>14</v>
      </c>
      <c r="D94" s="9" t="s">
        <v>30</v>
      </c>
      <c r="E94" s="9" t="s">
        <v>616</v>
      </c>
      <c r="F94" s="9" t="s">
        <v>617</v>
      </c>
      <c r="G94" s="9" t="s">
        <v>620</v>
      </c>
      <c r="H94" s="10">
        <v>4682883</v>
      </c>
      <c r="I94" s="10">
        <v>9636036</v>
      </c>
      <c r="J94" s="10">
        <f t="shared" si="5"/>
        <v>11948684.640000001</v>
      </c>
      <c r="K94" s="11">
        <f t="shared" si="6"/>
        <v>1.5515659135622224</v>
      </c>
    </row>
    <row r="95" spans="1:11" x14ac:dyDescent="0.3">
      <c r="A95" s="8" t="s">
        <v>80</v>
      </c>
      <c r="B95" s="9" t="s">
        <v>382</v>
      </c>
      <c r="C95" s="9" t="s">
        <v>16</v>
      </c>
      <c r="D95" s="9" t="s">
        <v>44</v>
      </c>
      <c r="E95" s="9" t="s">
        <v>616</v>
      </c>
      <c r="F95" s="9" t="s">
        <v>617</v>
      </c>
      <c r="G95" s="9" t="s">
        <v>622</v>
      </c>
      <c r="H95" s="10">
        <v>0</v>
      </c>
      <c r="I95" s="10">
        <v>3062162</v>
      </c>
      <c r="J95" s="10">
        <f t="shared" si="5"/>
        <v>3797080.88</v>
      </c>
      <c r="K95" s="11">
        <f t="shared" si="6"/>
        <v>0</v>
      </c>
    </row>
    <row r="96" spans="1:11" x14ac:dyDescent="0.3">
      <c r="A96" s="8" t="s">
        <v>20</v>
      </c>
      <c r="B96" s="9" t="s">
        <v>336</v>
      </c>
      <c r="C96" s="9" t="s">
        <v>14</v>
      </c>
      <c r="D96" s="9" t="s">
        <v>28</v>
      </c>
      <c r="E96" s="9" t="s">
        <v>616</v>
      </c>
      <c r="F96" s="9" t="s">
        <v>617</v>
      </c>
      <c r="G96" s="9" t="s">
        <v>620</v>
      </c>
      <c r="H96" s="10">
        <v>11076576</v>
      </c>
      <c r="I96" s="10">
        <v>12158558</v>
      </c>
      <c r="J96" s="10">
        <f t="shared" si="5"/>
        <v>15076611.92</v>
      </c>
      <c r="K96" s="11">
        <f t="shared" si="6"/>
        <v>0.36112566915985589</v>
      </c>
    </row>
    <row r="97" spans="1:11" x14ac:dyDescent="0.3">
      <c r="A97" s="8" t="s">
        <v>73</v>
      </c>
      <c r="B97" s="9" t="s">
        <v>375</v>
      </c>
      <c r="C97" s="9" t="s">
        <v>14</v>
      </c>
      <c r="D97" s="9" t="s">
        <v>26</v>
      </c>
      <c r="E97" s="9" t="s">
        <v>616</v>
      </c>
      <c r="F97" s="9" t="s">
        <v>617</v>
      </c>
      <c r="G97" s="9" t="s">
        <v>619</v>
      </c>
      <c r="H97" s="10">
        <v>3152252</v>
      </c>
      <c r="I97" s="10">
        <v>0</v>
      </c>
      <c r="J97" s="10">
        <f t="shared" si="5"/>
        <v>0</v>
      </c>
      <c r="K97" s="11">
        <f t="shared" si="6"/>
        <v>-1</v>
      </c>
    </row>
    <row r="98" spans="1:11" x14ac:dyDescent="0.3">
      <c r="A98" s="8" t="s">
        <v>79</v>
      </c>
      <c r="B98" s="9" t="s">
        <v>381</v>
      </c>
      <c r="C98" s="9" t="s">
        <v>16</v>
      </c>
      <c r="D98" s="9" t="s">
        <v>42</v>
      </c>
      <c r="E98" s="9" t="s">
        <v>616</v>
      </c>
      <c r="F98" s="9" t="s">
        <v>617</v>
      </c>
      <c r="G98" s="9" t="s">
        <v>618</v>
      </c>
      <c r="H98" s="10">
        <v>6754054</v>
      </c>
      <c r="I98" s="10">
        <v>9276576</v>
      </c>
      <c r="J98" s="10">
        <f t="shared" si="5"/>
        <v>11502954.24</v>
      </c>
      <c r="K98" s="11">
        <f t="shared" si="6"/>
        <v>0.70311848854036407</v>
      </c>
    </row>
    <row r="99" spans="1:11" x14ac:dyDescent="0.3">
      <c r="A99" s="8" t="s">
        <v>96</v>
      </c>
      <c r="B99" s="9" t="s">
        <v>398</v>
      </c>
      <c r="C99" s="9" t="s">
        <v>14</v>
      </c>
      <c r="D99" s="9" t="s">
        <v>32</v>
      </c>
      <c r="E99" s="9" t="s">
        <v>616</v>
      </c>
      <c r="F99" s="9" t="s">
        <v>617</v>
      </c>
      <c r="G99" s="9" t="s">
        <v>619</v>
      </c>
      <c r="H99" s="10">
        <v>3962162</v>
      </c>
      <c r="I99" s="10">
        <v>8736036</v>
      </c>
      <c r="J99" s="10">
        <f t="shared" si="5"/>
        <v>10832684.640000001</v>
      </c>
      <c r="K99" s="11">
        <f t="shared" si="6"/>
        <v>1.7340337522796898</v>
      </c>
    </row>
    <row r="100" spans="1:11" x14ac:dyDescent="0.3">
      <c r="A100" s="8" t="s">
        <v>65</v>
      </c>
      <c r="B100" s="9" t="s">
        <v>367</v>
      </c>
      <c r="C100" s="9" t="s">
        <v>14</v>
      </c>
      <c r="D100" s="9" t="s">
        <v>26</v>
      </c>
      <c r="E100" s="9" t="s">
        <v>616</v>
      </c>
      <c r="F100" s="9" t="s">
        <v>617</v>
      </c>
      <c r="G100" s="9" t="s">
        <v>619</v>
      </c>
      <c r="H100" s="10">
        <v>3152252</v>
      </c>
      <c r="I100" s="10">
        <v>4412612</v>
      </c>
      <c r="J100" s="10">
        <f t="shared" si="5"/>
        <v>5471638.8799999999</v>
      </c>
      <c r="K100" s="11">
        <f t="shared" si="6"/>
        <v>0.73578726573890663</v>
      </c>
    </row>
    <row r="101" spans="1:11" x14ac:dyDescent="0.3">
      <c r="A101" s="8" t="s">
        <v>83</v>
      </c>
      <c r="B101" s="9" t="s">
        <v>385</v>
      </c>
      <c r="C101" s="9" t="s">
        <v>14</v>
      </c>
      <c r="D101" s="9" t="s">
        <v>32</v>
      </c>
      <c r="E101" s="9" t="s">
        <v>616</v>
      </c>
      <c r="F101" s="9" t="s">
        <v>617</v>
      </c>
      <c r="G101" s="9" t="s">
        <v>619</v>
      </c>
      <c r="H101" s="10">
        <v>4367568</v>
      </c>
      <c r="I101" s="10">
        <v>0</v>
      </c>
      <c r="J101" s="10">
        <f t="shared" si="5"/>
        <v>0</v>
      </c>
      <c r="K101" s="11">
        <f t="shared" si="6"/>
        <v>-1</v>
      </c>
    </row>
    <row r="102" spans="1:11" x14ac:dyDescent="0.3">
      <c r="A102" s="8" t="s">
        <v>152</v>
      </c>
      <c r="B102" s="9" t="s">
        <v>442</v>
      </c>
      <c r="C102" s="9" t="s">
        <v>16</v>
      </c>
      <c r="D102" s="9" t="s">
        <v>40</v>
      </c>
      <c r="E102" s="9" t="s">
        <v>616</v>
      </c>
      <c r="F102" s="9" t="s">
        <v>617</v>
      </c>
      <c r="G102" s="9" t="s">
        <v>623</v>
      </c>
      <c r="H102" s="10">
        <v>0</v>
      </c>
      <c r="I102" s="10">
        <v>2701802</v>
      </c>
      <c r="J102" s="10">
        <f t="shared" si="5"/>
        <v>3350234.48</v>
      </c>
      <c r="K102" s="11">
        <f t="shared" si="6"/>
        <v>0</v>
      </c>
    </row>
    <row r="103" spans="1:11" x14ac:dyDescent="0.3">
      <c r="A103" s="8" t="s">
        <v>67</v>
      </c>
      <c r="B103" s="9" t="s">
        <v>369</v>
      </c>
      <c r="C103" s="9" t="s">
        <v>14</v>
      </c>
      <c r="D103" s="9" t="s">
        <v>24</v>
      </c>
      <c r="E103" s="9" t="s">
        <v>616</v>
      </c>
      <c r="F103" s="9" t="s">
        <v>617</v>
      </c>
      <c r="G103" s="9" t="s">
        <v>619</v>
      </c>
      <c r="H103" s="10">
        <v>6934234</v>
      </c>
      <c r="I103" s="10">
        <v>3601802</v>
      </c>
      <c r="J103" s="10">
        <f t="shared" si="5"/>
        <v>4466234.4799999995</v>
      </c>
      <c r="K103" s="11">
        <f t="shared" si="6"/>
        <v>-0.35591523447290652</v>
      </c>
    </row>
    <row r="104" spans="1:11" x14ac:dyDescent="0.3">
      <c r="A104" s="8" t="s">
        <v>151</v>
      </c>
      <c r="B104" s="9" t="s">
        <v>441</v>
      </c>
      <c r="C104" s="9" t="s">
        <v>16</v>
      </c>
      <c r="D104" s="9" t="s">
        <v>36</v>
      </c>
      <c r="E104" s="9" t="s">
        <v>616</v>
      </c>
      <c r="F104" s="9" t="s">
        <v>617</v>
      </c>
      <c r="G104" s="9" t="s">
        <v>622</v>
      </c>
      <c r="H104" s="10">
        <v>1981081</v>
      </c>
      <c r="I104" s="10">
        <v>1800901</v>
      </c>
      <c r="J104" s="10">
        <f t="shared" si="5"/>
        <v>2233117.2399999998</v>
      </c>
      <c r="K104" s="11">
        <f t="shared" si="6"/>
        <v>0.12722157246472998</v>
      </c>
    </row>
    <row r="105" spans="1:11" x14ac:dyDescent="0.3">
      <c r="A105" s="8" t="s">
        <v>82</v>
      </c>
      <c r="B105" s="9" t="s">
        <v>384</v>
      </c>
      <c r="C105" s="9" t="s">
        <v>16</v>
      </c>
      <c r="D105" s="9" t="s">
        <v>44</v>
      </c>
      <c r="E105" s="9" t="s">
        <v>616</v>
      </c>
      <c r="F105" s="9" t="s">
        <v>617</v>
      </c>
      <c r="G105" s="9" t="s">
        <v>622</v>
      </c>
      <c r="H105" s="10">
        <v>6305405</v>
      </c>
      <c r="I105" s="10">
        <v>0</v>
      </c>
      <c r="J105" s="10">
        <f t="shared" si="5"/>
        <v>0</v>
      </c>
      <c r="K105" s="11">
        <f t="shared" si="6"/>
        <v>-1</v>
      </c>
    </row>
    <row r="106" spans="1:11" x14ac:dyDescent="0.3">
      <c r="A106" s="8" t="s">
        <v>153</v>
      </c>
      <c r="B106" s="9" t="s">
        <v>443</v>
      </c>
      <c r="C106" s="9" t="s">
        <v>16</v>
      </c>
      <c r="D106" s="9" t="s">
        <v>40</v>
      </c>
      <c r="E106" s="9" t="s">
        <v>616</v>
      </c>
      <c r="F106" s="9" t="s">
        <v>617</v>
      </c>
      <c r="G106" s="9" t="s">
        <v>623</v>
      </c>
      <c r="H106" s="10">
        <v>15311711</v>
      </c>
      <c r="I106" s="10">
        <v>2791892</v>
      </c>
      <c r="J106" s="10">
        <f t="shared" si="5"/>
        <v>3461946.0799999996</v>
      </c>
      <c r="K106" s="11">
        <f t="shared" si="6"/>
        <v>-0.7739020753461191</v>
      </c>
    </row>
    <row r="107" spans="1:11" x14ac:dyDescent="0.3">
      <c r="A107" s="8" t="s">
        <v>89</v>
      </c>
      <c r="B107" s="9" t="s">
        <v>391</v>
      </c>
      <c r="C107" s="9" t="s">
        <v>16</v>
      </c>
      <c r="D107" s="9" t="s">
        <v>36</v>
      </c>
      <c r="E107" s="9" t="s">
        <v>616</v>
      </c>
      <c r="F107" s="9" t="s">
        <v>617</v>
      </c>
      <c r="G107" s="9" t="s">
        <v>622</v>
      </c>
      <c r="H107" s="10">
        <v>0</v>
      </c>
      <c r="I107" s="10">
        <v>2071171</v>
      </c>
      <c r="J107" s="10">
        <f t="shared" si="5"/>
        <v>2568252.04</v>
      </c>
      <c r="K107" s="11">
        <f t="shared" si="6"/>
        <v>0</v>
      </c>
    </row>
    <row r="108" spans="1:11" x14ac:dyDescent="0.3">
      <c r="A108" s="8" t="s">
        <v>283</v>
      </c>
      <c r="B108" s="9" t="s">
        <v>568</v>
      </c>
      <c r="C108" s="9" t="s">
        <v>16</v>
      </c>
      <c r="D108" s="9" t="s">
        <v>22</v>
      </c>
      <c r="E108" s="9" t="s">
        <v>632</v>
      </c>
      <c r="F108" s="9" t="s">
        <v>617</v>
      </c>
      <c r="G108" s="9" t="s">
        <v>618</v>
      </c>
      <c r="H108" s="10">
        <v>0</v>
      </c>
      <c r="I108" s="10">
        <v>0</v>
      </c>
      <c r="J108" s="10">
        <f t="shared" si="5"/>
        <v>0</v>
      </c>
      <c r="K108" s="11">
        <f t="shared" si="6"/>
        <v>0</v>
      </c>
    </row>
    <row r="109" spans="1:11" x14ac:dyDescent="0.3">
      <c r="A109" s="8" t="s">
        <v>81</v>
      </c>
      <c r="B109" s="9" t="s">
        <v>383</v>
      </c>
      <c r="C109" s="9" t="s">
        <v>16</v>
      </c>
      <c r="D109" s="9" t="s">
        <v>40</v>
      </c>
      <c r="E109" s="9" t="s">
        <v>616</v>
      </c>
      <c r="F109" s="9" t="s">
        <v>617</v>
      </c>
      <c r="G109" s="9" t="s">
        <v>623</v>
      </c>
      <c r="H109" s="10">
        <v>9051352</v>
      </c>
      <c r="I109" s="10">
        <v>7205405</v>
      </c>
      <c r="J109" s="10">
        <f t="shared" si="5"/>
        <v>8934702.2000000011</v>
      </c>
      <c r="K109" s="11">
        <f t="shared" si="6"/>
        <v>-1.2887555361894983E-2</v>
      </c>
    </row>
    <row r="110" spans="1:11" x14ac:dyDescent="0.3">
      <c r="A110" s="8" t="s">
        <v>154</v>
      </c>
      <c r="B110" s="9" t="s">
        <v>444</v>
      </c>
      <c r="C110" s="9" t="s">
        <v>14</v>
      </c>
      <c r="D110" s="9" t="s">
        <v>24</v>
      </c>
      <c r="E110" s="9" t="s">
        <v>616</v>
      </c>
      <c r="F110" s="9" t="s">
        <v>617</v>
      </c>
      <c r="G110" s="9" t="s">
        <v>619</v>
      </c>
      <c r="H110" s="10">
        <v>5582883</v>
      </c>
      <c r="I110" s="10">
        <v>7474774</v>
      </c>
      <c r="J110" s="10">
        <f t="shared" si="5"/>
        <v>9268719.7599999998</v>
      </c>
      <c r="K110" s="11">
        <f t="shared" si="6"/>
        <v>0.66020311727829506</v>
      </c>
    </row>
    <row r="111" spans="1:11" x14ac:dyDescent="0.3">
      <c r="A111" s="8" t="s">
        <v>93</v>
      </c>
      <c r="B111" s="9" t="s">
        <v>395</v>
      </c>
      <c r="C111" s="9" t="s">
        <v>14</v>
      </c>
      <c r="D111" s="9" t="s">
        <v>30</v>
      </c>
      <c r="E111" s="9" t="s">
        <v>616</v>
      </c>
      <c r="F111" s="9" t="s">
        <v>617</v>
      </c>
      <c r="G111" s="9" t="s">
        <v>620</v>
      </c>
      <c r="H111" s="10">
        <v>5133333</v>
      </c>
      <c r="I111" s="10">
        <v>5223423</v>
      </c>
      <c r="J111" s="10">
        <f t="shared" si="5"/>
        <v>6477044.5200000005</v>
      </c>
      <c r="K111" s="11">
        <f t="shared" si="6"/>
        <v>0.26176200141311706</v>
      </c>
    </row>
    <row r="112" spans="1:11" x14ac:dyDescent="0.3">
      <c r="A112" s="8" t="s">
        <v>64</v>
      </c>
      <c r="B112" s="9" t="s">
        <v>366</v>
      </c>
      <c r="C112" s="9" t="s">
        <v>14</v>
      </c>
      <c r="D112" s="9" t="s">
        <v>32</v>
      </c>
      <c r="E112" s="9" t="s">
        <v>616</v>
      </c>
      <c r="F112" s="9" t="s">
        <v>617</v>
      </c>
      <c r="G112" s="9" t="s">
        <v>619</v>
      </c>
      <c r="H112" s="10">
        <v>1800901</v>
      </c>
      <c r="I112" s="10">
        <v>0</v>
      </c>
      <c r="J112" s="10">
        <f t="shared" si="5"/>
        <v>0</v>
      </c>
      <c r="K112" s="11">
        <f t="shared" si="6"/>
        <v>-1</v>
      </c>
    </row>
    <row r="113" spans="1:11" x14ac:dyDescent="0.3">
      <c r="A113" s="8" t="s">
        <v>91</v>
      </c>
      <c r="B113" s="9" t="s">
        <v>393</v>
      </c>
      <c r="C113" s="9" t="s">
        <v>14</v>
      </c>
      <c r="D113" s="9" t="s">
        <v>28</v>
      </c>
      <c r="E113" s="9" t="s">
        <v>616</v>
      </c>
      <c r="F113" s="9" t="s">
        <v>617</v>
      </c>
      <c r="G113" s="9" t="s">
        <v>620</v>
      </c>
      <c r="H113" s="10">
        <v>72397299</v>
      </c>
      <c r="I113" s="10">
        <v>2431532</v>
      </c>
      <c r="J113" s="10">
        <f t="shared" si="5"/>
        <v>3015099.68</v>
      </c>
      <c r="K113" s="11">
        <f t="shared" si="6"/>
        <v>-0.95835342310215177</v>
      </c>
    </row>
    <row r="114" spans="1:11" x14ac:dyDescent="0.3">
      <c r="A114" s="8" t="s">
        <v>84</v>
      </c>
      <c r="B114" s="9" t="s">
        <v>386</v>
      </c>
      <c r="C114" s="9" t="s">
        <v>16</v>
      </c>
      <c r="D114" s="9" t="s">
        <v>44</v>
      </c>
      <c r="E114" s="9" t="s">
        <v>616</v>
      </c>
      <c r="F114" s="9" t="s">
        <v>617</v>
      </c>
      <c r="G114" s="9" t="s">
        <v>622</v>
      </c>
      <c r="H114" s="10">
        <v>0</v>
      </c>
      <c r="I114" s="10">
        <v>0</v>
      </c>
      <c r="J114" s="10">
        <f t="shared" si="5"/>
        <v>0</v>
      </c>
      <c r="K114" s="11">
        <f t="shared" si="6"/>
        <v>0</v>
      </c>
    </row>
    <row r="115" spans="1:11" x14ac:dyDescent="0.3">
      <c r="A115" s="8" t="s">
        <v>284</v>
      </c>
      <c r="B115" s="9" t="s">
        <v>569</v>
      </c>
      <c r="C115" s="9" t="s">
        <v>16</v>
      </c>
      <c r="D115" s="9" t="s">
        <v>44</v>
      </c>
      <c r="E115" s="9" t="s">
        <v>632</v>
      </c>
      <c r="F115" s="9" t="s">
        <v>617</v>
      </c>
      <c r="G115" s="9" t="s">
        <v>622</v>
      </c>
      <c r="H115" s="10">
        <v>0</v>
      </c>
      <c r="I115" s="10">
        <v>0</v>
      </c>
      <c r="J115" s="10">
        <f t="shared" si="5"/>
        <v>0</v>
      </c>
      <c r="K115" s="11">
        <f t="shared" si="6"/>
        <v>0</v>
      </c>
    </row>
    <row r="116" spans="1:11" x14ac:dyDescent="0.3">
      <c r="A116" s="8" t="s">
        <v>285</v>
      </c>
      <c r="B116" s="9" t="s">
        <v>570</v>
      </c>
      <c r="C116" s="9" t="s">
        <v>16</v>
      </c>
      <c r="D116" s="9" t="s">
        <v>36</v>
      </c>
      <c r="E116" s="9" t="s">
        <v>632</v>
      </c>
      <c r="F116" s="9" t="s">
        <v>617</v>
      </c>
      <c r="G116" s="9" t="s">
        <v>622</v>
      </c>
      <c r="H116" s="10">
        <v>0</v>
      </c>
      <c r="I116" s="10">
        <v>0</v>
      </c>
      <c r="J116" s="10">
        <f t="shared" si="5"/>
        <v>0</v>
      </c>
      <c r="K116" s="11">
        <f t="shared" si="6"/>
        <v>0</v>
      </c>
    </row>
    <row r="117" spans="1:11" x14ac:dyDescent="0.3">
      <c r="A117" s="8" t="s">
        <v>72</v>
      </c>
      <c r="B117" s="9" t="s">
        <v>374</v>
      </c>
      <c r="C117" s="9" t="s">
        <v>14</v>
      </c>
      <c r="D117" s="9" t="s">
        <v>30</v>
      </c>
      <c r="E117" s="9" t="s">
        <v>616</v>
      </c>
      <c r="F117" s="9" t="s">
        <v>617</v>
      </c>
      <c r="G117" s="9" t="s">
        <v>620</v>
      </c>
      <c r="H117" s="10">
        <v>1350450</v>
      </c>
      <c r="I117" s="10">
        <v>3152252</v>
      </c>
      <c r="J117" s="10">
        <f t="shared" si="5"/>
        <v>3908792.48</v>
      </c>
      <c r="K117" s="11">
        <f t="shared" si="6"/>
        <v>1.8944370246954718</v>
      </c>
    </row>
    <row r="118" spans="1:11" x14ac:dyDescent="0.3">
      <c r="A118" s="8" t="s">
        <v>286</v>
      </c>
      <c r="B118" s="9" t="s">
        <v>571</v>
      </c>
      <c r="C118" s="9" t="s">
        <v>16</v>
      </c>
      <c r="D118" s="9" t="s">
        <v>22</v>
      </c>
      <c r="E118" s="9" t="s">
        <v>632</v>
      </c>
      <c r="F118" s="9" t="s">
        <v>617</v>
      </c>
      <c r="G118" s="9" t="s">
        <v>618</v>
      </c>
      <c r="H118" s="10">
        <v>0</v>
      </c>
      <c r="I118" s="10">
        <v>0</v>
      </c>
      <c r="J118" s="10">
        <f t="shared" si="5"/>
        <v>0</v>
      </c>
      <c r="K118" s="11">
        <f t="shared" si="6"/>
        <v>0</v>
      </c>
    </row>
    <row r="119" spans="1:11" x14ac:dyDescent="0.3">
      <c r="A119" s="8" t="s">
        <v>106</v>
      </c>
      <c r="B119" s="9" t="s">
        <v>408</v>
      </c>
      <c r="C119" s="9" t="s">
        <v>16</v>
      </c>
      <c r="D119" s="9" t="s">
        <v>34</v>
      </c>
      <c r="E119" s="9" t="s">
        <v>616</v>
      </c>
      <c r="F119" s="9" t="s">
        <v>617</v>
      </c>
      <c r="G119" s="9" t="s">
        <v>621</v>
      </c>
      <c r="H119" s="10">
        <v>11797297</v>
      </c>
      <c r="I119" s="10">
        <v>0</v>
      </c>
      <c r="J119" s="10">
        <f t="shared" si="5"/>
        <v>0</v>
      </c>
      <c r="K119" s="11">
        <f t="shared" si="6"/>
        <v>-1</v>
      </c>
    </row>
    <row r="120" spans="1:11" x14ac:dyDescent="0.3">
      <c r="A120" s="8" t="s">
        <v>201</v>
      </c>
      <c r="B120" s="9" t="s">
        <v>491</v>
      </c>
      <c r="C120" s="9" t="s">
        <v>120</v>
      </c>
      <c r="D120" s="9" t="s">
        <v>135</v>
      </c>
      <c r="E120" s="9" t="s">
        <v>627</v>
      </c>
      <c r="F120" s="9" t="s">
        <v>617</v>
      </c>
      <c r="G120" s="9" t="s">
        <v>622</v>
      </c>
      <c r="H120" s="10">
        <v>0</v>
      </c>
      <c r="I120" s="10">
        <v>0</v>
      </c>
      <c r="J120" s="10">
        <f t="shared" si="5"/>
        <v>0</v>
      </c>
      <c r="K120" s="11">
        <f t="shared" si="6"/>
        <v>0</v>
      </c>
    </row>
    <row r="121" spans="1:11" x14ac:dyDescent="0.3">
      <c r="A121" s="8" t="s">
        <v>101</v>
      </c>
      <c r="B121" s="9" t="s">
        <v>403</v>
      </c>
      <c r="C121" s="9" t="s">
        <v>16</v>
      </c>
      <c r="D121" s="9" t="s">
        <v>42</v>
      </c>
      <c r="E121" s="9" t="s">
        <v>616</v>
      </c>
      <c r="F121" s="9" t="s">
        <v>617</v>
      </c>
      <c r="G121" s="9" t="s">
        <v>618</v>
      </c>
      <c r="H121" s="10">
        <v>7655856</v>
      </c>
      <c r="I121" s="10">
        <v>3152252</v>
      </c>
      <c r="J121" s="10">
        <f t="shared" si="5"/>
        <v>3908792.48</v>
      </c>
      <c r="K121" s="11">
        <f t="shared" si="6"/>
        <v>-0.48943756517886439</v>
      </c>
    </row>
    <row r="122" spans="1:11" x14ac:dyDescent="0.3">
      <c r="A122" s="8" t="s">
        <v>287</v>
      </c>
      <c r="B122" s="9" t="s">
        <v>572</v>
      </c>
      <c r="C122" s="9" t="s">
        <v>16</v>
      </c>
      <c r="D122" s="9" t="s">
        <v>36</v>
      </c>
      <c r="E122" s="9" t="s">
        <v>632</v>
      </c>
      <c r="F122" s="9" t="s">
        <v>617</v>
      </c>
      <c r="G122" s="9" t="s">
        <v>622</v>
      </c>
      <c r="H122" s="10">
        <v>0</v>
      </c>
      <c r="I122" s="10">
        <v>0</v>
      </c>
      <c r="J122" s="10">
        <f t="shared" si="5"/>
        <v>0</v>
      </c>
      <c r="K122" s="11">
        <f t="shared" si="6"/>
        <v>0</v>
      </c>
    </row>
    <row r="123" spans="1:11" x14ac:dyDescent="0.3">
      <c r="A123" s="8" t="s">
        <v>76</v>
      </c>
      <c r="B123" s="9" t="s">
        <v>378</v>
      </c>
      <c r="C123" s="9" t="s">
        <v>16</v>
      </c>
      <c r="D123" s="9" t="s">
        <v>22</v>
      </c>
      <c r="E123" s="9" t="s">
        <v>616</v>
      </c>
      <c r="F123" s="9" t="s">
        <v>617</v>
      </c>
      <c r="G123" s="9" t="s">
        <v>618</v>
      </c>
      <c r="H123" s="10">
        <v>95539644</v>
      </c>
      <c r="I123" s="10">
        <v>6213513</v>
      </c>
      <c r="J123" s="10">
        <f t="shared" si="5"/>
        <v>7704756.1200000001</v>
      </c>
      <c r="K123" s="11">
        <f t="shared" si="6"/>
        <v>-0.91935540266405003</v>
      </c>
    </row>
    <row r="124" spans="1:11" x14ac:dyDescent="0.3">
      <c r="A124" s="8" t="s">
        <v>104</v>
      </c>
      <c r="B124" s="9" t="s">
        <v>406</v>
      </c>
      <c r="C124" s="9" t="s">
        <v>16</v>
      </c>
      <c r="D124" s="9" t="s">
        <v>36</v>
      </c>
      <c r="E124" s="9" t="s">
        <v>616</v>
      </c>
      <c r="F124" s="9" t="s">
        <v>617</v>
      </c>
      <c r="G124" s="9" t="s">
        <v>622</v>
      </c>
      <c r="H124" s="10">
        <v>0</v>
      </c>
      <c r="I124" s="10">
        <v>0</v>
      </c>
      <c r="J124" s="10">
        <f t="shared" si="5"/>
        <v>0</v>
      </c>
      <c r="K124" s="11">
        <f t="shared" si="6"/>
        <v>0</v>
      </c>
    </row>
    <row r="125" spans="1:11" x14ac:dyDescent="0.3">
      <c r="A125" s="8" t="s">
        <v>97</v>
      </c>
      <c r="B125" s="9" t="s">
        <v>399</v>
      </c>
      <c r="C125" s="9" t="s">
        <v>16</v>
      </c>
      <c r="D125" s="9" t="s">
        <v>44</v>
      </c>
      <c r="E125" s="9" t="s">
        <v>616</v>
      </c>
      <c r="F125" s="9" t="s">
        <v>617</v>
      </c>
      <c r="G125" s="9" t="s">
        <v>622</v>
      </c>
      <c r="H125" s="10">
        <v>3152252</v>
      </c>
      <c r="I125" s="10">
        <v>0</v>
      </c>
      <c r="J125" s="10">
        <f t="shared" si="5"/>
        <v>0</v>
      </c>
      <c r="K125" s="11">
        <f t="shared" si="6"/>
        <v>-1</v>
      </c>
    </row>
    <row r="126" spans="1:11" x14ac:dyDescent="0.3">
      <c r="A126" s="8" t="s">
        <v>31</v>
      </c>
      <c r="B126" s="9" t="s">
        <v>342</v>
      </c>
      <c r="C126" s="9" t="s">
        <v>14</v>
      </c>
      <c r="D126" s="9" t="s">
        <v>32</v>
      </c>
      <c r="E126" s="9" t="s">
        <v>616</v>
      </c>
      <c r="F126" s="9" t="s">
        <v>617</v>
      </c>
      <c r="G126" s="9" t="s">
        <v>619</v>
      </c>
      <c r="H126" s="10">
        <v>7970271</v>
      </c>
      <c r="I126" s="10">
        <v>11978378</v>
      </c>
      <c r="J126" s="10">
        <f t="shared" si="5"/>
        <v>14853188.720000001</v>
      </c>
      <c r="K126" s="11">
        <f t="shared" si="6"/>
        <v>0.86357386342321363</v>
      </c>
    </row>
    <row r="127" spans="1:11" x14ac:dyDescent="0.3">
      <c r="A127" s="8" t="s">
        <v>90</v>
      </c>
      <c r="B127" s="9" t="s">
        <v>392</v>
      </c>
      <c r="C127" s="9" t="s">
        <v>16</v>
      </c>
      <c r="D127" s="9" t="s">
        <v>34</v>
      </c>
      <c r="E127" s="9" t="s">
        <v>616</v>
      </c>
      <c r="F127" s="9" t="s">
        <v>617</v>
      </c>
      <c r="G127" s="9" t="s">
        <v>621</v>
      </c>
      <c r="H127" s="10">
        <v>1800901</v>
      </c>
      <c r="I127" s="10">
        <v>0</v>
      </c>
      <c r="J127" s="10">
        <f t="shared" si="5"/>
        <v>0</v>
      </c>
      <c r="K127" s="11">
        <f t="shared" si="6"/>
        <v>-1</v>
      </c>
    </row>
    <row r="128" spans="1:11" x14ac:dyDescent="0.3">
      <c r="A128" s="8" t="s">
        <v>161</v>
      </c>
      <c r="B128" s="9" t="s">
        <v>451</v>
      </c>
      <c r="C128" s="9" t="s">
        <v>16</v>
      </c>
      <c r="D128" s="9" t="s">
        <v>36</v>
      </c>
      <c r="E128" s="9" t="s">
        <v>616</v>
      </c>
      <c r="F128" s="9" t="s">
        <v>617</v>
      </c>
      <c r="G128" s="9" t="s">
        <v>622</v>
      </c>
      <c r="H128" s="10">
        <v>3781982</v>
      </c>
      <c r="I128" s="10">
        <v>3152252</v>
      </c>
      <c r="J128" s="10">
        <f t="shared" si="5"/>
        <v>3908792.48</v>
      </c>
      <c r="K128" s="11">
        <f t="shared" si="6"/>
        <v>3.3530164871223601E-2</v>
      </c>
    </row>
    <row r="129" spans="1:11" x14ac:dyDescent="0.3">
      <c r="A129" s="8" t="s">
        <v>111</v>
      </c>
      <c r="B129" s="9" t="s">
        <v>413</v>
      </c>
      <c r="C129" s="9" t="s">
        <v>16</v>
      </c>
      <c r="D129" s="9" t="s">
        <v>34</v>
      </c>
      <c r="E129" s="9" t="s">
        <v>616</v>
      </c>
      <c r="F129" s="9" t="s">
        <v>617</v>
      </c>
      <c r="G129" s="9" t="s">
        <v>621</v>
      </c>
      <c r="H129" s="10">
        <v>1981081</v>
      </c>
      <c r="I129" s="10">
        <v>0</v>
      </c>
      <c r="J129" s="10">
        <f t="shared" si="5"/>
        <v>0</v>
      </c>
      <c r="K129" s="11">
        <f t="shared" si="6"/>
        <v>-1</v>
      </c>
    </row>
    <row r="130" spans="1:11" x14ac:dyDescent="0.3">
      <c r="A130" s="8" t="s">
        <v>78</v>
      </c>
      <c r="B130" s="9" t="s">
        <v>380</v>
      </c>
      <c r="C130" s="9" t="s">
        <v>16</v>
      </c>
      <c r="D130" s="9" t="s">
        <v>38</v>
      </c>
      <c r="E130" s="9" t="s">
        <v>616</v>
      </c>
      <c r="F130" s="9" t="s">
        <v>617</v>
      </c>
      <c r="G130" s="9" t="s">
        <v>621</v>
      </c>
      <c r="H130" s="10">
        <v>11348649</v>
      </c>
      <c r="I130" s="10">
        <v>4863964</v>
      </c>
      <c r="J130" s="10">
        <f t="shared" si="5"/>
        <v>6031315.3600000003</v>
      </c>
      <c r="K130" s="11">
        <f t="shared" si="6"/>
        <v>-0.46854331647758246</v>
      </c>
    </row>
    <row r="131" spans="1:11" x14ac:dyDescent="0.3">
      <c r="A131" s="8" t="s">
        <v>95</v>
      </c>
      <c r="B131" s="9" t="s">
        <v>397</v>
      </c>
      <c r="C131" s="9" t="s">
        <v>16</v>
      </c>
      <c r="D131" s="9" t="s">
        <v>38</v>
      </c>
      <c r="E131" s="9" t="s">
        <v>616</v>
      </c>
      <c r="F131" s="9" t="s">
        <v>617</v>
      </c>
      <c r="G131" s="9" t="s">
        <v>621</v>
      </c>
      <c r="H131" s="10">
        <v>0</v>
      </c>
      <c r="I131" s="10">
        <v>8375675</v>
      </c>
      <c r="J131" s="10">
        <f t="shared" si="5"/>
        <v>10385837</v>
      </c>
      <c r="K131" s="11">
        <f t="shared" si="6"/>
        <v>0</v>
      </c>
    </row>
    <row r="132" spans="1:11" x14ac:dyDescent="0.3">
      <c r="A132" s="8" t="s">
        <v>255</v>
      </c>
      <c r="B132" s="9" t="s">
        <v>544</v>
      </c>
      <c r="C132" s="9" t="s">
        <v>14</v>
      </c>
      <c r="D132" s="9" t="s">
        <v>30</v>
      </c>
      <c r="E132" s="9" t="s">
        <v>630</v>
      </c>
      <c r="F132" s="9" t="s">
        <v>617</v>
      </c>
      <c r="G132" s="9" t="s">
        <v>620</v>
      </c>
      <c r="H132" s="10">
        <v>0</v>
      </c>
      <c r="I132" s="10">
        <v>0</v>
      </c>
      <c r="J132" s="10">
        <f t="shared" si="5"/>
        <v>0</v>
      </c>
      <c r="K132" s="11">
        <f t="shared" si="6"/>
        <v>0</v>
      </c>
    </row>
    <row r="133" spans="1:11" x14ac:dyDescent="0.3">
      <c r="A133" s="8" t="s">
        <v>75</v>
      </c>
      <c r="B133" s="9" t="s">
        <v>377</v>
      </c>
      <c r="C133" s="9" t="s">
        <v>16</v>
      </c>
      <c r="D133" s="9" t="s">
        <v>42</v>
      </c>
      <c r="E133" s="9" t="s">
        <v>616</v>
      </c>
      <c r="F133" s="9" t="s">
        <v>617</v>
      </c>
      <c r="G133" s="9" t="s">
        <v>618</v>
      </c>
      <c r="H133" s="10">
        <v>1981081</v>
      </c>
      <c r="I133" s="10">
        <v>0</v>
      </c>
      <c r="J133" s="10">
        <f t="shared" ref="J133:J196" si="7">IFERROR((I133/$A$1*$B$1),0)</f>
        <v>0</v>
      </c>
      <c r="K133" s="11">
        <f t="shared" ref="K133:K196" si="8">IFERROR((J133-H133)/H133,0)</f>
        <v>-1</v>
      </c>
    </row>
    <row r="134" spans="1:11" x14ac:dyDescent="0.3">
      <c r="A134" s="8" t="s">
        <v>159</v>
      </c>
      <c r="B134" s="9" t="s">
        <v>449</v>
      </c>
      <c r="C134" s="9" t="s">
        <v>16</v>
      </c>
      <c r="D134" s="9" t="s">
        <v>40</v>
      </c>
      <c r="E134" s="9" t="s">
        <v>616</v>
      </c>
      <c r="F134" s="9" t="s">
        <v>617</v>
      </c>
      <c r="G134" s="9" t="s">
        <v>623</v>
      </c>
      <c r="H134" s="10">
        <v>4953153</v>
      </c>
      <c r="I134" s="10">
        <v>9006307</v>
      </c>
      <c r="J134" s="10">
        <f t="shared" si="7"/>
        <v>11167820.680000002</v>
      </c>
      <c r="K134" s="11">
        <f t="shared" si="8"/>
        <v>1.2546892211890086</v>
      </c>
    </row>
    <row r="135" spans="1:11" x14ac:dyDescent="0.3">
      <c r="A135" s="8" t="s">
        <v>158</v>
      </c>
      <c r="B135" s="9" t="s">
        <v>448</v>
      </c>
      <c r="C135" s="9" t="s">
        <v>16</v>
      </c>
      <c r="D135" s="9" t="s">
        <v>40</v>
      </c>
      <c r="E135" s="9" t="s">
        <v>616</v>
      </c>
      <c r="F135" s="9" t="s">
        <v>617</v>
      </c>
      <c r="G135" s="9" t="s">
        <v>623</v>
      </c>
      <c r="H135" s="10">
        <v>6889189</v>
      </c>
      <c r="I135" s="10">
        <v>5583784</v>
      </c>
      <c r="J135" s="10">
        <f t="shared" si="7"/>
        <v>6923892.1599999992</v>
      </c>
      <c r="K135" s="11">
        <f t="shared" si="8"/>
        <v>5.0373360347639199E-3</v>
      </c>
    </row>
    <row r="136" spans="1:11" x14ac:dyDescent="0.3">
      <c r="A136" s="8" t="s">
        <v>85</v>
      </c>
      <c r="B136" s="9" t="s">
        <v>387</v>
      </c>
      <c r="C136" s="9" t="s">
        <v>16</v>
      </c>
      <c r="D136" s="9" t="s">
        <v>34</v>
      </c>
      <c r="E136" s="9" t="s">
        <v>616</v>
      </c>
      <c r="F136" s="9" t="s">
        <v>617</v>
      </c>
      <c r="G136" s="9" t="s">
        <v>621</v>
      </c>
      <c r="H136" s="10">
        <v>4953153</v>
      </c>
      <c r="I136" s="10">
        <v>0</v>
      </c>
      <c r="J136" s="10">
        <f t="shared" si="7"/>
        <v>0</v>
      </c>
      <c r="K136" s="11">
        <f t="shared" si="8"/>
        <v>-1</v>
      </c>
    </row>
    <row r="137" spans="1:11" x14ac:dyDescent="0.3">
      <c r="A137" s="8" t="s">
        <v>92</v>
      </c>
      <c r="B137" s="9" t="s">
        <v>394</v>
      </c>
      <c r="C137" s="9" t="s">
        <v>16</v>
      </c>
      <c r="D137" s="9" t="s">
        <v>34</v>
      </c>
      <c r="E137" s="9" t="s">
        <v>616</v>
      </c>
      <c r="F137" s="9" t="s">
        <v>617</v>
      </c>
      <c r="G137" s="9" t="s">
        <v>621</v>
      </c>
      <c r="H137" s="10">
        <v>14499099</v>
      </c>
      <c r="I137" s="10">
        <v>0</v>
      </c>
      <c r="J137" s="10">
        <f t="shared" si="7"/>
        <v>0</v>
      </c>
      <c r="K137" s="11">
        <f t="shared" si="8"/>
        <v>-1</v>
      </c>
    </row>
    <row r="138" spans="1:11" x14ac:dyDescent="0.3">
      <c r="A138" s="8" t="s">
        <v>109</v>
      </c>
      <c r="B138" s="9" t="s">
        <v>411</v>
      </c>
      <c r="C138" s="9" t="s">
        <v>16</v>
      </c>
      <c r="D138" s="9" t="s">
        <v>38</v>
      </c>
      <c r="E138" s="9" t="s">
        <v>616</v>
      </c>
      <c r="F138" s="9" t="s">
        <v>617</v>
      </c>
      <c r="G138" s="9" t="s">
        <v>621</v>
      </c>
      <c r="H138" s="10">
        <v>3152252</v>
      </c>
      <c r="I138" s="10">
        <v>3152252</v>
      </c>
      <c r="J138" s="10">
        <f t="shared" si="7"/>
        <v>3908792.48</v>
      </c>
      <c r="K138" s="11">
        <f t="shared" si="8"/>
        <v>0.24</v>
      </c>
    </row>
    <row r="139" spans="1:11" x14ac:dyDescent="0.3">
      <c r="A139" s="8" t="s">
        <v>107</v>
      </c>
      <c r="B139" s="9" t="s">
        <v>409</v>
      </c>
      <c r="C139" s="9" t="s">
        <v>16</v>
      </c>
      <c r="D139" s="9" t="s">
        <v>34</v>
      </c>
      <c r="E139" s="9" t="s">
        <v>616</v>
      </c>
      <c r="F139" s="9" t="s">
        <v>617</v>
      </c>
      <c r="G139" s="9" t="s">
        <v>621</v>
      </c>
      <c r="H139" s="10">
        <v>0</v>
      </c>
      <c r="I139" s="10">
        <v>2341441</v>
      </c>
      <c r="J139" s="10">
        <f t="shared" si="7"/>
        <v>2903386.84</v>
      </c>
      <c r="K139" s="11">
        <f t="shared" si="8"/>
        <v>0</v>
      </c>
    </row>
    <row r="140" spans="1:11" x14ac:dyDescent="0.3">
      <c r="A140" s="8" t="s">
        <v>87</v>
      </c>
      <c r="B140" s="9" t="s">
        <v>389</v>
      </c>
      <c r="C140" s="9" t="s">
        <v>14</v>
      </c>
      <c r="D140" s="9" t="s">
        <v>32</v>
      </c>
      <c r="E140" s="9" t="s">
        <v>616</v>
      </c>
      <c r="F140" s="9" t="s">
        <v>617</v>
      </c>
      <c r="G140" s="9" t="s">
        <v>619</v>
      </c>
      <c r="H140" s="10">
        <v>3601802</v>
      </c>
      <c r="I140" s="10">
        <v>9366666</v>
      </c>
      <c r="J140" s="10">
        <f t="shared" si="7"/>
        <v>11614665.84</v>
      </c>
      <c r="K140" s="11">
        <f t="shared" si="8"/>
        <v>2.2246819342095985</v>
      </c>
    </row>
    <row r="141" spans="1:11" x14ac:dyDescent="0.3">
      <c r="A141" s="8" t="s">
        <v>114</v>
      </c>
      <c r="B141" s="9" t="s">
        <v>416</v>
      </c>
      <c r="C141" s="9" t="s">
        <v>16</v>
      </c>
      <c r="D141" s="9" t="s">
        <v>38</v>
      </c>
      <c r="E141" s="9" t="s">
        <v>616</v>
      </c>
      <c r="F141" s="9" t="s">
        <v>617</v>
      </c>
      <c r="G141" s="9" t="s">
        <v>621</v>
      </c>
      <c r="H141" s="10">
        <v>0</v>
      </c>
      <c r="I141" s="10">
        <v>2341441</v>
      </c>
      <c r="J141" s="10">
        <f t="shared" si="7"/>
        <v>2903386.84</v>
      </c>
      <c r="K141" s="11">
        <f t="shared" si="8"/>
        <v>0</v>
      </c>
    </row>
    <row r="142" spans="1:11" x14ac:dyDescent="0.3">
      <c r="A142" s="8" t="s">
        <v>162</v>
      </c>
      <c r="B142" s="9" t="s">
        <v>452</v>
      </c>
      <c r="C142" s="9" t="s">
        <v>16</v>
      </c>
      <c r="D142" s="9" t="s">
        <v>40</v>
      </c>
      <c r="E142" s="9" t="s">
        <v>616</v>
      </c>
      <c r="F142" s="9" t="s">
        <v>617</v>
      </c>
      <c r="G142" s="9" t="s">
        <v>623</v>
      </c>
      <c r="H142" s="10">
        <v>12518018</v>
      </c>
      <c r="I142" s="10">
        <v>2431532</v>
      </c>
      <c r="J142" s="10">
        <f t="shared" si="7"/>
        <v>3015099.68</v>
      </c>
      <c r="K142" s="11">
        <f t="shared" si="8"/>
        <v>-0.75913921197429179</v>
      </c>
    </row>
    <row r="143" spans="1:11" x14ac:dyDescent="0.3">
      <c r="A143" s="8" t="s">
        <v>66</v>
      </c>
      <c r="B143" s="9" t="s">
        <v>368</v>
      </c>
      <c r="C143" s="9" t="s">
        <v>14</v>
      </c>
      <c r="D143" s="9" t="s">
        <v>28</v>
      </c>
      <c r="E143" s="9" t="s">
        <v>616</v>
      </c>
      <c r="F143" s="9" t="s">
        <v>617</v>
      </c>
      <c r="G143" s="9" t="s">
        <v>620</v>
      </c>
      <c r="H143" s="10">
        <v>9681081</v>
      </c>
      <c r="I143" s="10">
        <v>3152252</v>
      </c>
      <c r="J143" s="10">
        <f t="shared" si="7"/>
        <v>3908792.48</v>
      </c>
      <c r="K143" s="11">
        <f t="shared" si="8"/>
        <v>-0.59624421281053219</v>
      </c>
    </row>
    <row r="144" spans="1:11" x14ac:dyDescent="0.3">
      <c r="A144" s="8" t="s">
        <v>112</v>
      </c>
      <c r="B144" s="9" t="s">
        <v>414</v>
      </c>
      <c r="C144" s="9" t="s">
        <v>14</v>
      </c>
      <c r="D144" s="9" t="s">
        <v>32</v>
      </c>
      <c r="E144" s="9" t="s">
        <v>616</v>
      </c>
      <c r="F144" s="9" t="s">
        <v>617</v>
      </c>
      <c r="G144" s="9" t="s">
        <v>619</v>
      </c>
      <c r="H144" s="10">
        <v>3601802</v>
      </c>
      <c r="I144" s="10">
        <v>12248648</v>
      </c>
      <c r="J144" s="10">
        <f t="shared" si="7"/>
        <v>15188323.52</v>
      </c>
      <c r="K144" s="11">
        <f t="shared" si="8"/>
        <v>3.2168679788616918</v>
      </c>
    </row>
    <row r="145" spans="1:11" x14ac:dyDescent="0.3">
      <c r="A145" s="8" t="s">
        <v>74</v>
      </c>
      <c r="B145" s="9" t="s">
        <v>376</v>
      </c>
      <c r="C145" s="9" t="s">
        <v>16</v>
      </c>
      <c r="D145" s="9" t="s">
        <v>34</v>
      </c>
      <c r="E145" s="9" t="s">
        <v>616</v>
      </c>
      <c r="F145" s="9" t="s">
        <v>617</v>
      </c>
      <c r="G145" s="9" t="s">
        <v>621</v>
      </c>
      <c r="H145" s="10">
        <v>26519821</v>
      </c>
      <c r="I145" s="10">
        <v>12517116</v>
      </c>
      <c r="J145" s="10">
        <f t="shared" si="7"/>
        <v>15521223.84</v>
      </c>
      <c r="K145" s="11">
        <f t="shared" si="8"/>
        <v>-0.41473119897754968</v>
      </c>
    </row>
    <row r="146" spans="1:11" x14ac:dyDescent="0.3">
      <c r="A146" s="8" t="s">
        <v>160</v>
      </c>
      <c r="B146" s="9" t="s">
        <v>450</v>
      </c>
      <c r="C146" s="9" t="s">
        <v>16</v>
      </c>
      <c r="D146" s="9" t="s">
        <v>40</v>
      </c>
      <c r="E146" s="9" t="s">
        <v>616</v>
      </c>
      <c r="F146" s="9" t="s">
        <v>617</v>
      </c>
      <c r="G146" s="9" t="s">
        <v>623</v>
      </c>
      <c r="H146" s="10">
        <v>6844144</v>
      </c>
      <c r="I146" s="10">
        <v>7114414</v>
      </c>
      <c r="J146" s="10">
        <f t="shared" si="7"/>
        <v>8821873.3599999994</v>
      </c>
      <c r="K146" s="11">
        <f t="shared" si="8"/>
        <v>0.2889666494451314</v>
      </c>
    </row>
    <row r="147" spans="1:11" x14ac:dyDescent="0.3">
      <c r="A147" s="8" t="s">
        <v>68</v>
      </c>
      <c r="B147" s="9" t="s">
        <v>370</v>
      </c>
      <c r="C147" s="9" t="s">
        <v>16</v>
      </c>
      <c r="D147" s="9" t="s">
        <v>38</v>
      </c>
      <c r="E147" s="9" t="s">
        <v>616</v>
      </c>
      <c r="F147" s="9" t="s">
        <v>617</v>
      </c>
      <c r="G147" s="9" t="s">
        <v>622</v>
      </c>
      <c r="H147" s="10">
        <v>24676577</v>
      </c>
      <c r="I147" s="10">
        <v>14771172</v>
      </c>
      <c r="J147" s="10">
        <f t="shared" si="7"/>
        <v>18316253.280000001</v>
      </c>
      <c r="K147" s="11">
        <f t="shared" si="8"/>
        <v>-0.25774740637650023</v>
      </c>
    </row>
    <row r="148" spans="1:11" x14ac:dyDescent="0.3">
      <c r="A148" s="8" t="s">
        <v>105</v>
      </c>
      <c r="B148" s="9" t="s">
        <v>407</v>
      </c>
      <c r="C148" s="9" t="s">
        <v>14</v>
      </c>
      <c r="D148" s="9" t="s">
        <v>32</v>
      </c>
      <c r="E148" s="9" t="s">
        <v>616</v>
      </c>
      <c r="F148" s="9" t="s">
        <v>617</v>
      </c>
      <c r="G148" s="9" t="s">
        <v>619</v>
      </c>
      <c r="H148" s="10">
        <v>3152252</v>
      </c>
      <c r="I148" s="10">
        <v>6484685</v>
      </c>
      <c r="J148" s="10">
        <f t="shared" si="7"/>
        <v>8041009.3999999994</v>
      </c>
      <c r="K148" s="11">
        <f t="shared" si="8"/>
        <v>1.5508777217049905</v>
      </c>
    </row>
    <row r="149" spans="1:11" x14ac:dyDescent="0.3">
      <c r="A149" s="8" t="s">
        <v>33</v>
      </c>
      <c r="B149" s="9" t="s">
        <v>343</v>
      </c>
      <c r="C149" s="9" t="s">
        <v>16</v>
      </c>
      <c r="D149" s="9" t="s">
        <v>36</v>
      </c>
      <c r="E149" s="9" t="s">
        <v>616</v>
      </c>
      <c r="F149" s="9" t="s">
        <v>617</v>
      </c>
      <c r="G149" s="9" t="s">
        <v>622</v>
      </c>
      <c r="H149" s="10">
        <v>8871171</v>
      </c>
      <c r="I149" s="10">
        <v>10627027</v>
      </c>
      <c r="J149" s="10">
        <f t="shared" si="7"/>
        <v>13177513.48</v>
      </c>
      <c r="K149" s="11">
        <f t="shared" si="8"/>
        <v>0.48543112064912292</v>
      </c>
    </row>
    <row r="150" spans="1:11" x14ac:dyDescent="0.3">
      <c r="A150" s="8" t="s">
        <v>103</v>
      </c>
      <c r="B150" s="9" t="s">
        <v>405</v>
      </c>
      <c r="C150" s="9" t="s">
        <v>14</v>
      </c>
      <c r="D150" s="9" t="s">
        <v>26</v>
      </c>
      <c r="E150" s="9" t="s">
        <v>616</v>
      </c>
      <c r="F150" s="9" t="s">
        <v>617</v>
      </c>
      <c r="G150" s="9" t="s">
        <v>619</v>
      </c>
      <c r="H150" s="10">
        <v>11257657</v>
      </c>
      <c r="I150" s="10">
        <v>2071171</v>
      </c>
      <c r="J150" s="10">
        <f t="shared" si="7"/>
        <v>2568252.04</v>
      </c>
      <c r="K150" s="11">
        <f t="shared" si="8"/>
        <v>-0.77186620270985351</v>
      </c>
    </row>
    <row r="151" spans="1:11" x14ac:dyDescent="0.3">
      <c r="A151" s="8" t="s">
        <v>94</v>
      </c>
      <c r="B151" s="9" t="s">
        <v>396</v>
      </c>
      <c r="C151" s="9" t="s">
        <v>14</v>
      </c>
      <c r="D151" s="9" t="s">
        <v>32</v>
      </c>
      <c r="E151" s="9" t="s">
        <v>616</v>
      </c>
      <c r="F151" s="9" t="s">
        <v>617</v>
      </c>
      <c r="G151" s="9" t="s">
        <v>619</v>
      </c>
      <c r="H151" s="10">
        <v>10627027</v>
      </c>
      <c r="I151" s="10">
        <v>5223423</v>
      </c>
      <c r="J151" s="10">
        <f t="shared" si="7"/>
        <v>6477044.5200000005</v>
      </c>
      <c r="K151" s="11">
        <f t="shared" si="8"/>
        <v>-0.39051208583548341</v>
      </c>
    </row>
    <row r="152" spans="1:11" x14ac:dyDescent="0.3">
      <c r="A152" s="8" t="s">
        <v>113</v>
      </c>
      <c r="B152" s="9" t="s">
        <v>415</v>
      </c>
      <c r="C152" s="9" t="s">
        <v>14</v>
      </c>
      <c r="D152" s="9" t="s">
        <v>24</v>
      </c>
      <c r="E152" s="9" t="s">
        <v>616</v>
      </c>
      <c r="F152" s="9" t="s">
        <v>617</v>
      </c>
      <c r="G152" s="9" t="s">
        <v>619</v>
      </c>
      <c r="H152" s="10">
        <v>2566667</v>
      </c>
      <c r="I152" s="10">
        <v>9186486</v>
      </c>
      <c r="J152" s="10">
        <f t="shared" si="7"/>
        <v>11391242.640000001</v>
      </c>
      <c r="K152" s="11">
        <f t="shared" si="8"/>
        <v>3.4381459067342979</v>
      </c>
    </row>
    <row r="153" spans="1:11" x14ac:dyDescent="0.3">
      <c r="A153" s="8" t="s">
        <v>163</v>
      </c>
      <c r="B153" s="9" t="s">
        <v>453</v>
      </c>
      <c r="C153" s="9" t="s">
        <v>14</v>
      </c>
      <c r="D153" s="9" t="s">
        <v>26</v>
      </c>
      <c r="E153" s="9" t="s">
        <v>616</v>
      </c>
      <c r="F153" s="9" t="s">
        <v>617</v>
      </c>
      <c r="G153" s="9" t="s">
        <v>619</v>
      </c>
      <c r="H153" s="10">
        <v>11481982</v>
      </c>
      <c r="I153" s="10">
        <v>5583784</v>
      </c>
      <c r="J153" s="10">
        <f t="shared" si="7"/>
        <v>6923892.1599999992</v>
      </c>
      <c r="K153" s="11">
        <f t="shared" si="8"/>
        <v>-0.39697761588548047</v>
      </c>
    </row>
    <row r="154" spans="1:11" x14ac:dyDescent="0.3">
      <c r="A154" s="8" t="s">
        <v>110</v>
      </c>
      <c r="B154" s="9" t="s">
        <v>412</v>
      </c>
      <c r="C154" s="9" t="s">
        <v>14</v>
      </c>
      <c r="D154" s="9" t="s">
        <v>32</v>
      </c>
      <c r="E154" s="9" t="s">
        <v>616</v>
      </c>
      <c r="F154" s="9" t="s">
        <v>617</v>
      </c>
      <c r="G154" s="9" t="s">
        <v>619</v>
      </c>
      <c r="H154" s="10">
        <v>11886486</v>
      </c>
      <c r="I154" s="10">
        <v>2431532</v>
      </c>
      <c r="J154" s="10">
        <f t="shared" si="7"/>
        <v>3015099.68</v>
      </c>
      <c r="K154" s="11">
        <f t="shared" si="8"/>
        <v>-0.7463422175401544</v>
      </c>
    </row>
    <row r="155" spans="1:11" x14ac:dyDescent="0.3">
      <c r="A155" s="8" t="s">
        <v>70</v>
      </c>
      <c r="B155" s="9" t="s">
        <v>372</v>
      </c>
      <c r="C155" s="9" t="s">
        <v>16</v>
      </c>
      <c r="D155" s="9" t="s">
        <v>42</v>
      </c>
      <c r="E155" s="9" t="s">
        <v>616</v>
      </c>
      <c r="F155" s="9" t="s">
        <v>617</v>
      </c>
      <c r="G155" s="9" t="s">
        <v>618</v>
      </c>
      <c r="H155" s="10">
        <v>6663963</v>
      </c>
      <c r="I155" s="10">
        <v>9275675</v>
      </c>
      <c r="J155" s="10">
        <f t="shared" si="7"/>
        <v>11501837</v>
      </c>
      <c r="K155" s="11">
        <f t="shared" si="8"/>
        <v>0.72597551937188132</v>
      </c>
    </row>
    <row r="156" spans="1:11" x14ac:dyDescent="0.3">
      <c r="A156" s="8" t="s">
        <v>108</v>
      </c>
      <c r="B156" s="9" t="s">
        <v>410</v>
      </c>
      <c r="C156" s="9" t="s">
        <v>14</v>
      </c>
      <c r="D156" s="9" t="s">
        <v>24</v>
      </c>
      <c r="E156" s="9" t="s">
        <v>616</v>
      </c>
      <c r="F156" s="9" t="s">
        <v>617</v>
      </c>
      <c r="G156" s="9" t="s">
        <v>619</v>
      </c>
      <c r="H156" s="10">
        <v>9004505</v>
      </c>
      <c r="I156" s="10">
        <v>2701802</v>
      </c>
      <c r="J156" s="10">
        <f t="shared" si="7"/>
        <v>3350234.48</v>
      </c>
      <c r="K156" s="11">
        <f t="shared" si="8"/>
        <v>-0.62793796216449427</v>
      </c>
    </row>
    <row r="157" spans="1:11" x14ac:dyDescent="0.3">
      <c r="A157" s="8" t="s">
        <v>86</v>
      </c>
      <c r="B157" s="9" t="s">
        <v>388</v>
      </c>
      <c r="C157" s="9" t="s">
        <v>16</v>
      </c>
      <c r="D157" s="9" t="s">
        <v>36</v>
      </c>
      <c r="E157" s="9" t="s">
        <v>616</v>
      </c>
      <c r="F157" s="9" t="s">
        <v>617</v>
      </c>
      <c r="G157" s="9" t="s">
        <v>622</v>
      </c>
      <c r="H157" s="10">
        <v>12653154</v>
      </c>
      <c r="I157" s="10">
        <v>31544147</v>
      </c>
      <c r="J157" s="10">
        <f t="shared" si="7"/>
        <v>39114742.279999994</v>
      </c>
      <c r="K157" s="11">
        <f t="shared" si="8"/>
        <v>2.0913037397632239</v>
      </c>
    </row>
    <row r="158" spans="1:11" x14ac:dyDescent="0.3">
      <c r="A158" s="8" t="s">
        <v>100</v>
      </c>
      <c r="B158" s="9" t="s">
        <v>402</v>
      </c>
      <c r="C158" s="9" t="s">
        <v>16</v>
      </c>
      <c r="D158" s="9" t="s">
        <v>44</v>
      </c>
      <c r="E158" s="9" t="s">
        <v>616</v>
      </c>
      <c r="F158" s="9" t="s">
        <v>617</v>
      </c>
      <c r="G158" s="9" t="s">
        <v>622</v>
      </c>
      <c r="H158" s="10">
        <v>0</v>
      </c>
      <c r="I158" s="10">
        <v>0</v>
      </c>
      <c r="J158" s="10">
        <f t="shared" si="7"/>
        <v>0</v>
      </c>
      <c r="K158" s="11">
        <f t="shared" si="8"/>
        <v>0</v>
      </c>
    </row>
    <row r="159" spans="1:11" x14ac:dyDescent="0.3">
      <c r="A159" s="8" t="s">
        <v>98</v>
      </c>
      <c r="B159" s="9" t="s">
        <v>400</v>
      </c>
      <c r="C159" s="9" t="s">
        <v>16</v>
      </c>
      <c r="D159" s="9" t="s">
        <v>22</v>
      </c>
      <c r="E159" s="9" t="s">
        <v>616</v>
      </c>
      <c r="F159" s="9" t="s">
        <v>617</v>
      </c>
      <c r="G159" s="9" t="s">
        <v>618</v>
      </c>
      <c r="H159" s="10">
        <v>0</v>
      </c>
      <c r="I159" s="10">
        <v>5403603</v>
      </c>
      <c r="J159" s="10">
        <f t="shared" si="7"/>
        <v>6700467.7199999997</v>
      </c>
      <c r="K159" s="11">
        <f t="shared" si="8"/>
        <v>0</v>
      </c>
    </row>
    <row r="160" spans="1:11" x14ac:dyDescent="0.3">
      <c r="A160" s="8" t="s">
        <v>202</v>
      </c>
      <c r="B160" s="9" t="s">
        <v>492</v>
      </c>
      <c r="C160" s="9" t="s">
        <v>120</v>
      </c>
      <c r="D160" s="9" t="s">
        <v>129</v>
      </c>
      <c r="E160" s="9" t="s">
        <v>627</v>
      </c>
      <c r="F160" s="9" t="s">
        <v>617</v>
      </c>
      <c r="G160" s="9" t="s">
        <v>621</v>
      </c>
      <c r="H160" s="10">
        <v>44773874</v>
      </c>
      <c r="I160" s="10">
        <v>0</v>
      </c>
      <c r="J160" s="10">
        <f t="shared" si="7"/>
        <v>0</v>
      </c>
      <c r="K160" s="11">
        <f t="shared" si="8"/>
        <v>-1</v>
      </c>
    </row>
    <row r="161" spans="1:11" x14ac:dyDescent="0.3">
      <c r="A161" s="8" t="s">
        <v>288</v>
      </c>
      <c r="B161" s="9" t="s">
        <v>573</v>
      </c>
      <c r="C161" s="9" t="s">
        <v>16</v>
      </c>
      <c r="D161" s="9" t="s">
        <v>22</v>
      </c>
      <c r="E161" s="9" t="s">
        <v>632</v>
      </c>
      <c r="F161" s="9" t="s">
        <v>617</v>
      </c>
      <c r="G161" s="9" t="s">
        <v>618</v>
      </c>
      <c r="H161" s="10">
        <v>0</v>
      </c>
      <c r="I161" s="10">
        <v>0</v>
      </c>
      <c r="J161" s="10">
        <f t="shared" si="7"/>
        <v>0</v>
      </c>
      <c r="K161" s="11">
        <f t="shared" si="8"/>
        <v>0</v>
      </c>
    </row>
    <row r="162" spans="1:11" x14ac:dyDescent="0.3">
      <c r="A162" s="8" t="s">
        <v>169</v>
      </c>
      <c r="B162" s="9" t="s">
        <v>459</v>
      </c>
      <c r="C162" s="9" t="s">
        <v>120</v>
      </c>
      <c r="D162" s="9" t="s">
        <v>129</v>
      </c>
      <c r="E162" s="9" t="s">
        <v>616</v>
      </c>
      <c r="F162" s="9" t="s">
        <v>617</v>
      </c>
      <c r="G162" s="9" t="s">
        <v>621</v>
      </c>
      <c r="H162" s="10">
        <v>8827027</v>
      </c>
      <c r="I162" s="10">
        <v>15221622</v>
      </c>
      <c r="J162" s="10">
        <f t="shared" si="7"/>
        <v>18874811.280000001</v>
      </c>
      <c r="K162" s="11">
        <f t="shared" si="8"/>
        <v>1.1382976714583519</v>
      </c>
    </row>
    <row r="163" spans="1:11" x14ac:dyDescent="0.3">
      <c r="A163" s="8" t="s">
        <v>183</v>
      </c>
      <c r="B163" s="9" t="s">
        <v>473</v>
      </c>
      <c r="C163" s="9" t="s">
        <v>120</v>
      </c>
      <c r="D163" s="9" t="s">
        <v>129</v>
      </c>
      <c r="E163" s="9" t="s">
        <v>626</v>
      </c>
      <c r="F163" s="9" t="s">
        <v>617</v>
      </c>
      <c r="G163" s="9" t="s">
        <v>621</v>
      </c>
      <c r="H163" s="10">
        <v>33326124</v>
      </c>
      <c r="I163" s="10">
        <v>14500901</v>
      </c>
      <c r="J163" s="10">
        <f t="shared" si="7"/>
        <v>17981117.240000002</v>
      </c>
      <c r="K163" s="11">
        <f t="shared" si="8"/>
        <v>-0.46044978888033899</v>
      </c>
    </row>
    <row r="164" spans="1:11" x14ac:dyDescent="0.3">
      <c r="A164" s="8" t="s">
        <v>289</v>
      </c>
      <c r="B164" s="9" t="s">
        <v>574</v>
      </c>
      <c r="C164" s="9" t="s">
        <v>16</v>
      </c>
      <c r="D164" s="9" t="s">
        <v>34</v>
      </c>
      <c r="E164" s="9" t="s">
        <v>632</v>
      </c>
      <c r="F164" s="9" t="s">
        <v>617</v>
      </c>
      <c r="G164" s="9" t="s">
        <v>621</v>
      </c>
      <c r="H164" s="10">
        <v>0</v>
      </c>
      <c r="I164" s="10">
        <v>0</v>
      </c>
      <c r="J164" s="10">
        <f t="shared" si="7"/>
        <v>0</v>
      </c>
      <c r="K164" s="11">
        <f t="shared" si="8"/>
        <v>0</v>
      </c>
    </row>
    <row r="165" spans="1:11" x14ac:dyDescent="0.3">
      <c r="A165" s="8" t="s">
        <v>259</v>
      </c>
      <c r="B165" s="9" t="s">
        <v>548</v>
      </c>
      <c r="C165" s="9" t="s">
        <v>14</v>
      </c>
      <c r="D165" s="9" t="s">
        <v>28</v>
      </c>
      <c r="E165" s="9" t="s">
        <v>630</v>
      </c>
      <c r="F165" s="9" t="s">
        <v>617</v>
      </c>
      <c r="G165" s="9" t="s">
        <v>620</v>
      </c>
      <c r="H165" s="10">
        <v>0</v>
      </c>
      <c r="I165" s="10">
        <v>0</v>
      </c>
      <c r="J165" s="10">
        <f t="shared" si="7"/>
        <v>0</v>
      </c>
      <c r="K165" s="11">
        <f t="shared" si="8"/>
        <v>0</v>
      </c>
    </row>
    <row r="166" spans="1:11" x14ac:dyDescent="0.3">
      <c r="A166" s="8" t="s">
        <v>290</v>
      </c>
      <c r="B166" s="9" t="s">
        <v>575</v>
      </c>
      <c r="C166" s="9" t="s">
        <v>16</v>
      </c>
      <c r="D166" s="9" t="s">
        <v>38</v>
      </c>
      <c r="E166" s="9" t="s">
        <v>632</v>
      </c>
      <c r="F166" s="9" t="s">
        <v>617</v>
      </c>
      <c r="G166" s="9" t="s">
        <v>621</v>
      </c>
      <c r="H166" s="10">
        <v>0</v>
      </c>
      <c r="I166" s="10">
        <v>0</v>
      </c>
      <c r="J166" s="10">
        <f t="shared" si="7"/>
        <v>0</v>
      </c>
      <c r="K166" s="11">
        <f t="shared" si="8"/>
        <v>0</v>
      </c>
    </row>
    <row r="167" spans="1:11" x14ac:dyDescent="0.3">
      <c r="A167" s="8" t="s">
        <v>291</v>
      </c>
      <c r="B167" s="9" t="s">
        <v>576</v>
      </c>
      <c r="C167" s="9" t="s">
        <v>14</v>
      </c>
      <c r="D167" s="9" t="s">
        <v>32</v>
      </c>
      <c r="E167" s="9" t="s">
        <v>632</v>
      </c>
      <c r="F167" s="9" t="s">
        <v>617</v>
      </c>
      <c r="G167" s="9" t="s">
        <v>619</v>
      </c>
      <c r="H167" s="10">
        <v>0</v>
      </c>
      <c r="I167" s="10">
        <v>0</v>
      </c>
      <c r="J167" s="10">
        <f t="shared" si="7"/>
        <v>0</v>
      </c>
      <c r="K167" s="11">
        <f t="shared" si="8"/>
        <v>0</v>
      </c>
    </row>
    <row r="168" spans="1:11" x14ac:dyDescent="0.3">
      <c r="A168" s="8" t="s">
        <v>292</v>
      </c>
      <c r="B168" s="9" t="s">
        <v>577</v>
      </c>
      <c r="C168" s="9" t="s">
        <v>16</v>
      </c>
      <c r="D168" s="9" t="s">
        <v>36</v>
      </c>
      <c r="E168" s="9" t="s">
        <v>632</v>
      </c>
      <c r="F168" s="9" t="s">
        <v>617</v>
      </c>
      <c r="G168" s="9" t="s">
        <v>622</v>
      </c>
      <c r="H168" s="10">
        <v>0</v>
      </c>
      <c r="I168" s="10">
        <v>0</v>
      </c>
      <c r="J168" s="10">
        <f t="shared" si="7"/>
        <v>0</v>
      </c>
      <c r="K168" s="11">
        <f t="shared" si="8"/>
        <v>0</v>
      </c>
    </row>
    <row r="169" spans="1:11" x14ac:dyDescent="0.3">
      <c r="A169" s="8" t="s">
        <v>293</v>
      </c>
      <c r="B169" s="9" t="s">
        <v>578</v>
      </c>
      <c r="C169" s="9" t="s">
        <v>14</v>
      </c>
      <c r="D169" s="9" t="s">
        <v>26</v>
      </c>
      <c r="E169" s="9" t="s">
        <v>632</v>
      </c>
      <c r="F169" s="9" t="s">
        <v>617</v>
      </c>
      <c r="G169" s="9" t="s">
        <v>619</v>
      </c>
      <c r="H169" s="10">
        <v>0</v>
      </c>
      <c r="I169" s="10">
        <v>0</v>
      </c>
      <c r="J169" s="10">
        <f t="shared" si="7"/>
        <v>0</v>
      </c>
      <c r="K169" s="11">
        <f t="shared" si="8"/>
        <v>0</v>
      </c>
    </row>
    <row r="170" spans="1:11" x14ac:dyDescent="0.3">
      <c r="A170" s="8" t="s">
        <v>294</v>
      </c>
      <c r="B170" s="9" t="s">
        <v>579</v>
      </c>
      <c r="C170" s="9" t="s">
        <v>16</v>
      </c>
      <c r="D170" s="9" t="s">
        <v>44</v>
      </c>
      <c r="E170" s="9" t="s">
        <v>632</v>
      </c>
      <c r="F170" s="9" t="s">
        <v>617</v>
      </c>
      <c r="G170" s="9" t="s">
        <v>622</v>
      </c>
      <c r="H170" s="10">
        <v>0</v>
      </c>
      <c r="I170" s="10">
        <v>0</v>
      </c>
      <c r="J170" s="10">
        <f t="shared" si="7"/>
        <v>0</v>
      </c>
      <c r="K170" s="11">
        <f t="shared" si="8"/>
        <v>0</v>
      </c>
    </row>
    <row r="171" spans="1:11" x14ac:dyDescent="0.3">
      <c r="A171" s="8" t="s">
        <v>295</v>
      </c>
      <c r="B171" s="9" t="s">
        <v>580</v>
      </c>
      <c r="C171" s="9" t="s">
        <v>16</v>
      </c>
      <c r="D171" s="9" t="s">
        <v>42</v>
      </c>
      <c r="E171" s="9" t="s">
        <v>632</v>
      </c>
      <c r="F171" s="9" t="s">
        <v>617</v>
      </c>
      <c r="G171" s="9" t="s">
        <v>618</v>
      </c>
      <c r="H171" s="10">
        <v>0</v>
      </c>
      <c r="I171" s="10">
        <v>0</v>
      </c>
      <c r="J171" s="10">
        <f t="shared" si="7"/>
        <v>0</v>
      </c>
      <c r="K171" s="11">
        <f t="shared" si="8"/>
        <v>0</v>
      </c>
    </row>
    <row r="172" spans="1:11" x14ac:dyDescent="0.3">
      <c r="A172" s="8" t="s">
        <v>164</v>
      </c>
      <c r="B172" s="9" t="s">
        <v>454</v>
      </c>
      <c r="C172" s="9" t="s">
        <v>16</v>
      </c>
      <c r="D172" s="9" t="s">
        <v>34</v>
      </c>
      <c r="E172" s="9" t="s">
        <v>616</v>
      </c>
      <c r="F172" s="9" t="s">
        <v>617</v>
      </c>
      <c r="G172" s="9" t="s">
        <v>621</v>
      </c>
      <c r="H172" s="10">
        <v>3152252</v>
      </c>
      <c r="I172" s="10">
        <v>0</v>
      </c>
      <c r="J172" s="10">
        <f t="shared" si="7"/>
        <v>0</v>
      </c>
      <c r="K172" s="11">
        <f t="shared" si="8"/>
        <v>-1</v>
      </c>
    </row>
    <row r="173" spans="1:11" x14ac:dyDescent="0.3">
      <c r="A173" s="8" t="s">
        <v>296</v>
      </c>
      <c r="B173" s="9" t="s">
        <v>581</v>
      </c>
      <c r="C173" s="9" t="s">
        <v>16</v>
      </c>
      <c r="D173" s="9" t="s">
        <v>44</v>
      </c>
      <c r="E173" s="9" t="s">
        <v>632</v>
      </c>
      <c r="F173" s="9" t="s">
        <v>617</v>
      </c>
      <c r="G173" s="9" t="s">
        <v>622</v>
      </c>
      <c r="H173" s="10">
        <v>0</v>
      </c>
      <c r="I173" s="10">
        <v>0</v>
      </c>
      <c r="J173" s="10">
        <f t="shared" si="7"/>
        <v>0</v>
      </c>
      <c r="K173" s="11">
        <f t="shared" si="8"/>
        <v>0</v>
      </c>
    </row>
    <row r="174" spans="1:11" x14ac:dyDescent="0.3">
      <c r="A174" s="8" t="s">
        <v>297</v>
      </c>
      <c r="B174" s="9" t="s">
        <v>582</v>
      </c>
      <c r="C174" s="9" t="s">
        <v>14</v>
      </c>
      <c r="D174" s="9" t="s">
        <v>26</v>
      </c>
      <c r="E174" s="9" t="s">
        <v>632</v>
      </c>
      <c r="F174" s="9" t="s">
        <v>617</v>
      </c>
      <c r="G174" s="9" t="s">
        <v>619</v>
      </c>
      <c r="H174" s="10">
        <v>0</v>
      </c>
      <c r="I174" s="10">
        <v>0</v>
      </c>
      <c r="J174" s="10">
        <f t="shared" si="7"/>
        <v>0</v>
      </c>
      <c r="K174" s="11">
        <f t="shared" si="8"/>
        <v>0</v>
      </c>
    </row>
    <row r="175" spans="1:11" x14ac:dyDescent="0.3">
      <c r="A175" s="8" t="s">
        <v>298</v>
      </c>
      <c r="B175" s="9" t="s">
        <v>583</v>
      </c>
      <c r="C175" s="9" t="s">
        <v>16</v>
      </c>
      <c r="D175" s="9" t="s">
        <v>34</v>
      </c>
      <c r="E175" s="9" t="s">
        <v>632</v>
      </c>
      <c r="F175" s="9" t="s">
        <v>617</v>
      </c>
      <c r="G175" s="9" t="s">
        <v>621</v>
      </c>
      <c r="H175" s="10">
        <v>0</v>
      </c>
      <c r="I175" s="10">
        <v>0</v>
      </c>
      <c r="J175" s="10">
        <f t="shared" si="7"/>
        <v>0</v>
      </c>
      <c r="K175" s="11">
        <f t="shared" si="8"/>
        <v>0</v>
      </c>
    </row>
    <row r="176" spans="1:11" x14ac:dyDescent="0.3">
      <c r="A176" s="8" t="s">
        <v>299</v>
      </c>
      <c r="B176" s="9" t="s">
        <v>584</v>
      </c>
      <c r="C176" s="9" t="s">
        <v>16</v>
      </c>
      <c r="D176" s="9" t="s">
        <v>34</v>
      </c>
      <c r="E176" s="9" t="s">
        <v>632</v>
      </c>
      <c r="F176" s="9" t="s">
        <v>617</v>
      </c>
      <c r="G176" s="9" t="s">
        <v>621</v>
      </c>
      <c r="H176" s="10">
        <v>0</v>
      </c>
      <c r="I176" s="10">
        <v>0</v>
      </c>
      <c r="J176" s="10">
        <f t="shared" si="7"/>
        <v>0</v>
      </c>
      <c r="K176" s="11">
        <f t="shared" si="8"/>
        <v>0</v>
      </c>
    </row>
    <row r="177" spans="1:11" x14ac:dyDescent="0.3">
      <c r="A177" s="8" t="s">
        <v>300</v>
      </c>
      <c r="B177" s="9" t="s">
        <v>585</v>
      </c>
      <c r="C177" s="9" t="s">
        <v>16</v>
      </c>
      <c r="D177" s="9" t="s">
        <v>34</v>
      </c>
      <c r="E177" s="9" t="s">
        <v>632</v>
      </c>
      <c r="F177" s="9" t="s">
        <v>617</v>
      </c>
      <c r="G177" s="9" t="s">
        <v>621</v>
      </c>
      <c r="H177" s="10">
        <v>0</v>
      </c>
      <c r="I177" s="10">
        <v>0</v>
      </c>
      <c r="J177" s="10">
        <f t="shared" si="7"/>
        <v>0</v>
      </c>
      <c r="K177" s="11">
        <f t="shared" si="8"/>
        <v>0</v>
      </c>
    </row>
    <row r="178" spans="1:11" x14ac:dyDescent="0.3">
      <c r="A178" s="8" t="s">
        <v>301</v>
      </c>
      <c r="B178" s="9" t="s">
        <v>586</v>
      </c>
      <c r="C178" s="9" t="s">
        <v>16</v>
      </c>
      <c r="D178" s="9" t="s">
        <v>34</v>
      </c>
      <c r="E178" s="9" t="s">
        <v>632</v>
      </c>
      <c r="F178" s="9" t="s">
        <v>617</v>
      </c>
      <c r="G178" s="9" t="s">
        <v>621</v>
      </c>
      <c r="H178" s="10">
        <v>0</v>
      </c>
      <c r="I178" s="10">
        <v>0</v>
      </c>
      <c r="J178" s="10">
        <f t="shared" si="7"/>
        <v>0</v>
      </c>
      <c r="K178" s="11">
        <f t="shared" si="8"/>
        <v>0</v>
      </c>
    </row>
    <row r="179" spans="1:11" x14ac:dyDescent="0.3">
      <c r="A179" s="8" t="s">
        <v>302</v>
      </c>
      <c r="B179" s="9" t="s">
        <v>587</v>
      </c>
      <c r="C179" s="9" t="s">
        <v>16</v>
      </c>
      <c r="D179" s="9" t="s">
        <v>42</v>
      </c>
      <c r="E179" s="9" t="s">
        <v>632</v>
      </c>
      <c r="F179" s="9" t="s">
        <v>617</v>
      </c>
      <c r="G179" s="9" t="s">
        <v>618</v>
      </c>
      <c r="H179" s="10">
        <v>0</v>
      </c>
      <c r="I179" s="10">
        <v>0</v>
      </c>
      <c r="J179" s="10">
        <f t="shared" si="7"/>
        <v>0</v>
      </c>
      <c r="K179" s="11">
        <f t="shared" si="8"/>
        <v>0</v>
      </c>
    </row>
    <row r="180" spans="1:11" x14ac:dyDescent="0.3">
      <c r="A180" s="8" t="s">
        <v>303</v>
      </c>
      <c r="B180" s="9" t="s">
        <v>588</v>
      </c>
      <c r="C180" s="9" t="s">
        <v>16</v>
      </c>
      <c r="D180" s="9" t="s">
        <v>44</v>
      </c>
      <c r="E180" s="9" t="s">
        <v>632</v>
      </c>
      <c r="F180" s="9" t="s">
        <v>617</v>
      </c>
      <c r="G180" s="9" t="s">
        <v>622</v>
      </c>
      <c r="H180" s="10">
        <v>0</v>
      </c>
      <c r="I180" s="10">
        <v>0</v>
      </c>
      <c r="J180" s="10">
        <f t="shared" si="7"/>
        <v>0</v>
      </c>
      <c r="K180" s="11">
        <f t="shared" si="8"/>
        <v>0</v>
      </c>
    </row>
    <row r="181" spans="1:11" x14ac:dyDescent="0.3">
      <c r="A181" s="8" t="s">
        <v>304</v>
      </c>
      <c r="B181" s="9" t="s">
        <v>589</v>
      </c>
      <c r="C181" s="9" t="s">
        <v>16</v>
      </c>
      <c r="D181" s="9" t="s">
        <v>36</v>
      </c>
      <c r="E181" s="9" t="s">
        <v>632</v>
      </c>
      <c r="F181" s="9" t="s">
        <v>617</v>
      </c>
      <c r="G181" s="9" t="s">
        <v>622</v>
      </c>
      <c r="H181" s="10">
        <v>0</v>
      </c>
      <c r="I181" s="10">
        <v>0</v>
      </c>
      <c r="J181" s="10">
        <f t="shared" si="7"/>
        <v>0</v>
      </c>
      <c r="K181" s="11">
        <f t="shared" si="8"/>
        <v>0</v>
      </c>
    </row>
    <row r="182" spans="1:11" x14ac:dyDescent="0.3">
      <c r="A182" s="8" t="s">
        <v>115</v>
      </c>
      <c r="B182" s="9" t="s">
        <v>417</v>
      </c>
      <c r="C182" s="9" t="s">
        <v>16</v>
      </c>
      <c r="D182" s="9" t="s">
        <v>34</v>
      </c>
      <c r="E182" s="9" t="s">
        <v>616</v>
      </c>
      <c r="F182" s="9" t="s">
        <v>617</v>
      </c>
      <c r="G182" s="9" t="s">
        <v>621</v>
      </c>
      <c r="H182" s="10">
        <v>4908108</v>
      </c>
      <c r="I182" s="10">
        <v>0</v>
      </c>
      <c r="J182" s="10">
        <f t="shared" si="7"/>
        <v>0</v>
      </c>
      <c r="K182" s="11">
        <f t="shared" si="8"/>
        <v>-1</v>
      </c>
    </row>
    <row r="183" spans="1:11" x14ac:dyDescent="0.3">
      <c r="A183" s="8" t="s">
        <v>305</v>
      </c>
      <c r="B183" s="9" t="s">
        <v>590</v>
      </c>
      <c r="C183" s="9" t="s">
        <v>16</v>
      </c>
      <c r="D183" s="9" t="s">
        <v>34</v>
      </c>
      <c r="E183" s="9" t="s">
        <v>632</v>
      </c>
      <c r="F183" s="9" t="s">
        <v>617</v>
      </c>
      <c r="G183" s="9" t="s">
        <v>621</v>
      </c>
      <c r="H183" s="10">
        <v>0</v>
      </c>
      <c r="I183" s="10">
        <v>0</v>
      </c>
      <c r="J183" s="10">
        <f t="shared" si="7"/>
        <v>0</v>
      </c>
      <c r="K183" s="11">
        <f t="shared" si="8"/>
        <v>0</v>
      </c>
    </row>
    <row r="184" spans="1:11" x14ac:dyDescent="0.3">
      <c r="A184" s="8" t="s">
        <v>306</v>
      </c>
      <c r="B184" s="9" t="s">
        <v>591</v>
      </c>
      <c r="C184" s="9" t="s">
        <v>16</v>
      </c>
      <c r="D184" s="9" t="s">
        <v>38</v>
      </c>
      <c r="E184" s="9" t="s">
        <v>632</v>
      </c>
      <c r="F184" s="9" t="s">
        <v>617</v>
      </c>
      <c r="G184" s="9" t="s">
        <v>621</v>
      </c>
      <c r="H184" s="10">
        <v>0</v>
      </c>
      <c r="I184" s="10">
        <v>0</v>
      </c>
      <c r="J184" s="10">
        <f t="shared" si="7"/>
        <v>0</v>
      </c>
      <c r="K184" s="11">
        <f t="shared" si="8"/>
        <v>0</v>
      </c>
    </row>
    <row r="185" spans="1:11" x14ac:dyDescent="0.3">
      <c r="A185" s="8" t="s">
        <v>307</v>
      </c>
      <c r="B185" s="9" t="s">
        <v>592</v>
      </c>
      <c r="C185" s="9" t="s">
        <v>16</v>
      </c>
      <c r="D185" s="9" t="s">
        <v>34</v>
      </c>
      <c r="E185" s="9" t="s">
        <v>632</v>
      </c>
      <c r="F185" s="9" t="s">
        <v>617</v>
      </c>
      <c r="G185" s="9" t="s">
        <v>621</v>
      </c>
      <c r="H185" s="10">
        <v>0</v>
      </c>
      <c r="I185" s="10">
        <v>0</v>
      </c>
      <c r="J185" s="10">
        <f t="shared" si="7"/>
        <v>0</v>
      </c>
      <c r="K185" s="11">
        <f t="shared" si="8"/>
        <v>0</v>
      </c>
    </row>
    <row r="186" spans="1:11" x14ac:dyDescent="0.3">
      <c r="A186" s="8" t="s">
        <v>308</v>
      </c>
      <c r="B186" s="9" t="s">
        <v>593</v>
      </c>
      <c r="C186" s="9" t="s">
        <v>16</v>
      </c>
      <c r="D186" s="9" t="s">
        <v>38</v>
      </c>
      <c r="E186" s="9" t="s">
        <v>632</v>
      </c>
      <c r="F186" s="9" t="s">
        <v>617</v>
      </c>
      <c r="G186" s="9" t="s">
        <v>621</v>
      </c>
      <c r="H186" s="10">
        <v>0</v>
      </c>
      <c r="I186" s="10">
        <v>0</v>
      </c>
      <c r="J186" s="10">
        <f t="shared" si="7"/>
        <v>0</v>
      </c>
      <c r="K186" s="11">
        <f t="shared" si="8"/>
        <v>0</v>
      </c>
    </row>
    <row r="187" spans="1:11" x14ac:dyDescent="0.3">
      <c r="A187" s="8" t="s">
        <v>309</v>
      </c>
      <c r="B187" s="9" t="s">
        <v>594</v>
      </c>
      <c r="C187" s="9" t="s">
        <v>16</v>
      </c>
      <c r="D187" s="9" t="s">
        <v>36</v>
      </c>
      <c r="E187" s="9" t="s">
        <v>632</v>
      </c>
      <c r="F187" s="9" t="s">
        <v>617</v>
      </c>
      <c r="G187" s="9" t="s">
        <v>622</v>
      </c>
      <c r="H187" s="10">
        <v>0</v>
      </c>
      <c r="I187" s="10">
        <v>0</v>
      </c>
      <c r="J187" s="10">
        <f t="shared" si="7"/>
        <v>0</v>
      </c>
      <c r="K187" s="11">
        <f t="shared" si="8"/>
        <v>0</v>
      </c>
    </row>
    <row r="188" spans="1:11" x14ac:dyDescent="0.3">
      <c r="A188" s="8" t="s">
        <v>203</v>
      </c>
      <c r="B188" s="9" t="s">
        <v>493</v>
      </c>
      <c r="C188" s="9" t="s">
        <v>120</v>
      </c>
      <c r="D188" s="9" t="s">
        <v>135</v>
      </c>
      <c r="E188" s="9" t="s">
        <v>627</v>
      </c>
      <c r="F188" s="9" t="s">
        <v>617</v>
      </c>
      <c r="G188" s="9" t="s">
        <v>622</v>
      </c>
      <c r="H188" s="10">
        <v>0</v>
      </c>
      <c r="I188" s="10">
        <v>0</v>
      </c>
      <c r="J188" s="10">
        <f t="shared" si="7"/>
        <v>0</v>
      </c>
      <c r="K188" s="11">
        <f t="shared" si="8"/>
        <v>0</v>
      </c>
    </row>
    <row r="189" spans="1:11" x14ac:dyDescent="0.3">
      <c r="A189" s="8" t="s">
        <v>310</v>
      </c>
      <c r="B189" s="9" t="s">
        <v>595</v>
      </c>
      <c r="C189" s="9" t="s">
        <v>16</v>
      </c>
      <c r="D189" s="9" t="s">
        <v>34</v>
      </c>
      <c r="E189" s="9" t="s">
        <v>632</v>
      </c>
      <c r="F189" s="9" t="s">
        <v>617</v>
      </c>
      <c r="G189" s="9" t="s">
        <v>621</v>
      </c>
      <c r="H189" s="10">
        <v>0</v>
      </c>
      <c r="I189" s="10">
        <v>0</v>
      </c>
      <c r="J189" s="10">
        <f t="shared" si="7"/>
        <v>0</v>
      </c>
      <c r="K189" s="11">
        <f t="shared" si="8"/>
        <v>0</v>
      </c>
    </row>
    <row r="190" spans="1:11" x14ac:dyDescent="0.3">
      <c r="A190" s="8" t="s">
        <v>311</v>
      </c>
      <c r="B190" s="9" t="s">
        <v>596</v>
      </c>
      <c r="C190" s="9" t="s">
        <v>16</v>
      </c>
      <c r="D190" s="9" t="s">
        <v>22</v>
      </c>
      <c r="E190" s="9" t="s">
        <v>632</v>
      </c>
      <c r="F190" s="9" t="s">
        <v>617</v>
      </c>
      <c r="G190" s="9" t="s">
        <v>618</v>
      </c>
      <c r="H190" s="10">
        <v>0</v>
      </c>
      <c r="I190" s="10">
        <v>0</v>
      </c>
      <c r="J190" s="10">
        <f t="shared" si="7"/>
        <v>0</v>
      </c>
      <c r="K190" s="11">
        <f t="shared" si="8"/>
        <v>0</v>
      </c>
    </row>
    <row r="191" spans="1:11" x14ac:dyDescent="0.3">
      <c r="A191" s="8" t="s">
        <v>312</v>
      </c>
      <c r="B191" s="9" t="s">
        <v>597</v>
      </c>
      <c r="C191" s="9" t="s">
        <v>16</v>
      </c>
      <c r="D191" s="9" t="s">
        <v>34</v>
      </c>
      <c r="E191" s="9" t="s">
        <v>632</v>
      </c>
      <c r="F191" s="9" t="s">
        <v>617</v>
      </c>
      <c r="G191" s="9" t="s">
        <v>621</v>
      </c>
      <c r="H191" s="10">
        <v>0</v>
      </c>
      <c r="I191" s="10">
        <v>0</v>
      </c>
      <c r="J191" s="10">
        <f t="shared" si="7"/>
        <v>0</v>
      </c>
      <c r="K191" s="11">
        <f t="shared" si="8"/>
        <v>0</v>
      </c>
    </row>
    <row r="192" spans="1:11" x14ac:dyDescent="0.3">
      <c r="A192" s="8" t="s">
        <v>56</v>
      </c>
      <c r="B192" s="9" t="s">
        <v>360</v>
      </c>
      <c r="C192" s="9" t="s">
        <v>16</v>
      </c>
      <c r="D192" s="9" t="s">
        <v>44</v>
      </c>
      <c r="E192" s="9" t="s">
        <v>616</v>
      </c>
      <c r="F192" s="9" t="s">
        <v>617</v>
      </c>
      <c r="G192" s="9" t="s">
        <v>622</v>
      </c>
      <c r="H192" s="10">
        <v>7250451</v>
      </c>
      <c r="I192" s="10">
        <v>8510810</v>
      </c>
      <c r="J192" s="10">
        <f t="shared" si="7"/>
        <v>10553404.4</v>
      </c>
      <c r="K192" s="11">
        <f t="shared" si="8"/>
        <v>0.45555144086898874</v>
      </c>
    </row>
    <row r="193" spans="1:11" x14ac:dyDescent="0.3">
      <c r="A193" s="8" t="s">
        <v>313</v>
      </c>
      <c r="B193" s="9" t="s">
        <v>598</v>
      </c>
      <c r="C193" s="9" t="s">
        <v>16</v>
      </c>
      <c r="D193" s="9" t="s">
        <v>34</v>
      </c>
      <c r="E193" s="9" t="s">
        <v>632</v>
      </c>
      <c r="F193" s="9" t="s">
        <v>617</v>
      </c>
      <c r="G193" s="9" t="s">
        <v>621</v>
      </c>
      <c r="H193" s="10">
        <v>0</v>
      </c>
      <c r="I193" s="10">
        <v>0</v>
      </c>
      <c r="J193" s="10">
        <f t="shared" si="7"/>
        <v>0</v>
      </c>
      <c r="K193" s="11">
        <f t="shared" si="8"/>
        <v>0</v>
      </c>
    </row>
    <row r="194" spans="1:11" x14ac:dyDescent="0.3">
      <c r="A194" s="8" t="s">
        <v>166</v>
      </c>
      <c r="B194" s="9" t="s">
        <v>456</v>
      </c>
      <c r="C194" s="9" t="s">
        <v>16</v>
      </c>
      <c r="D194" s="9" t="s">
        <v>34</v>
      </c>
      <c r="E194" s="9" t="s">
        <v>616</v>
      </c>
      <c r="F194" s="9" t="s">
        <v>617</v>
      </c>
      <c r="G194" s="9" t="s">
        <v>621</v>
      </c>
      <c r="H194" s="10">
        <v>5133333</v>
      </c>
      <c r="I194" s="10">
        <v>0</v>
      </c>
      <c r="J194" s="10">
        <f t="shared" si="7"/>
        <v>0</v>
      </c>
      <c r="K194" s="11">
        <f t="shared" si="8"/>
        <v>-1</v>
      </c>
    </row>
    <row r="195" spans="1:11" x14ac:dyDescent="0.3">
      <c r="A195" s="8" t="s">
        <v>267</v>
      </c>
      <c r="B195" s="9" t="s">
        <v>556</v>
      </c>
      <c r="C195" s="9" t="s">
        <v>14</v>
      </c>
      <c r="D195" s="9" t="s">
        <v>28</v>
      </c>
      <c r="E195" s="9" t="s">
        <v>631</v>
      </c>
      <c r="F195" s="9" t="s">
        <v>617</v>
      </c>
      <c r="G195" s="9" t="s">
        <v>620</v>
      </c>
      <c r="H195" s="10">
        <v>0</v>
      </c>
      <c r="I195" s="10">
        <v>0</v>
      </c>
      <c r="J195" s="10">
        <f t="shared" si="7"/>
        <v>0</v>
      </c>
      <c r="K195" s="11">
        <f t="shared" si="8"/>
        <v>0</v>
      </c>
    </row>
    <row r="196" spans="1:11" x14ac:dyDescent="0.3">
      <c r="A196" s="8" t="s">
        <v>314</v>
      </c>
      <c r="B196" s="9" t="s">
        <v>599</v>
      </c>
      <c r="C196" s="9" t="s">
        <v>16</v>
      </c>
      <c r="D196" s="9" t="s">
        <v>34</v>
      </c>
      <c r="E196" s="9" t="s">
        <v>632</v>
      </c>
      <c r="F196" s="9" t="s">
        <v>617</v>
      </c>
      <c r="G196" s="9" t="s">
        <v>621</v>
      </c>
      <c r="H196" s="10">
        <v>0</v>
      </c>
      <c r="I196" s="10">
        <v>0</v>
      </c>
      <c r="J196" s="10">
        <f t="shared" si="7"/>
        <v>0</v>
      </c>
      <c r="K196" s="11">
        <f t="shared" si="8"/>
        <v>0</v>
      </c>
    </row>
    <row r="197" spans="1:11" x14ac:dyDescent="0.3">
      <c r="A197" s="8" t="s">
        <v>165</v>
      </c>
      <c r="B197" s="9" t="s">
        <v>455</v>
      </c>
      <c r="C197" s="9" t="s">
        <v>14</v>
      </c>
      <c r="D197" s="9" t="s">
        <v>28</v>
      </c>
      <c r="E197" s="9" t="s">
        <v>616</v>
      </c>
      <c r="F197" s="9" t="s">
        <v>617</v>
      </c>
      <c r="G197" s="9" t="s">
        <v>620</v>
      </c>
      <c r="H197" s="10">
        <v>0</v>
      </c>
      <c r="I197" s="10">
        <v>0</v>
      </c>
      <c r="J197" s="10">
        <f t="shared" ref="J197:J225" si="9">IFERROR((I197/$A$1*$B$1),0)</f>
        <v>0</v>
      </c>
      <c r="K197" s="11">
        <f t="shared" ref="K197:K242" si="10">IFERROR((J197-H197)/H197,0)</f>
        <v>0</v>
      </c>
    </row>
    <row r="198" spans="1:11" x14ac:dyDescent="0.3">
      <c r="A198" s="8" t="s">
        <v>23</v>
      </c>
      <c r="B198" s="9" t="s">
        <v>338</v>
      </c>
      <c r="C198" s="9" t="s">
        <v>14</v>
      </c>
      <c r="D198" s="9" t="s">
        <v>32</v>
      </c>
      <c r="E198" s="9" t="s">
        <v>616</v>
      </c>
      <c r="F198" s="9" t="s">
        <v>617</v>
      </c>
      <c r="G198" s="9" t="s">
        <v>619</v>
      </c>
      <c r="H198" s="10">
        <v>11978378</v>
      </c>
      <c r="I198" s="10">
        <v>2701802</v>
      </c>
      <c r="J198" s="10">
        <f t="shared" si="9"/>
        <v>3350234.48</v>
      </c>
      <c r="K198" s="11">
        <f t="shared" si="10"/>
        <v>-0.72030983827693529</v>
      </c>
    </row>
    <row r="199" spans="1:11" x14ac:dyDescent="0.3">
      <c r="A199" s="8" t="s">
        <v>50</v>
      </c>
      <c r="B199" s="9" t="s">
        <v>354</v>
      </c>
      <c r="C199" s="9" t="s">
        <v>14</v>
      </c>
      <c r="D199" s="9" t="s">
        <v>30</v>
      </c>
      <c r="E199" s="9" t="s">
        <v>616</v>
      </c>
      <c r="F199" s="9" t="s">
        <v>617</v>
      </c>
      <c r="G199" s="9" t="s">
        <v>620</v>
      </c>
      <c r="H199" s="10">
        <v>41200901</v>
      </c>
      <c r="I199" s="10">
        <v>21793691</v>
      </c>
      <c r="J199" s="10">
        <f t="shared" si="9"/>
        <v>27024176.84</v>
      </c>
      <c r="K199" s="11">
        <f t="shared" si="10"/>
        <v>-0.34408772177093894</v>
      </c>
    </row>
    <row r="200" spans="1:11" x14ac:dyDescent="0.3">
      <c r="A200" s="8" t="s">
        <v>204</v>
      </c>
      <c r="B200" s="9" t="s">
        <v>494</v>
      </c>
      <c r="C200" s="9" t="s">
        <v>16</v>
      </c>
      <c r="D200" s="9" t="s">
        <v>38</v>
      </c>
      <c r="E200" s="9" t="s">
        <v>616</v>
      </c>
      <c r="F200" s="9" t="s">
        <v>617</v>
      </c>
      <c r="G200" s="9" t="s">
        <v>621</v>
      </c>
      <c r="H200" s="10">
        <v>0</v>
      </c>
      <c r="I200" s="10">
        <v>5493693</v>
      </c>
      <c r="J200" s="10">
        <f t="shared" si="9"/>
        <v>6812179.3200000003</v>
      </c>
      <c r="K200" s="11">
        <f t="shared" si="10"/>
        <v>0</v>
      </c>
    </row>
    <row r="201" spans="1:11" x14ac:dyDescent="0.3">
      <c r="A201" s="8" t="s">
        <v>315</v>
      </c>
      <c r="B201" s="9" t="s">
        <v>600</v>
      </c>
      <c r="C201" s="9" t="s">
        <v>16</v>
      </c>
      <c r="D201" s="9" t="s">
        <v>34</v>
      </c>
      <c r="E201" s="9" t="s">
        <v>632</v>
      </c>
      <c r="F201" s="9" t="s">
        <v>617</v>
      </c>
      <c r="G201" s="9" t="s">
        <v>621</v>
      </c>
      <c r="H201" s="10">
        <v>0</v>
      </c>
      <c r="I201" s="10">
        <v>0</v>
      </c>
      <c r="J201" s="10">
        <f t="shared" si="9"/>
        <v>0</v>
      </c>
      <c r="K201" s="11">
        <f t="shared" si="10"/>
        <v>0</v>
      </c>
    </row>
    <row r="202" spans="1:11" x14ac:dyDescent="0.3">
      <c r="A202" s="8" t="s">
        <v>316</v>
      </c>
      <c r="B202" s="9" t="s">
        <v>601</v>
      </c>
      <c r="C202" s="9" t="s">
        <v>16</v>
      </c>
      <c r="D202" s="9" t="s">
        <v>42</v>
      </c>
      <c r="E202" s="9" t="s">
        <v>632</v>
      </c>
      <c r="F202" s="9" t="s">
        <v>617</v>
      </c>
      <c r="G202" s="9" t="s">
        <v>618</v>
      </c>
      <c r="H202" s="10">
        <v>0</v>
      </c>
      <c r="I202" s="10">
        <v>0</v>
      </c>
      <c r="J202" s="10">
        <f t="shared" si="9"/>
        <v>0</v>
      </c>
      <c r="K202" s="11">
        <f t="shared" si="10"/>
        <v>0</v>
      </c>
    </row>
    <row r="203" spans="1:11" x14ac:dyDescent="0.3">
      <c r="A203" s="8" t="s">
        <v>317</v>
      </c>
      <c r="B203" s="9" t="s">
        <v>602</v>
      </c>
      <c r="C203" s="9" t="s">
        <v>14</v>
      </c>
      <c r="D203" s="9" t="s">
        <v>32</v>
      </c>
      <c r="E203" s="9" t="s">
        <v>632</v>
      </c>
      <c r="F203" s="9" t="s">
        <v>617</v>
      </c>
      <c r="G203" s="9" t="s">
        <v>619</v>
      </c>
      <c r="H203" s="10">
        <v>0</v>
      </c>
      <c r="I203" s="10">
        <v>0</v>
      </c>
      <c r="J203" s="10">
        <f t="shared" si="9"/>
        <v>0</v>
      </c>
      <c r="K203" s="11">
        <f t="shared" si="10"/>
        <v>0</v>
      </c>
    </row>
    <row r="204" spans="1:11" x14ac:dyDescent="0.3">
      <c r="A204" s="8" t="s">
        <v>318</v>
      </c>
      <c r="B204" s="9" t="s">
        <v>603</v>
      </c>
      <c r="C204" s="9" t="s">
        <v>16</v>
      </c>
      <c r="D204" s="9" t="s">
        <v>44</v>
      </c>
      <c r="E204" s="9" t="s">
        <v>632</v>
      </c>
      <c r="F204" s="9" t="s">
        <v>617</v>
      </c>
      <c r="G204" s="9" t="s">
        <v>622</v>
      </c>
      <c r="H204" s="10">
        <v>0</v>
      </c>
      <c r="I204" s="10">
        <v>0</v>
      </c>
      <c r="J204" s="10">
        <f t="shared" si="9"/>
        <v>0</v>
      </c>
      <c r="K204" s="11">
        <f t="shared" si="10"/>
        <v>0</v>
      </c>
    </row>
    <row r="205" spans="1:11" x14ac:dyDescent="0.3">
      <c r="A205" s="8" t="s">
        <v>319</v>
      </c>
      <c r="B205" s="9" t="s">
        <v>604</v>
      </c>
      <c r="C205" s="9" t="s">
        <v>14</v>
      </c>
      <c r="D205" s="9" t="s">
        <v>24</v>
      </c>
      <c r="E205" s="9" t="s">
        <v>632</v>
      </c>
      <c r="F205" s="9" t="s">
        <v>617</v>
      </c>
      <c r="G205" s="9" t="s">
        <v>619</v>
      </c>
      <c r="H205" s="10">
        <v>0</v>
      </c>
      <c r="I205" s="10">
        <v>0</v>
      </c>
      <c r="J205" s="10">
        <f t="shared" si="9"/>
        <v>0</v>
      </c>
      <c r="K205" s="11">
        <f t="shared" si="10"/>
        <v>0</v>
      </c>
    </row>
    <row r="206" spans="1:11" x14ac:dyDescent="0.3">
      <c r="A206" s="8" t="s">
        <v>320</v>
      </c>
      <c r="B206" s="9" t="s">
        <v>605</v>
      </c>
      <c r="C206" s="9" t="s">
        <v>16</v>
      </c>
      <c r="D206" s="9" t="s">
        <v>22</v>
      </c>
      <c r="E206" s="9" t="s">
        <v>632</v>
      </c>
      <c r="F206" s="9" t="s">
        <v>617</v>
      </c>
      <c r="G206" s="9" t="s">
        <v>618</v>
      </c>
      <c r="H206" s="10">
        <v>0</v>
      </c>
      <c r="I206" s="10">
        <v>0</v>
      </c>
      <c r="J206" s="10">
        <f t="shared" si="9"/>
        <v>0</v>
      </c>
      <c r="K206" s="11">
        <f t="shared" si="10"/>
        <v>0</v>
      </c>
    </row>
    <row r="207" spans="1:11" x14ac:dyDescent="0.3">
      <c r="A207" s="8" t="s">
        <v>239</v>
      </c>
      <c r="B207" s="9" t="s">
        <v>529</v>
      </c>
      <c r="C207" s="9" t="s">
        <v>120</v>
      </c>
      <c r="D207" s="9" t="s">
        <v>135</v>
      </c>
      <c r="E207" s="9" t="s">
        <v>627</v>
      </c>
      <c r="F207" s="9" t="s">
        <v>617</v>
      </c>
      <c r="G207" s="9" t="s">
        <v>621</v>
      </c>
      <c r="H207" s="10">
        <v>0</v>
      </c>
      <c r="I207" s="10">
        <v>0</v>
      </c>
      <c r="J207" s="10">
        <f t="shared" si="9"/>
        <v>0</v>
      </c>
      <c r="K207" s="11">
        <f t="shared" si="10"/>
        <v>0</v>
      </c>
    </row>
    <row r="208" spans="1:11" x14ac:dyDescent="0.3">
      <c r="A208" s="8" t="s">
        <v>231</v>
      </c>
      <c r="B208" s="9" t="s">
        <v>521</v>
      </c>
      <c r="C208" s="9" t="s">
        <v>14</v>
      </c>
      <c r="D208" s="9" t="s">
        <v>24</v>
      </c>
      <c r="E208" s="9" t="s">
        <v>616</v>
      </c>
      <c r="F208" s="9" t="s">
        <v>617</v>
      </c>
      <c r="G208" s="9" t="s">
        <v>619</v>
      </c>
      <c r="H208" s="10">
        <v>5446847</v>
      </c>
      <c r="I208" s="10">
        <v>20263963</v>
      </c>
      <c r="J208" s="10">
        <f t="shared" si="9"/>
        <v>25127314.120000001</v>
      </c>
      <c r="K208" s="11">
        <f t="shared" si="10"/>
        <v>3.6131852280778221</v>
      </c>
    </row>
    <row r="209" spans="1:11" x14ac:dyDescent="0.3">
      <c r="A209" s="8" t="s">
        <v>321</v>
      </c>
      <c r="B209" s="9" t="s">
        <v>606</v>
      </c>
      <c r="C209" s="9" t="s">
        <v>120</v>
      </c>
      <c r="D209" s="9" t="s">
        <v>129</v>
      </c>
      <c r="E209" s="9" t="s">
        <v>616</v>
      </c>
      <c r="F209" s="9" t="s">
        <v>617</v>
      </c>
      <c r="G209" s="9" t="s">
        <v>621</v>
      </c>
      <c r="H209" s="10">
        <v>0</v>
      </c>
      <c r="I209" s="10">
        <v>0</v>
      </c>
      <c r="J209" s="10">
        <f t="shared" si="9"/>
        <v>0</v>
      </c>
      <c r="K209" s="11">
        <f t="shared" si="10"/>
        <v>0</v>
      </c>
    </row>
    <row r="210" spans="1:11" x14ac:dyDescent="0.3">
      <c r="A210" s="8" t="s">
        <v>322</v>
      </c>
      <c r="B210" s="9" t="s">
        <v>607</v>
      </c>
      <c r="C210" s="9" t="s">
        <v>16</v>
      </c>
      <c r="D210" s="9" t="s">
        <v>34</v>
      </c>
      <c r="E210" s="9" t="s">
        <v>632</v>
      </c>
      <c r="F210" s="9" t="s">
        <v>617</v>
      </c>
      <c r="G210" s="9" t="s">
        <v>621</v>
      </c>
      <c r="H210" s="10">
        <v>0</v>
      </c>
      <c r="I210" s="10">
        <v>0</v>
      </c>
      <c r="J210" s="10">
        <f t="shared" si="9"/>
        <v>0</v>
      </c>
      <c r="K210" s="11">
        <f t="shared" si="10"/>
        <v>0</v>
      </c>
    </row>
    <row r="211" spans="1:11" x14ac:dyDescent="0.3">
      <c r="A211" s="8" t="s">
        <v>233</v>
      </c>
      <c r="B211" s="9" t="s">
        <v>523</v>
      </c>
      <c r="C211" s="9" t="s">
        <v>14</v>
      </c>
      <c r="D211" s="9" t="s">
        <v>30</v>
      </c>
      <c r="E211" s="9" t="s">
        <v>616</v>
      </c>
      <c r="F211" s="9" t="s">
        <v>617</v>
      </c>
      <c r="G211" s="9" t="s">
        <v>620</v>
      </c>
      <c r="H211" s="10">
        <v>35299100</v>
      </c>
      <c r="I211" s="10">
        <v>0</v>
      </c>
      <c r="J211" s="10">
        <f t="shared" si="9"/>
        <v>0</v>
      </c>
      <c r="K211" s="11">
        <f t="shared" si="10"/>
        <v>-1</v>
      </c>
    </row>
    <row r="212" spans="1:11" x14ac:dyDescent="0.3">
      <c r="A212" s="8" t="s">
        <v>237</v>
      </c>
      <c r="B212" s="9" t="s">
        <v>527</v>
      </c>
      <c r="C212" s="9" t="s">
        <v>120</v>
      </c>
      <c r="D212" s="9" t="s">
        <v>137</v>
      </c>
      <c r="E212" s="9" t="s">
        <v>627</v>
      </c>
      <c r="F212" s="9" t="s">
        <v>617</v>
      </c>
      <c r="G212" s="9" t="s">
        <v>620</v>
      </c>
      <c r="H212" s="10">
        <v>0</v>
      </c>
      <c r="I212" s="10">
        <v>0</v>
      </c>
      <c r="J212" s="10">
        <f t="shared" si="9"/>
        <v>0</v>
      </c>
      <c r="K212" s="11">
        <f t="shared" si="10"/>
        <v>0</v>
      </c>
    </row>
    <row r="213" spans="1:11" x14ac:dyDescent="0.3">
      <c r="A213" s="8" t="s">
        <v>235</v>
      </c>
      <c r="B213" s="9" t="s">
        <v>525</v>
      </c>
      <c r="C213" s="9" t="s">
        <v>120</v>
      </c>
      <c r="D213" s="9" t="s">
        <v>139</v>
      </c>
      <c r="E213" s="9" t="s">
        <v>626</v>
      </c>
      <c r="F213" s="9" t="s">
        <v>617</v>
      </c>
      <c r="G213" s="9" t="s">
        <v>620</v>
      </c>
      <c r="H213" s="10">
        <v>28326127</v>
      </c>
      <c r="I213" s="10">
        <v>32605405</v>
      </c>
      <c r="J213" s="10">
        <f>IFERROR((I213/$A$1*$B$1),0)</f>
        <v>40430702.199999996</v>
      </c>
      <c r="K213" s="11">
        <f t="shared" si="10"/>
        <v>0.42732898853415419</v>
      </c>
    </row>
    <row r="214" spans="1:11" x14ac:dyDescent="0.3">
      <c r="A214" s="8" t="s">
        <v>234</v>
      </c>
      <c r="B214" s="9" t="s">
        <v>524</v>
      </c>
      <c r="C214" s="9" t="s">
        <v>120</v>
      </c>
      <c r="D214" s="9" t="s">
        <v>137</v>
      </c>
      <c r="E214" s="9" t="s">
        <v>627</v>
      </c>
      <c r="F214" s="9" t="s">
        <v>617</v>
      </c>
      <c r="G214" s="9" t="s">
        <v>620</v>
      </c>
      <c r="H214" s="10">
        <v>0</v>
      </c>
      <c r="I214" s="10">
        <v>0</v>
      </c>
      <c r="J214" s="10">
        <f>IFERROR((I214/$A$1*$B$1),0)</f>
        <v>0</v>
      </c>
      <c r="K214" s="11">
        <f t="shared" si="10"/>
        <v>0</v>
      </c>
    </row>
    <row r="215" spans="1:11" x14ac:dyDescent="0.3">
      <c r="A215" s="8" t="s">
        <v>323</v>
      </c>
      <c r="B215" s="9" t="s">
        <v>608</v>
      </c>
      <c r="C215" s="9" t="s">
        <v>16</v>
      </c>
      <c r="D215" s="9" t="s">
        <v>44</v>
      </c>
      <c r="E215" s="9" t="s">
        <v>632</v>
      </c>
      <c r="F215" s="9" t="s">
        <v>617</v>
      </c>
      <c r="G215" s="9" t="s">
        <v>622</v>
      </c>
      <c r="H215" s="10">
        <v>0</v>
      </c>
      <c r="I215" s="10">
        <v>0</v>
      </c>
      <c r="J215" s="10">
        <f>IFERROR((I215/$A$1*$B$1),0)</f>
        <v>0</v>
      </c>
      <c r="K215" s="11">
        <f t="shared" si="10"/>
        <v>0</v>
      </c>
    </row>
    <row r="216" spans="1:11" x14ac:dyDescent="0.3">
      <c r="A216" s="8" t="s">
        <v>324</v>
      </c>
      <c r="B216" s="9" t="s">
        <v>609</v>
      </c>
      <c r="C216" s="9" t="s">
        <v>14</v>
      </c>
      <c r="D216" s="9" t="s">
        <v>26</v>
      </c>
      <c r="E216" s="9" t="s">
        <v>632</v>
      </c>
      <c r="F216" s="9" t="s">
        <v>617</v>
      </c>
      <c r="G216" s="9" t="s">
        <v>619</v>
      </c>
      <c r="H216" s="10">
        <v>0</v>
      </c>
      <c r="I216" s="10">
        <v>0</v>
      </c>
      <c r="J216" s="10">
        <f>IFERROR((I216/$A$1*$B$1),0)</f>
        <v>0</v>
      </c>
      <c r="K216" s="11">
        <f t="shared" si="10"/>
        <v>0</v>
      </c>
    </row>
    <row r="217" spans="1:11" x14ac:dyDescent="0.3">
      <c r="A217" s="8" t="s">
        <v>240</v>
      </c>
      <c r="B217" s="9" t="s">
        <v>530</v>
      </c>
      <c r="C217" s="9" t="s">
        <v>120</v>
      </c>
      <c r="D217" s="9" t="s">
        <v>139</v>
      </c>
      <c r="E217" s="9" t="s">
        <v>626</v>
      </c>
      <c r="F217" s="9" t="s">
        <v>617</v>
      </c>
      <c r="G217" s="9" t="s">
        <v>619</v>
      </c>
      <c r="H217" s="10">
        <v>28280180</v>
      </c>
      <c r="I217" s="10">
        <v>9456756</v>
      </c>
      <c r="J217" s="10">
        <f t="shared" ref="J217:J228" si="11">IFERROR((I217/$A$1*$B$1),0)</f>
        <v>11726377.439999999</v>
      </c>
      <c r="K217" s="11">
        <f t="shared" si="10"/>
        <v>-0.58534997160555557</v>
      </c>
    </row>
    <row r="218" spans="1:11" x14ac:dyDescent="0.3">
      <c r="A218" s="8" t="s">
        <v>325</v>
      </c>
      <c r="B218" s="9" t="s">
        <v>610</v>
      </c>
      <c r="C218" s="9" t="s">
        <v>16</v>
      </c>
      <c r="D218" s="9" t="s">
        <v>40</v>
      </c>
      <c r="E218" s="9" t="s">
        <v>632</v>
      </c>
      <c r="F218" s="9" t="s">
        <v>617</v>
      </c>
      <c r="G218" s="9" t="s">
        <v>623</v>
      </c>
      <c r="H218" s="10">
        <v>0</v>
      </c>
      <c r="I218" s="10">
        <v>0</v>
      </c>
      <c r="J218" s="10">
        <f t="shared" si="11"/>
        <v>0</v>
      </c>
      <c r="K218" s="11">
        <f t="shared" si="10"/>
        <v>0</v>
      </c>
    </row>
    <row r="219" spans="1:11" x14ac:dyDescent="0.3">
      <c r="A219" s="8" t="s">
        <v>241</v>
      </c>
      <c r="B219" s="9" t="s">
        <v>531</v>
      </c>
      <c r="C219" s="9" t="s">
        <v>120</v>
      </c>
      <c r="D219" s="9" t="s">
        <v>139</v>
      </c>
      <c r="E219" s="9" t="s">
        <v>626</v>
      </c>
      <c r="F219" s="9" t="s">
        <v>617</v>
      </c>
      <c r="G219" s="9" t="s">
        <v>622</v>
      </c>
      <c r="H219" s="10">
        <v>14950450</v>
      </c>
      <c r="I219" s="10">
        <v>23955855</v>
      </c>
      <c r="J219" s="10">
        <f t="shared" si="11"/>
        <v>29705260.199999999</v>
      </c>
      <c r="K219" s="11">
        <f t="shared" si="10"/>
        <v>0.98691411964188369</v>
      </c>
    </row>
    <row r="220" spans="1:11" x14ac:dyDescent="0.3">
      <c r="A220" s="8" t="s">
        <v>246</v>
      </c>
      <c r="B220" s="9" t="s">
        <v>535</v>
      </c>
      <c r="C220" s="9" t="s">
        <v>120</v>
      </c>
      <c r="D220" s="9" t="s">
        <v>137</v>
      </c>
      <c r="E220" s="9" t="s">
        <v>627</v>
      </c>
      <c r="F220" s="9" t="s">
        <v>617</v>
      </c>
      <c r="G220" s="9" t="s">
        <v>619</v>
      </c>
      <c r="H220" s="10">
        <v>0</v>
      </c>
      <c r="I220" s="10">
        <v>0</v>
      </c>
      <c r="J220" s="10">
        <f t="shared" si="11"/>
        <v>0</v>
      </c>
      <c r="K220" s="11">
        <f t="shared" si="10"/>
        <v>0</v>
      </c>
    </row>
    <row r="221" spans="1:11" x14ac:dyDescent="0.3">
      <c r="A221" s="8" t="s">
        <v>243</v>
      </c>
      <c r="B221" s="9" t="s">
        <v>533</v>
      </c>
      <c r="C221" s="9" t="s">
        <v>120</v>
      </c>
      <c r="D221" s="9" t="s">
        <v>137</v>
      </c>
      <c r="E221" s="9" t="s">
        <v>627</v>
      </c>
      <c r="F221" s="9" t="s">
        <v>617</v>
      </c>
      <c r="G221" s="9" t="s">
        <v>619</v>
      </c>
      <c r="H221" s="10">
        <v>0</v>
      </c>
      <c r="I221" s="10">
        <v>0</v>
      </c>
      <c r="J221" s="10">
        <f t="shared" si="11"/>
        <v>0</v>
      </c>
      <c r="K221" s="11">
        <f t="shared" si="10"/>
        <v>0</v>
      </c>
    </row>
    <row r="222" spans="1:11" x14ac:dyDescent="0.3">
      <c r="A222" s="8" t="s">
        <v>242</v>
      </c>
      <c r="B222" s="9" t="s">
        <v>532</v>
      </c>
      <c r="C222" s="9" t="s">
        <v>120</v>
      </c>
      <c r="D222" s="9" t="s">
        <v>137</v>
      </c>
      <c r="E222" s="9" t="s">
        <v>627</v>
      </c>
      <c r="F222" s="9" t="s">
        <v>617</v>
      </c>
      <c r="G222" s="9" t="s">
        <v>620</v>
      </c>
      <c r="H222" s="10">
        <v>0</v>
      </c>
      <c r="I222" s="10">
        <v>0</v>
      </c>
      <c r="J222" s="10">
        <f t="shared" si="11"/>
        <v>0</v>
      </c>
      <c r="K222" s="11">
        <f t="shared" si="10"/>
        <v>0</v>
      </c>
    </row>
    <row r="223" spans="1:11" x14ac:dyDescent="0.3">
      <c r="A223" s="8" t="s">
        <v>326</v>
      </c>
      <c r="B223" s="9" t="s">
        <v>611</v>
      </c>
      <c r="C223" s="9" t="s">
        <v>16</v>
      </c>
      <c r="D223" s="9" t="s">
        <v>40</v>
      </c>
      <c r="E223" s="9" t="s">
        <v>632</v>
      </c>
      <c r="F223" s="9" t="s">
        <v>617</v>
      </c>
      <c r="G223" s="9" t="s">
        <v>623</v>
      </c>
      <c r="H223" s="10">
        <v>0</v>
      </c>
      <c r="I223" s="10">
        <v>0</v>
      </c>
      <c r="J223" s="10">
        <f t="shared" si="11"/>
        <v>0</v>
      </c>
      <c r="K223" s="11">
        <f t="shared" si="10"/>
        <v>0</v>
      </c>
    </row>
    <row r="224" spans="1:11" x14ac:dyDescent="0.3">
      <c r="A224" s="8" t="s">
        <v>247</v>
      </c>
      <c r="B224" s="9" t="s">
        <v>536</v>
      </c>
      <c r="C224" s="9" t="s">
        <v>120</v>
      </c>
      <c r="D224" s="9" t="s">
        <v>137</v>
      </c>
      <c r="E224" s="9" t="s">
        <v>627</v>
      </c>
      <c r="F224" s="9" t="s">
        <v>617</v>
      </c>
      <c r="G224" s="9" t="s">
        <v>620</v>
      </c>
      <c r="H224" s="10">
        <v>0</v>
      </c>
      <c r="I224" s="10">
        <v>0</v>
      </c>
      <c r="J224" s="10">
        <f t="shared" si="11"/>
        <v>0</v>
      </c>
      <c r="K224" s="11">
        <f t="shared" si="10"/>
        <v>0</v>
      </c>
    </row>
    <row r="225" spans="1:18" x14ac:dyDescent="0.3">
      <c r="A225" s="8" t="s">
        <v>327</v>
      </c>
      <c r="B225" s="9" t="s">
        <v>612</v>
      </c>
      <c r="C225" s="9" t="s">
        <v>16</v>
      </c>
      <c r="D225" s="9" t="s">
        <v>42</v>
      </c>
      <c r="E225" s="9" t="s">
        <v>632</v>
      </c>
      <c r="F225" s="9" t="s">
        <v>617</v>
      </c>
      <c r="G225" s="9" t="s">
        <v>618</v>
      </c>
      <c r="H225" s="10">
        <v>0</v>
      </c>
      <c r="I225" s="10">
        <v>0</v>
      </c>
      <c r="J225" s="10">
        <f t="shared" si="11"/>
        <v>0</v>
      </c>
      <c r="K225" s="11">
        <f t="shared" si="10"/>
        <v>0</v>
      </c>
    </row>
    <row r="226" spans="1:18" x14ac:dyDescent="0.3">
      <c r="A226" s="8" t="s">
        <v>328</v>
      </c>
      <c r="B226" s="9" t="s">
        <v>613</v>
      </c>
      <c r="C226" s="9" t="s">
        <v>16</v>
      </c>
      <c r="D226" s="9" t="s">
        <v>40</v>
      </c>
      <c r="E226" s="9" t="s">
        <v>632</v>
      </c>
      <c r="F226" s="9" t="s">
        <v>617</v>
      </c>
      <c r="G226" s="9" t="s">
        <v>623</v>
      </c>
      <c r="H226" s="10">
        <v>0</v>
      </c>
      <c r="I226" s="10">
        <v>0</v>
      </c>
      <c r="J226" s="10">
        <f t="shared" si="11"/>
        <v>0</v>
      </c>
      <c r="K226" s="11">
        <f t="shared" si="10"/>
        <v>0</v>
      </c>
    </row>
    <row r="227" spans="1:18" x14ac:dyDescent="0.3">
      <c r="A227" s="8" t="s">
        <v>329</v>
      </c>
      <c r="B227" s="9" t="s">
        <v>614</v>
      </c>
      <c r="C227" s="9" t="s">
        <v>16</v>
      </c>
      <c r="D227" s="9" t="s">
        <v>40</v>
      </c>
      <c r="E227" s="9" t="s">
        <v>632</v>
      </c>
      <c r="F227" s="9" t="s">
        <v>617</v>
      </c>
      <c r="G227" s="9" t="s">
        <v>623</v>
      </c>
      <c r="H227" s="10">
        <v>0</v>
      </c>
      <c r="I227" s="10">
        <v>0</v>
      </c>
      <c r="J227" s="10">
        <f t="shared" si="11"/>
        <v>0</v>
      </c>
      <c r="K227" s="11">
        <f t="shared" si="10"/>
        <v>0</v>
      </c>
    </row>
    <row r="228" spans="1:18" x14ac:dyDescent="0.3">
      <c r="A228" s="8" t="s">
        <v>330</v>
      </c>
      <c r="B228" s="9" t="s">
        <v>615</v>
      </c>
      <c r="C228" s="9" t="s">
        <v>120</v>
      </c>
      <c r="D228" s="9" t="s">
        <v>139</v>
      </c>
      <c r="E228" s="9" t="s">
        <v>626</v>
      </c>
      <c r="F228" s="9" t="s">
        <v>617</v>
      </c>
      <c r="G228" s="9" t="s">
        <v>620</v>
      </c>
      <c r="H228" s="10">
        <v>0</v>
      </c>
      <c r="I228" s="10">
        <v>0</v>
      </c>
      <c r="J228" s="10">
        <f t="shared" si="11"/>
        <v>0</v>
      </c>
      <c r="K228" s="11">
        <f t="shared" si="10"/>
        <v>0</v>
      </c>
    </row>
    <row r="229" spans="1:18" s="15" customFormat="1" ht="15.05" customHeight="1" x14ac:dyDescent="0.3">
      <c r="A229" s="4" t="s">
        <v>18</v>
      </c>
      <c r="B229" s="7"/>
      <c r="C229" s="7"/>
      <c r="D229" s="7"/>
      <c r="E229" s="7"/>
      <c r="F229" s="7"/>
      <c r="G229" s="7"/>
      <c r="H229" s="12">
        <f>SUM(H5:H228)</f>
        <v>2553215307</v>
      </c>
      <c r="I229" s="12">
        <f>SUM(I5:I228)</f>
        <v>1706610766</v>
      </c>
      <c r="J229" s="12">
        <f>SUM(J5:J228)</f>
        <v>2116197349.8400009</v>
      </c>
      <c r="K229" s="14">
        <f t="shared" si="10"/>
        <v>-0.17116376984026876</v>
      </c>
      <c r="N229"/>
      <c r="O229"/>
      <c r="P229"/>
      <c r="Q229"/>
      <c r="R229"/>
    </row>
    <row r="230" spans="1:18" ht="15.05" customHeight="1" x14ac:dyDescent="0.3"/>
  </sheetData>
  <autoFilter ref="A4:K229" xr:uid="{9C37F107-75DF-4C86-A97B-8DB1A6F13EC7}"/>
  <mergeCells count="2">
    <mergeCell ref="A3:K3"/>
    <mergeCell ref="N3:R3"/>
  </mergeCells>
  <conditionalFormatting sqref="A5:A228">
    <cfRule type="duplicateValues" dxfId="1" priority="2"/>
  </conditionalFormatting>
  <conditionalFormatting sqref="R5:R8 K5:K229 R11:R27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OPPO CLIMBER</vt:lpstr>
      <vt:lpstr>1 SHIFT 1 STORE</vt:lpstr>
      <vt:lpstr>TELKOMSEL</vt:lpstr>
      <vt:lpstr>INDOSAT</vt:lpstr>
      <vt:lpstr>XL</vt:lpstr>
      <vt:lpstr>RACING VIQOO</vt:lpstr>
      <vt:lpstr>RACING OPPO</vt:lpstr>
      <vt:lpstr>RACING SAMSUNG TABLET</vt:lpstr>
      <vt:lpstr>RACING SAMSUNG A37 - A57</vt:lpstr>
      <vt:lpstr>RACING TECNO CAMON 50 SERIES</vt:lpstr>
      <vt:lpstr>TV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Asyari Fauzan</dc:creator>
  <cp:lastModifiedBy>Asyari Fauzan</cp:lastModifiedBy>
  <dcterms:created xsi:type="dcterms:W3CDTF">2026-05-26T04:17:46Z</dcterms:created>
  <dcterms:modified xsi:type="dcterms:W3CDTF">2026-05-26T04:18:07Z</dcterms:modified>
</cp:coreProperties>
</file>