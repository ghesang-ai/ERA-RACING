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D952B3B-C312-4125-80A7-8AD297ECDD3B}" xr6:coauthVersionLast="47" xr6:coauthVersionMax="47" xr10:uidLastSave="{00000000-0000-0000-0000-000000000000}"/>
  <bookViews>
    <workbookView xWindow="-113" yWindow="-113" windowWidth="24267" windowHeight="13023" xr2:uid="{D8F3CB3E-831E-4ED9-9BD3-6E88DC818F91}"/>
  </bookViews>
  <sheets>
    <sheet name="OPPO CLIMBER" sheetId="1" r:id="rId1"/>
    <sheet name="1 SHIFT 1 STORE" sheetId="2" r:id="rId2"/>
    <sheet name="TELKOMSEL" sheetId="3" r:id="rId3"/>
    <sheet name="INDOSAT" sheetId="4" r:id="rId4"/>
    <sheet name="XL" sheetId="5" r:id="rId5"/>
    <sheet name="TV" sheetId="6" r:id="rId6"/>
    <sheet name="BOLTECH" sheetId="7" r:id="rId7"/>
    <sheet name="RACING VIVO" sheetId="8" r:id="rId8"/>
    <sheet name="SAMSUNG S26 FE" sheetId="9" r:id="rId9"/>
    <sheet name="PO REALME 16 HP" sheetId="10" r:id="rId10"/>
    <sheet name="HUAWEI MATEPAD" sheetId="11" r:id="rId11"/>
    <sheet name="RACING SAMSUNG" sheetId="12" r:id="rId12"/>
    <sheet name="REDMI NOTE 17" sheetId="13" r:id="rId13"/>
  </sheets>
  <definedNames>
    <definedName name="_xlnm._FilterDatabase" localSheetId="1" hidden="1">'1 SHIFT 1 STORE'!$A$4:$M$64</definedName>
    <definedName name="_xlnm._FilterDatabase" localSheetId="6" hidden="1">BOLTECH!$A$4:$M$207</definedName>
    <definedName name="_xlnm._FilterDatabase" localSheetId="10" hidden="1">'HUAWEI MATEPAD'!$A$4:$I$138</definedName>
    <definedName name="_xlnm._FilterDatabase" localSheetId="3" hidden="1">INDOSAT!$A$4:$M$203</definedName>
    <definedName name="_xlnm._FilterDatabase" localSheetId="0" hidden="1">'OPPO CLIMBER'!$A$4:$S$37</definedName>
    <definedName name="_xlnm._FilterDatabase" localSheetId="9" hidden="1">'PO REALME 16 HP'!$A$4:$L$133</definedName>
    <definedName name="_xlnm._FilterDatabase" localSheetId="11" hidden="1">'RACING SAMSUNG'!$A$4:$W$158</definedName>
    <definedName name="_xlnm._FilterDatabase" localSheetId="7" hidden="1">'RACING VIVO'!$A$4:$O$132</definedName>
    <definedName name="_xlnm._FilterDatabase" localSheetId="12" hidden="1">'REDMI NOTE 17'!$A$4:$L$195</definedName>
    <definedName name="_xlnm._FilterDatabase" localSheetId="8" hidden="1">'SAMSUNG S26 FE'!$A$4:$AQ$177</definedName>
    <definedName name="_xlnm._FilterDatabase" localSheetId="2" hidden="1">TELKOMSEL!$A$4:$M$197</definedName>
    <definedName name="_xlnm._FilterDatabase" localSheetId="5" hidden="1">TV!$A$4:$L$240</definedName>
    <definedName name="_xlnm._FilterDatabase" localSheetId="4" hidden="1">XL!$A$4:$M$200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5" i="13" l="1"/>
  <c r="K194" i="13"/>
  <c r="K193" i="13"/>
  <c r="K191" i="13"/>
  <c r="K190" i="13"/>
  <c r="K188" i="13"/>
  <c r="L187" i="13"/>
  <c r="K187" i="13"/>
  <c r="J187" i="13"/>
  <c r="K186" i="13"/>
  <c r="K185" i="13"/>
  <c r="K184" i="13"/>
  <c r="K182" i="13"/>
  <c r="K181" i="13"/>
  <c r="K180" i="13"/>
  <c r="K179" i="13"/>
  <c r="J179" i="13"/>
  <c r="L179" i="13" s="1"/>
  <c r="K178" i="13"/>
  <c r="K176" i="13"/>
  <c r="K175" i="13"/>
  <c r="J175" i="13"/>
  <c r="L175" i="13" s="1"/>
  <c r="K174" i="13"/>
  <c r="K173" i="13"/>
  <c r="K172" i="13"/>
  <c r="K170" i="13"/>
  <c r="K169" i="13"/>
  <c r="K168" i="13"/>
  <c r="K167" i="13"/>
  <c r="J167" i="13"/>
  <c r="L167" i="13" s="1"/>
  <c r="K166" i="13"/>
  <c r="K164" i="13"/>
  <c r="K163" i="13"/>
  <c r="J163" i="13"/>
  <c r="L163" i="13" s="1"/>
  <c r="K162" i="13"/>
  <c r="K161" i="13"/>
  <c r="K160" i="13"/>
  <c r="L159" i="13"/>
  <c r="J159" i="13"/>
  <c r="K159" i="13"/>
  <c r="K158" i="13"/>
  <c r="K157" i="13"/>
  <c r="J157" i="13"/>
  <c r="L157" i="13" s="1"/>
  <c r="K155" i="13"/>
  <c r="K154" i="13"/>
  <c r="J154" i="13"/>
  <c r="L154" i="13" s="1"/>
  <c r="K153" i="13"/>
  <c r="K152" i="13"/>
  <c r="J150" i="13"/>
  <c r="L150" i="13" s="1"/>
  <c r="K150" i="13"/>
  <c r="K149" i="13"/>
  <c r="K148" i="13"/>
  <c r="K146" i="13"/>
  <c r="K145" i="13"/>
  <c r="J145" i="13"/>
  <c r="L145" i="13" s="1"/>
  <c r="K144" i="13"/>
  <c r="K143" i="13"/>
  <c r="K142" i="13"/>
  <c r="J141" i="13"/>
  <c r="L141" i="13" s="1"/>
  <c r="K141" i="13"/>
  <c r="K140" i="13"/>
  <c r="K139" i="13"/>
  <c r="J139" i="13"/>
  <c r="L139" i="13" s="1"/>
  <c r="K137" i="13"/>
  <c r="K136" i="13"/>
  <c r="J136" i="13"/>
  <c r="L136" i="13" s="1"/>
  <c r="K135" i="13"/>
  <c r="K134" i="13"/>
  <c r="J132" i="13"/>
  <c r="L132" i="13" s="1"/>
  <c r="K132" i="13"/>
  <c r="K131" i="13"/>
  <c r="K130" i="13"/>
  <c r="K128" i="13"/>
  <c r="K127" i="13"/>
  <c r="J127" i="13"/>
  <c r="L127" i="13" s="1"/>
  <c r="K126" i="13"/>
  <c r="K125" i="13"/>
  <c r="K124" i="13"/>
  <c r="L123" i="13"/>
  <c r="K123" i="13"/>
  <c r="J123" i="13"/>
  <c r="K121" i="13"/>
  <c r="J120" i="13"/>
  <c r="L120" i="13" s="1"/>
  <c r="K120" i="13"/>
  <c r="K119" i="13"/>
  <c r="K118" i="13"/>
  <c r="J118" i="13"/>
  <c r="L118" i="13" s="1"/>
  <c r="K116" i="13"/>
  <c r="J116" i="13"/>
  <c r="L116" i="13" s="1"/>
  <c r="K115" i="13"/>
  <c r="K114" i="13"/>
  <c r="K113" i="13"/>
  <c r="J113" i="13"/>
  <c r="L113" i="13" s="1"/>
  <c r="K112" i="13"/>
  <c r="L111" i="13"/>
  <c r="K111" i="13"/>
  <c r="J111" i="13"/>
  <c r="J110" i="13"/>
  <c r="L110" i="13" s="1"/>
  <c r="K110" i="13"/>
  <c r="K109" i="13"/>
  <c r="J108" i="13"/>
  <c r="L108" i="13" s="1"/>
  <c r="K108" i="13"/>
  <c r="K107" i="13"/>
  <c r="K106" i="13"/>
  <c r="J106" i="13"/>
  <c r="L106" i="13" s="1"/>
  <c r="K104" i="13"/>
  <c r="K103" i="13"/>
  <c r="J103" i="13"/>
  <c r="L103" i="13" s="1"/>
  <c r="K102" i="13"/>
  <c r="J102" i="13"/>
  <c r="L102" i="13" s="1"/>
  <c r="K101" i="13"/>
  <c r="K99" i="13"/>
  <c r="K98" i="13"/>
  <c r="J98" i="13"/>
  <c r="L98" i="13" s="1"/>
  <c r="K96" i="13"/>
  <c r="J96" i="13"/>
  <c r="L96" i="13" s="1"/>
  <c r="K94" i="13"/>
  <c r="K93" i="13"/>
  <c r="J93" i="13"/>
  <c r="L93" i="13" s="1"/>
  <c r="K91" i="13"/>
  <c r="K90" i="13"/>
  <c r="K89" i="13"/>
  <c r="K88" i="13"/>
  <c r="J88" i="13"/>
  <c r="L88" i="13" s="1"/>
  <c r="K86" i="13"/>
  <c r="K85" i="13"/>
  <c r="J85" i="13"/>
  <c r="L85" i="13" s="1"/>
  <c r="K84" i="13"/>
  <c r="J84" i="13"/>
  <c r="L84" i="13" s="1"/>
  <c r="K83" i="13"/>
  <c r="K81" i="13"/>
  <c r="K80" i="13"/>
  <c r="J80" i="13"/>
  <c r="L80" i="13" s="1"/>
  <c r="K78" i="13"/>
  <c r="J78" i="13"/>
  <c r="L78" i="13" s="1"/>
  <c r="K76" i="13"/>
  <c r="K75" i="13"/>
  <c r="J75" i="13"/>
  <c r="L75" i="13" s="1"/>
  <c r="K73" i="13"/>
  <c r="K72" i="13"/>
  <c r="K71" i="13"/>
  <c r="K70" i="13"/>
  <c r="J70" i="13"/>
  <c r="L70" i="13" s="1"/>
  <c r="K68" i="13"/>
  <c r="K67" i="13"/>
  <c r="J67" i="13"/>
  <c r="L67" i="13" s="1"/>
  <c r="K66" i="13"/>
  <c r="J66" i="13"/>
  <c r="L66" i="13" s="1"/>
  <c r="K65" i="13"/>
  <c r="K63" i="13"/>
  <c r="K62" i="13"/>
  <c r="J62" i="13"/>
  <c r="L62" i="13" s="1"/>
  <c r="K60" i="13"/>
  <c r="J60" i="13"/>
  <c r="L60" i="13" s="1"/>
  <c r="K58" i="13"/>
  <c r="K57" i="13"/>
  <c r="J57" i="13"/>
  <c r="L57" i="13" s="1"/>
  <c r="K55" i="13"/>
  <c r="J54" i="13"/>
  <c r="L54" i="13" s="1"/>
  <c r="K54" i="13"/>
  <c r="K53" i="13"/>
  <c r="J51" i="13"/>
  <c r="L51" i="13" s="1"/>
  <c r="K49" i="13"/>
  <c r="J49" i="13"/>
  <c r="L49" i="13" s="1"/>
  <c r="K48" i="13"/>
  <c r="L47" i="13"/>
  <c r="K47" i="13"/>
  <c r="J47" i="13"/>
  <c r="K46" i="13"/>
  <c r="J46" i="13"/>
  <c r="L46" i="13" s="1"/>
  <c r="K44" i="13"/>
  <c r="J44" i="13"/>
  <c r="L44" i="13" s="1"/>
  <c r="K42" i="13"/>
  <c r="J42" i="13"/>
  <c r="L42" i="13" s="1"/>
  <c r="K39" i="13"/>
  <c r="J39" i="13"/>
  <c r="L39" i="13" s="1"/>
  <c r="L37" i="13"/>
  <c r="K37" i="13"/>
  <c r="J37" i="13"/>
  <c r="K34" i="13"/>
  <c r="J34" i="13"/>
  <c r="L34" i="13" s="1"/>
  <c r="K32" i="13"/>
  <c r="J32" i="13"/>
  <c r="L32" i="13" s="1"/>
  <c r="K30" i="13"/>
  <c r="J30" i="13"/>
  <c r="L30" i="13" s="1"/>
  <c r="K29" i="13"/>
  <c r="L27" i="13"/>
  <c r="K27" i="13"/>
  <c r="J27" i="13"/>
  <c r="K26" i="13"/>
  <c r="J26" i="13"/>
  <c r="L26" i="13" s="1"/>
  <c r="J25" i="13"/>
  <c r="L25" i="13" s="1"/>
  <c r="K24" i="13"/>
  <c r="J24" i="13"/>
  <c r="L24" i="13" s="1"/>
  <c r="K23" i="13"/>
  <c r="K22" i="13"/>
  <c r="K21" i="13"/>
  <c r="J21" i="13"/>
  <c r="L21" i="13" s="1"/>
  <c r="K20" i="13"/>
  <c r="J20" i="13"/>
  <c r="L20" i="13" s="1"/>
  <c r="K19" i="13"/>
  <c r="J19" i="13"/>
  <c r="L19" i="13" s="1"/>
  <c r="K18" i="13"/>
  <c r="K17" i="13"/>
  <c r="J17" i="13"/>
  <c r="L17" i="13" s="1"/>
  <c r="K16" i="13"/>
  <c r="J16" i="13"/>
  <c r="L16" i="13" s="1"/>
  <c r="K15" i="13"/>
  <c r="J15" i="13"/>
  <c r="L15" i="13" s="1"/>
  <c r="J14" i="13"/>
  <c r="L14" i="13" s="1"/>
  <c r="K14" i="13"/>
  <c r="K13" i="13"/>
  <c r="J13" i="13"/>
  <c r="L13" i="13" s="1"/>
  <c r="L12" i="13"/>
  <c r="K12" i="13"/>
  <c r="J12" i="13"/>
  <c r="J11" i="13"/>
  <c r="L11" i="13" s="1"/>
  <c r="K11" i="13"/>
  <c r="K7" i="13"/>
  <c r="K6" i="13"/>
  <c r="J6" i="13"/>
  <c r="L6" i="13" s="1"/>
  <c r="A3" i="13"/>
  <c r="O3" i="13" s="1"/>
  <c r="J181" i="13"/>
  <c r="L181" i="13" s="1"/>
  <c r="K158" i="12"/>
  <c r="J158" i="12"/>
  <c r="I158" i="12"/>
  <c r="H158" i="12"/>
  <c r="P155" i="12"/>
  <c r="T155" i="12" s="1"/>
  <c r="Q144" i="12"/>
  <c r="U144" i="12" s="1"/>
  <c r="S133" i="12"/>
  <c r="W133" i="12" s="1"/>
  <c r="Q131" i="12"/>
  <c r="U131" i="12" s="1"/>
  <c r="P130" i="12"/>
  <c r="T130" i="12" s="1"/>
  <c r="R123" i="12"/>
  <c r="V123" i="12" s="1"/>
  <c r="P119" i="12"/>
  <c r="T119" i="12" s="1"/>
  <c r="P118" i="12"/>
  <c r="T118" i="12" s="1"/>
  <c r="S106" i="12"/>
  <c r="W106" i="12" s="1"/>
  <c r="Q103" i="12"/>
  <c r="U103" i="12" s="1"/>
  <c r="S96" i="12"/>
  <c r="W96" i="12" s="1"/>
  <c r="S93" i="12"/>
  <c r="W93" i="12" s="1"/>
  <c r="P88" i="12"/>
  <c r="T88" i="12" s="1"/>
  <c r="S87" i="12"/>
  <c r="W87" i="12" s="1"/>
  <c r="Q87" i="12"/>
  <c r="U87" i="12" s="1"/>
  <c r="S85" i="12"/>
  <c r="W85" i="12" s="1"/>
  <c r="S84" i="12"/>
  <c r="W84" i="12" s="1"/>
  <c r="R84" i="12"/>
  <c r="V84" i="12" s="1"/>
  <c r="V83" i="12"/>
  <c r="R83" i="12"/>
  <c r="T82" i="12"/>
  <c r="P82" i="12"/>
  <c r="S82" i="12"/>
  <c r="W82" i="12" s="1"/>
  <c r="P80" i="12"/>
  <c r="T80" i="12" s="1"/>
  <c r="S79" i="12"/>
  <c r="W79" i="12" s="1"/>
  <c r="Q79" i="12"/>
  <c r="U79" i="12" s="1"/>
  <c r="P77" i="12"/>
  <c r="T77" i="12" s="1"/>
  <c r="R77" i="12"/>
  <c r="V77" i="12" s="1"/>
  <c r="P76" i="12"/>
  <c r="T76" i="12" s="1"/>
  <c r="S74" i="12"/>
  <c r="W74" i="12" s="1"/>
  <c r="P72" i="12"/>
  <c r="T72" i="12" s="1"/>
  <c r="S71" i="12"/>
  <c r="W71" i="12" s="1"/>
  <c r="Q70" i="12"/>
  <c r="U70" i="12" s="1"/>
  <c r="S69" i="12"/>
  <c r="W69" i="12" s="1"/>
  <c r="R69" i="12"/>
  <c r="V69" i="12" s="1"/>
  <c r="S66" i="12"/>
  <c r="W66" i="12" s="1"/>
  <c r="Q66" i="12"/>
  <c r="U66" i="12" s="1"/>
  <c r="R64" i="12"/>
  <c r="V64" i="12" s="1"/>
  <c r="P64" i="12"/>
  <c r="T64" i="12" s="1"/>
  <c r="S63" i="12"/>
  <c r="W63" i="12" s="1"/>
  <c r="R61" i="12"/>
  <c r="V61" i="12" s="1"/>
  <c r="P60" i="12"/>
  <c r="T60" i="12" s="1"/>
  <c r="R59" i="12"/>
  <c r="V59" i="12" s="1"/>
  <c r="P57" i="12"/>
  <c r="T57" i="12" s="1"/>
  <c r="S54" i="12"/>
  <c r="W54" i="12" s="1"/>
  <c r="Q54" i="12"/>
  <c r="U54" i="12" s="1"/>
  <c r="P54" i="12"/>
  <c r="T54" i="12" s="1"/>
  <c r="S53" i="12"/>
  <c r="W53" i="12" s="1"/>
  <c r="Q53" i="12"/>
  <c r="U53" i="12" s="1"/>
  <c r="T52" i="12"/>
  <c r="P52" i="12"/>
  <c r="V51" i="12"/>
  <c r="R51" i="12"/>
  <c r="S50" i="12"/>
  <c r="W50" i="12" s="1"/>
  <c r="Q50" i="12"/>
  <c r="U50" i="12" s="1"/>
  <c r="R49" i="12"/>
  <c r="V49" i="12" s="1"/>
  <c r="P48" i="12"/>
  <c r="T48" i="12" s="1"/>
  <c r="V47" i="12"/>
  <c r="R47" i="12"/>
  <c r="Q46" i="12"/>
  <c r="U46" i="12" s="1"/>
  <c r="R44" i="12"/>
  <c r="V44" i="12" s="1"/>
  <c r="P44" i="12"/>
  <c r="T44" i="12" s="1"/>
  <c r="S43" i="12"/>
  <c r="W43" i="12" s="1"/>
  <c r="R43" i="12"/>
  <c r="V43" i="12" s="1"/>
  <c r="S42" i="12"/>
  <c r="W42" i="12" s="1"/>
  <c r="S41" i="12"/>
  <c r="W41" i="12" s="1"/>
  <c r="Q41" i="12"/>
  <c r="U41" i="12" s="1"/>
  <c r="R39" i="12"/>
  <c r="V39" i="12" s="1"/>
  <c r="S38" i="12"/>
  <c r="W38" i="12" s="1"/>
  <c r="Q38" i="12"/>
  <c r="U38" i="12" s="1"/>
  <c r="P38" i="12"/>
  <c r="T38" i="12" s="1"/>
  <c r="R37" i="12"/>
  <c r="V37" i="12" s="1"/>
  <c r="S37" i="12"/>
  <c r="W37" i="12" s="1"/>
  <c r="Q37" i="12"/>
  <c r="U37" i="12" s="1"/>
  <c r="P33" i="12"/>
  <c r="T33" i="12" s="1"/>
  <c r="Q33" i="12"/>
  <c r="U33" i="12" s="1"/>
  <c r="S32" i="12"/>
  <c r="W32" i="12" s="1"/>
  <c r="P30" i="12"/>
  <c r="T30" i="12" s="1"/>
  <c r="S29" i="12"/>
  <c r="W29" i="12" s="1"/>
  <c r="Q29" i="12"/>
  <c r="U29" i="12" s="1"/>
  <c r="P28" i="12"/>
  <c r="T28" i="12" s="1"/>
  <c r="S27" i="12"/>
  <c r="W27" i="12" s="1"/>
  <c r="R27" i="12"/>
  <c r="V27" i="12" s="1"/>
  <c r="Q26" i="12"/>
  <c r="U26" i="12" s="1"/>
  <c r="P26" i="12"/>
  <c r="T26" i="12" s="1"/>
  <c r="V25" i="12"/>
  <c r="R25" i="12"/>
  <c r="P25" i="12"/>
  <c r="T25" i="12" s="1"/>
  <c r="Q24" i="12"/>
  <c r="U24" i="12" s="1"/>
  <c r="P24" i="12"/>
  <c r="T24" i="12" s="1"/>
  <c r="R23" i="12"/>
  <c r="V23" i="12" s="1"/>
  <c r="Q23" i="12"/>
  <c r="U23" i="12" s="1"/>
  <c r="S22" i="12"/>
  <c r="W22" i="12" s="1"/>
  <c r="R22" i="12"/>
  <c r="V22" i="12" s="1"/>
  <c r="Q22" i="12"/>
  <c r="U22" i="12" s="1"/>
  <c r="P22" i="12"/>
  <c r="T22" i="12" s="1"/>
  <c r="Q21" i="12"/>
  <c r="U21" i="12" s="1"/>
  <c r="P21" i="12"/>
  <c r="T21" i="12" s="1"/>
  <c r="Q20" i="12"/>
  <c r="U20" i="12" s="1"/>
  <c r="P20" i="12"/>
  <c r="T20" i="12" s="1"/>
  <c r="P19" i="12"/>
  <c r="T19" i="12" s="1"/>
  <c r="T18" i="12"/>
  <c r="Q18" i="12"/>
  <c r="U18" i="12" s="1"/>
  <c r="P18" i="12"/>
  <c r="S18" i="12"/>
  <c r="W18" i="12" s="1"/>
  <c r="P17" i="12"/>
  <c r="T17" i="12" s="1"/>
  <c r="S17" i="12"/>
  <c r="W17" i="12" s="1"/>
  <c r="R17" i="12"/>
  <c r="V17" i="12" s="1"/>
  <c r="Q17" i="12"/>
  <c r="U17" i="12" s="1"/>
  <c r="P16" i="12"/>
  <c r="T16" i="12" s="1"/>
  <c r="U15" i="12"/>
  <c r="Q15" i="12"/>
  <c r="P15" i="12"/>
  <c r="T15" i="12" s="1"/>
  <c r="S15" i="12"/>
  <c r="W15" i="12" s="1"/>
  <c r="P14" i="12"/>
  <c r="T14" i="12" s="1"/>
  <c r="Q14" i="12"/>
  <c r="U14" i="12" s="1"/>
  <c r="P13" i="12"/>
  <c r="T13" i="12" s="1"/>
  <c r="Q12" i="12"/>
  <c r="U12" i="12" s="1"/>
  <c r="P12" i="12"/>
  <c r="T12" i="12" s="1"/>
  <c r="S12" i="12"/>
  <c r="W12" i="12" s="1"/>
  <c r="P11" i="12"/>
  <c r="T11" i="12" s="1"/>
  <c r="S11" i="12"/>
  <c r="W11" i="12" s="1"/>
  <c r="R11" i="12"/>
  <c r="V11" i="12" s="1"/>
  <c r="Q11" i="12"/>
  <c r="U11" i="12" s="1"/>
  <c r="S10" i="12"/>
  <c r="W10" i="12" s="1"/>
  <c r="Q10" i="12"/>
  <c r="U10" i="12" s="1"/>
  <c r="S9" i="12"/>
  <c r="W9" i="12" s="1"/>
  <c r="R9" i="12"/>
  <c r="V9" i="12" s="1"/>
  <c r="Q9" i="12"/>
  <c r="U9" i="12" s="1"/>
  <c r="S8" i="12"/>
  <c r="W8" i="12" s="1"/>
  <c r="AG7" i="12"/>
  <c r="Q7" i="12"/>
  <c r="U7" i="12" s="1"/>
  <c r="P7" i="12"/>
  <c r="T7" i="12" s="1"/>
  <c r="S7" i="12"/>
  <c r="W7" i="12" s="1"/>
  <c r="R7" i="12"/>
  <c r="V7" i="12" s="1"/>
  <c r="AE6" i="12"/>
  <c r="AA6" i="12"/>
  <c r="S6" i="12"/>
  <c r="W6" i="12" s="1"/>
  <c r="Q6" i="12"/>
  <c r="U6" i="12" s="1"/>
  <c r="P6" i="12"/>
  <c r="T6" i="12" s="1"/>
  <c r="AD24" i="12"/>
  <c r="AE7" i="12"/>
  <c r="R143" i="12"/>
  <c r="V143" i="12" s="1"/>
  <c r="A3" i="12"/>
  <c r="Z3" i="12" s="1"/>
  <c r="R10" i="11"/>
  <c r="A3" i="11"/>
  <c r="P3" i="11" s="1"/>
  <c r="H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J117" i="10"/>
  <c r="L117" i="10" s="1"/>
  <c r="K116" i="10"/>
  <c r="K115" i="10"/>
  <c r="K113" i="10"/>
  <c r="K111" i="10"/>
  <c r="K110" i="10"/>
  <c r="K109" i="10"/>
  <c r="K108" i="10"/>
  <c r="K107" i="10"/>
  <c r="K105" i="10"/>
  <c r="K104" i="10"/>
  <c r="K103" i="10"/>
  <c r="K102" i="10"/>
  <c r="K101" i="10"/>
  <c r="K100" i="10"/>
  <c r="K99" i="10"/>
  <c r="K97" i="10"/>
  <c r="K96" i="10"/>
  <c r="K94" i="10"/>
  <c r="K93" i="10"/>
  <c r="K92" i="10"/>
  <c r="K91" i="10"/>
  <c r="J90" i="10"/>
  <c r="L90" i="10" s="1"/>
  <c r="K90" i="10"/>
  <c r="K89" i="10"/>
  <c r="K88" i="10"/>
  <c r="K87" i="10"/>
  <c r="K86" i="10"/>
  <c r="K85" i="10"/>
  <c r="K83" i="10"/>
  <c r="K82" i="10"/>
  <c r="K81" i="10"/>
  <c r="K80" i="10"/>
  <c r="K79" i="10"/>
  <c r="K78" i="10"/>
  <c r="K77" i="10"/>
  <c r="K76" i="10"/>
  <c r="K74" i="10"/>
  <c r="K73" i="10"/>
  <c r="K72" i="10"/>
  <c r="K71" i="10"/>
  <c r="K70" i="10"/>
  <c r="J70" i="10"/>
  <c r="L70" i="10" s="1"/>
  <c r="K68" i="10"/>
  <c r="J68" i="10"/>
  <c r="L68" i="10" s="1"/>
  <c r="J67" i="10"/>
  <c r="L67" i="10" s="1"/>
  <c r="K67" i="10"/>
  <c r="K66" i="10"/>
  <c r="K65" i="10"/>
  <c r="K64" i="10"/>
  <c r="K62" i="10"/>
  <c r="K61" i="10"/>
  <c r="K60" i="10"/>
  <c r="K59" i="10"/>
  <c r="K58" i="10"/>
  <c r="K56" i="10"/>
  <c r="K55" i="10"/>
  <c r="K54" i="10"/>
  <c r="K53" i="10"/>
  <c r="K52" i="10"/>
  <c r="J52" i="10"/>
  <c r="L52" i="10" s="1"/>
  <c r="K50" i="10"/>
  <c r="J49" i="10"/>
  <c r="L49" i="10" s="1"/>
  <c r="K49" i="10"/>
  <c r="K48" i="10"/>
  <c r="K47" i="10"/>
  <c r="K46" i="10"/>
  <c r="J46" i="10"/>
  <c r="L46" i="10" s="1"/>
  <c r="K44" i="10"/>
  <c r="J44" i="10"/>
  <c r="L44" i="10" s="1"/>
  <c r="K43" i="10"/>
  <c r="K42" i="10"/>
  <c r="K41" i="10"/>
  <c r="K40" i="10"/>
  <c r="J40" i="10"/>
  <c r="L40" i="10" s="1"/>
  <c r="K38" i="10"/>
  <c r="J38" i="10"/>
  <c r="L38" i="10" s="1"/>
  <c r="J37" i="10"/>
  <c r="L37" i="10" s="1"/>
  <c r="K37" i="10"/>
  <c r="K36" i="10"/>
  <c r="K35" i="10"/>
  <c r="K34" i="10"/>
  <c r="K32" i="10"/>
  <c r="K31" i="10"/>
  <c r="K30" i="10"/>
  <c r="K29" i="10"/>
  <c r="K28" i="10"/>
  <c r="L26" i="10"/>
  <c r="K26" i="10"/>
  <c r="J26" i="10"/>
  <c r="K25" i="10"/>
  <c r="K24" i="10"/>
  <c r="K23" i="10"/>
  <c r="J23" i="10"/>
  <c r="L23" i="10" s="1"/>
  <c r="K22" i="10"/>
  <c r="K20" i="10"/>
  <c r="K19" i="10"/>
  <c r="K18" i="10"/>
  <c r="J17" i="10"/>
  <c r="L17" i="10" s="1"/>
  <c r="K17" i="10"/>
  <c r="K16" i="10"/>
  <c r="K15" i="10"/>
  <c r="J15" i="10"/>
  <c r="L15" i="10" s="1"/>
  <c r="K14" i="10"/>
  <c r="K12" i="10"/>
  <c r="K11" i="10"/>
  <c r="L9" i="10"/>
  <c r="K9" i="10"/>
  <c r="J9" i="10"/>
  <c r="K8" i="10"/>
  <c r="K7" i="10"/>
  <c r="J7" i="10"/>
  <c r="L7" i="10" s="1"/>
  <c r="L5" i="10"/>
  <c r="K5" i="10"/>
  <c r="J5" i="10"/>
  <c r="A3" i="10"/>
  <c r="O3" i="10" s="1"/>
  <c r="J122" i="10"/>
  <c r="L122" i="10" s="1"/>
  <c r="S177" i="9"/>
  <c r="R177" i="9"/>
  <c r="Q177" i="9"/>
  <c r="P177" i="9"/>
  <c r="O177" i="9"/>
  <c r="N177" i="9"/>
  <c r="M177" i="9"/>
  <c r="L177" i="9"/>
  <c r="K177" i="9"/>
  <c r="J177" i="9"/>
  <c r="I177" i="9"/>
  <c r="H177" i="9"/>
  <c r="AN176" i="9"/>
  <c r="AQ176" i="9"/>
  <c r="AP176" i="9"/>
  <c r="AO176" i="9"/>
  <c r="AM176" i="9"/>
  <c r="AL176" i="9"/>
  <c r="AK176" i="9"/>
  <c r="AJ176" i="9"/>
  <c r="AI176" i="9"/>
  <c r="AH176" i="9"/>
  <c r="AG176" i="9"/>
  <c r="AF176" i="9"/>
  <c r="AM175" i="9"/>
  <c r="AQ175" i="9"/>
  <c r="AP175" i="9"/>
  <c r="AO175" i="9"/>
  <c r="AN175" i="9"/>
  <c r="AL175" i="9"/>
  <c r="AK175" i="9"/>
  <c r="AJ175" i="9"/>
  <c r="AI175" i="9"/>
  <c r="AH175" i="9"/>
  <c r="AG175" i="9"/>
  <c r="AF175" i="9"/>
  <c r="AN174" i="9"/>
  <c r="AM174" i="9"/>
  <c r="AL174" i="9"/>
  <c r="AQ174" i="9"/>
  <c r="AP174" i="9"/>
  <c r="AO174" i="9"/>
  <c r="AK174" i="9"/>
  <c r="AJ174" i="9"/>
  <c r="AI174" i="9"/>
  <c r="AH174" i="9"/>
  <c r="AG174" i="9"/>
  <c r="AF174" i="9"/>
  <c r="AM173" i="9"/>
  <c r="AL173" i="9"/>
  <c r="AQ173" i="9"/>
  <c r="AP173" i="9"/>
  <c r="AO173" i="9"/>
  <c r="AN173" i="9"/>
  <c r="AK173" i="9"/>
  <c r="AJ173" i="9"/>
  <c r="AI173" i="9"/>
  <c r="AH173" i="9"/>
  <c r="AG173" i="9"/>
  <c r="AF173" i="9"/>
  <c r="AM172" i="9"/>
  <c r="AL172" i="9"/>
  <c r="AQ172" i="9"/>
  <c r="AP172" i="9"/>
  <c r="AO172" i="9"/>
  <c r="AN172" i="9"/>
  <c r="AK172" i="9"/>
  <c r="AJ172" i="9"/>
  <c r="AI172" i="9"/>
  <c r="AH172" i="9"/>
  <c r="AG172" i="9"/>
  <c r="AF172" i="9"/>
  <c r="AH171" i="9"/>
  <c r="AQ171" i="9"/>
  <c r="AP171" i="9"/>
  <c r="AO171" i="9"/>
  <c r="AN171" i="9"/>
  <c r="AM171" i="9"/>
  <c r="AL171" i="9"/>
  <c r="AK171" i="9"/>
  <c r="AJ171" i="9"/>
  <c r="AI171" i="9"/>
  <c r="AG171" i="9"/>
  <c r="AF171" i="9"/>
  <c r="AN170" i="9"/>
  <c r="AQ170" i="9"/>
  <c r="AP170" i="9"/>
  <c r="AO170" i="9"/>
  <c r="AM170" i="9"/>
  <c r="AL170" i="9"/>
  <c r="AK170" i="9"/>
  <c r="AJ170" i="9"/>
  <c r="AI170" i="9"/>
  <c r="AH170" i="9"/>
  <c r="AG170" i="9"/>
  <c r="AF170" i="9"/>
  <c r="AM169" i="9"/>
  <c r="AQ169" i="9"/>
  <c r="AP169" i="9"/>
  <c r="AO169" i="9"/>
  <c r="AN169" i="9"/>
  <c r="AL169" i="9"/>
  <c r="AK169" i="9"/>
  <c r="AJ169" i="9"/>
  <c r="AI169" i="9"/>
  <c r="AH169" i="9"/>
  <c r="AG169" i="9"/>
  <c r="AF169" i="9"/>
  <c r="AL168" i="9"/>
  <c r="AQ168" i="9"/>
  <c r="AP168" i="9"/>
  <c r="AO168" i="9"/>
  <c r="AN168" i="9"/>
  <c r="AM168" i="9"/>
  <c r="AK168" i="9"/>
  <c r="AJ168" i="9"/>
  <c r="AI168" i="9"/>
  <c r="AH168" i="9"/>
  <c r="AG168" i="9"/>
  <c r="AF168" i="9"/>
  <c r="AM167" i="9"/>
  <c r="AH167" i="9"/>
  <c r="AQ167" i="9"/>
  <c r="AP167" i="9"/>
  <c r="AO167" i="9"/>
  <c r="AN167" i="9"/>
  <c r="AL167" i="9"/>
  <c r="AK167" i="9"/>
  <c r="AJ167" i="9"/>
  <c r="AI167" i="9"/>
  <c r="AG167" i="9"/>
  <c r="AF167" i="9"/>
  <c r="AM166" i="9"/>
  <c r="AL166" i="9"/>
  <c r="AQ166" i="9"/>
  <c r="AP166" i="9"/>
  <c r="AO166" i="9"/>
  <c r="AN166" i="9"/>
  <c r="AK166" i="9"/>
  <c r="AJ166" i="9"/>
  <c r="AI166" i="9"/>
  <c r="AH166" i="9"/>
  <c r="AG166" i="9"/>
  <c r="AF166" i="9"/>
  <c r="AM165" i="9"/>
  <c r="AL165" i="9"/>
  <c r="AQ165" i="9"/>
  <c r="AP165" i="9"/>
  <c r="AO165" i="9"/>
  <c r="AN165" i="9"/>
  <c r="AK165" i="9"/>
  <c r="AJ165" i="9"/>
  <c r="AI165" i="9"/>
  <c r="AH165" i="9"/>
  <c r="AG165" i="9"/>
  <c r="AF165" i="9"/>
  <c r="AN164" i="9"/>
  <c r="AM164" i="9"/>
  <c r="AQ164" i="9"/>
  <c r="AP164" i="9"/>
  <c r="AO164" i="9"/>
  <c r="AL164" i="9"/>
  <c r="AK164" i="9"/>
  <c r="AJ164" i="9"/>
  <c r="AI164" i="9"/>
  <c r="AH164" i="9"/>
  <c r="AG164" i="9"/>
  <c r="AF164" i="9"/>
  <c r="AM163" i="9"/>
  <c r="AH163" i="9"/>
  <c r="AQ163" i="9"/>
  <c r="AP163" i="9"/>
  <c r="AO163" i="9"/>
  <c r="AN163" i="9"/>
  <c r="AL163" i="9"/>
  <c r="AK163" i="9"/>
  <c r="AJ163" i="9"/>
  <c r="AI163" i="9"/>
  <c r="AG163" i="9"/>
  <c r="AF163" i="9"/>
  <c r="AN162" i="9"/>
  <c r="AM162" i="9"/>
  <c r="AL162" i="9"/>
  <c r="AG162" i="9"/>
  <c r="AQ162" i="9"/>
  <c r="AP162" i="9"/>
  <c r="AO162" i="9"/>
  <c r="AK162" i="9"/>
  <c r="AJ162" i="9"/>
  <c r="AI162" i="9"/>
  <c r="AH162" i="9"/>
  <c r="AF162" i="9"/>
  <c r="AM161" i="9"/>
  <c r="AL161" i="9"/>
  <c r="AQ161" i="9"/>
  <c r="AP161" i="9"/>
  <c r="AO161" i="9"/>
  <c r="AN161" i="9"/>
  <c r="AK161" i="9"/>
  <c r="AJ161" i="9"/>
  <c r="AI161" i="9"/>
  <c r="AH161" i="9"/>
  <c r="AG161" i="9"/>
  <c r="AF161" i="9"/>
  <c r="AN160" i="9"/>
  <c r="AM160" i="9"/>
  <c r="AJ160" i="9"/>
  <c r="AQ160" i="9"/>
  <c r="AP160" i="9"/>
  <c r="AO160" i="9"/>
  <c r="AL160" i="9"/>
  <c r="AK160" i="9"/>
  <c r="AI160" i="9"/>
  <c r="AH160" i="9"/>
  <c r="AG160" i="9"/>
  <c r="AF160" i="9"/>
  <c r="AQ159" i="9"/>
  <c r="AP159" i="9"/>
  <c r="AM159" i="9"/>
  <c r="AL159" i="9"/>
  <c r="AO159" i="9"/>
  <c r="AN159" i="9"/>
  <c r="AK159" i="9"/>
  <c r="AJ159" i="9"/>
  <c r="AI159" i="9"/>
  <c r="AH159" i="9"/>
  <c r="AG159" i="9"/>
  <c r="AF159" i="9"/>
  <c r="AP158" i="9"/>
  <c r="AN158" i="9"/>
  <c r="AL158" i="9"/>
  <c r="AQ158" i="9"/>
  <c r="AO158" i="9"/>
  <c r="AM158" i="9"/>
  <c r="AK158" i="9"/>
  <c r="AJ158" i="9"/>
  <c r="AI158" i="9"/>
  <c r="AH158" i="9"/>
  <c r="AG158" i="9"/>
  <c r="AF158" i="9"/>
  <c r="AQ157" i="9"/>
  <c r="AP157" i="9"/>
  <c r="AO157" i="9"/>
  <c r="AG157" i="9"/>
  <c r="AN157" i="9"/>
  <c r="AM157" i="9"/>
  <c r="AL157" i="9"/>
  <c r="AK157" i="9"/>
  <c r="AJ157" i="9"/>
  <c r="AI157" i="9"/>
  <c r="AH157" i="9"/>
  <c r="AF157" i="9"/>
  <c r="AL156" i="9"/>
  <c r="AI156" i="9"/>
  <c r="AG156" i="9"/>
  <c r="AQ156" i="9"/>
  <c r="AP156" i="9"/>
  <c r="AO156" i="9"/>
  <c r="AN156" i="9"/>
  <c r="AM156" i="9"/>
  <c r="AK156" i="9"/>
  <c r="AJ156" i="9"/>
  <c r="AH156" i="9"/>
  <c r="AF156" i="9"/>
  <c r="AQ155" i="9"/>
  <c r="AP155" i="9"/>
  <c r="AO155" i="9"/>
  <c r="AL155" i="9"/>
  <c r="AN155" i="9"/>
  <c r="AM155" i="9"/>
  <c r="AK155" i="9"/>
  <c r="AJ155" i="9"/>
  <c r="AI155" i="9"/>
  <c r="AH155" i="9"/>
  <c r="AG155" i="9"/>
  <c r="AF155" i="9"/>
  <c r="AN154" i="9"/>
  <c r="AL154" i="9"/>
  <c r="AJ154" i="9"/>
  <c r="AQ154" i="9"/>
  <c r="AP154" i="9"/>
  <c r="AO154" i="9"/>
  <c r="AM154" i="9"/>
  <c r="AK154" i="9"/>
  <c r="AI154" i="9"/>
  <c r="AH154" i="9"/>
  <c r="AG154" i="9"/>
  <c r="AF154" i="9"/>
  <c r="AQ153" i="9"/>
  <c r="AO153" i="9"/>
  <c r="AH153" i="9"/>
  <c r="AG153" i="9"/>
  <c r="AP153" i="9"/>
  <c r="AN153" i="9"/>
  <c r="AM153" i="9"/>
  <c r="AL153" i="9"/>
  <c r="AK153" i="9"/>
  <c r="AJ153" i="9"/>
  <c r="AI153" i="9"/>
  <c r="AF153" i="9"/>
  <c r="AL152" i="9"/>
  <c r="AK152" i="9"/>
  <c r="AI152" i="9"/>
  <c r="AG152" i="9"/>
  <c r="AQ152" i="9"/>
  <c r="AP152" i="9"/>
  <c r="AO152" i="9"/>
  <c r="AN152" i="9"/>
  <c r="AM152" i="9"/>
  <c r="AJ152" i="9"/>
  <c r="AH152" i="9"/>
  <c r="AF152" i="9"/>
  <c r="AQ151" i="9"/>
  <c r="AO151" i="9"/>
  <c r="AM151" i="9"/>
  <c r="AL151" i="9"/>
  <c r="AP151" i="9"/>
  <c r="AN151" i="9"/>
  <c r="AK151" i="9"/>
  <c r="AJ151" i="9"/>
  <c r="AI151" i="9"/>
  <c r="AH151" i="9"/>
  <c r="AG151" i="9"/>
  <c r="AF151" i="9"/>
  <c r="AN150" i="9"/>
  <c r="AL150" i="9"/>
  <c r="AK150" i="9"/>
  <c r="AG150" i="9"/>
  <c r="AQ150" i="9"/>
  <c r="AP150" i="9"/>
  <c r="AO150" i="9"/>
  <c r="AM150" i="9"/>
  <c r="AJ150" i="9"/>
  <c r="AI150" i="9"/>
  <c r="AH150" i="9"/>
  <c r="AF150" i="9"/>
  <c r="AP149" i="9"/>
  <c r="AO149" i="9"/>
  <c r="AL149" i="9"/>
  <c r="AJ149" i="9"/>
  <c r="AQ149" i="9"/>
  <c r="AN149" i="9"/>
  <c r="AM149" i="9"/>
  <c r="AK149" i="9"/>
  <c r="AI149" i="9"/>
  <c r="AH149" i="9"/>
  <c r="AG149" i="9"/>
  <c r="AF149" i="9"/>
  <c r="AN148" i="9"/>
  <c r="AK148" i="9"/>
  <c r="AI148" i="9"/>
  <c r="AQ148" i="9"/>
  <c r="AP148" i="9"/>
  <c r="AO148" i="9"/>
  <c r="AM148" i="9"/>
  <c r="AL148" i="9"/>
  <c r="AJ148" i="9"/>
  <c r="AH148" i="9"/>
  <c r="AG148" i="9"/>
  <c r="AF148" i="9"/>
  <c r="AQ147" i="9"/>
  <c r="AP147" i="9"/>
  <c r="AM147" i="9"/>
  <c r="AL147" i="9"/>
  <c r="AO147" i="9"/>
  <c r="AN147" i="9"/>
  <c r="AK147" i="9"/>
  <c r="AJ147" i="9"/>
  <c r="AI147" i="9"/>
  <c r="AH147" i="9"/>
  <c r="AG147" i="9"/>
  <c r="AF147" i="9"/>
  <c r="AP146" i="9"/>
  <c r="AN146" i="9"/>
  <c r="AK146" i="9"/>
  <c r="AJ146" i="9"/>
  <c r="AQ146" i="9"/>
  <c r="AO146" i="9"/>
  <c r="AM146" i="9"/>
  <c r="AL146" i="9"/>
  <c r="AI146" i="9"/>
  <c r="AH146" i="9"/>
  <c r="AG146" i="9"/>
  <c r="AF146" i="9"/>
  <c r="AP145" i="9"/>
  <c r="AL145" i="9"/>
  <c r="AH145" i="9"/>
  <c r="AG145" i="9"/>
  <c r="AQ145" i="9"/>
  <c r="AO145" i="9"/>
  <c r="AN145" i="9"/>
  <c r="AM145" i="9"/>
  <c r="AK145" i="9"/>
  <c r="AJ145" i="9"/>
  <c r="AI145" i="9"/>
  <c r="AF145" i="9"/>
  <c r="AN144" i="9"/>
  <c r="AM144" i="9"/>
  <c r="AL144" i="9"/>
  <c r="AI144" i="9"/>
  <c r="AQ144" i="9"/>
  <c r="AP144" i="9"/>
  <c r="AO144" i="9"/>
  <c r="AK144" i="9"/>
  <c r="AJ144" i="9"/>
  <c r="AH144" i="9"/>
  <c r="AG144" i="9"/>
  <c r="AF144" i="9"/>
  <c r="AQ143" i="9"/>
  <c r="AP143" i="9"/>
  <c r="AL143" i="9"/>
  <c r="AJ143" i="9"/>
  <c r="AH143" i="9"/>
  <c r="AO143" i="9"/>
  <c r="AN143" i="9"/>
  <c r="AM143" i="9"/>
  <c r="AK143" i="9"/>
  <c r="AI143" i="9"/>
  <c r="AG143" i="9"/>
  <c r="AF143" i="9"/>
  <c r="AN142" i="9"/>
  <c r="AM142" i="9"/>
  <c r="AL142" i="9"/>
  <c r="AJ142" i="9"/>
  <c r="AI142" i="9"/>
  <c r="AQ142" i="9"/>
  <c r="AP142" i="9"/>
  <c r="AO142" i="9"/>
  <c r="AK142" i="9"/>
  <c r="AH142" i="9"/>
  <c r="AG142" i="9"/>
  <c r="AF142" i="9"/>
  <c r="AQ141" i="9"/>
  <c r="AO141" i="9"/>
  <c r="AM141" i="9"/>
  <c r="AL141" i="9"/>
  <c r="AH141" i="9"/>
  <c r="AP141" i="9"/>
  <c r="AN141" i="9"/>
  <c r="AK141" i="9"/>
  <c r="AJ141" i="9"/>
  <c r="AI141" i="9"/>
  <c r="AG141" i="9"/>
  <c r="AF141" i="9"/>
  <c r="AP140" i="9"/>
  <c r="AN140" i="9"/>
  <c r="AM140" i="9"/>
  <c r="AI140" i="9"/>
  <c r="AQ140" i="9"/>
  <c r="AO140" i="9"/>
  <c r="AL140" i="9"/>
  <c r="AK140" i="9"/>
  <c r="AJ140" i="9"/>
  <c r="AH140" i="9"/>
  <c r="AG140" i="9"/>
  <c r="AF140" i="9"/>
  <c r="AP139" i="9"/>
  <c r="AL139" i="9"/>
  <c r="AJ139" i="9"/>
  <c r="AQ139" i="9"/>
  <c r="AO139" i="9"/>
  <c r="AN139" i="9"/>
  <c r="AM139" i="9"/>
  <c r="AK139" i="9"/>
  <c r="AI139" i="9"/>
  <c r="AH139" i="9"/>
  <c r="AG139" i="9"/>
  <c r="AF139" i="9"/>
  <c r="AN138" i="9"/>
  <c r="AM138" i="9"/>
  <c r="AK138" i="9"/>
  <c r="AJ138" i="9"/>
  <c r="AI138" i="9"/>
  <c r="AQ138" i="9"/>
  <c r="AP138" i="9"/>
  <c r="AO138" i="9"/>
  <c r="AL138" i="9"/>
  <c r="AH138" i="9"/>
  <c r="AG138" i="9"/>
  <c r="AF138" i="9"/>
  <c r="AM137" i="9"/>
  <c r="AH137" i="9"/>
  <c r="AQ137" i="9"/>
  <c r="AP137" i="9"/>
  <c r="AO137" i="9"/>
  <c r="AN137" i="9"/>
  <c r="AL137" i="9"/>
  <c r="AK137" i="9"/>
  <c r="AJ137" i="9"/>
  <c r="AI137" i="9"/>
  <c r="AG137" i="9"/>
  <c r="AF137" i="9"/>
  <c r="AN136" i="9"/>
  <c r="AK136" i="9"/>
  <c r="AI136" i="9"/>
  <c r="AQ136" i="9"/>
  <c r="AP136" i="9"/>
  <c r="AO136" i="9"/>
  <c r="AM136" i="9"/>
  <c r="AL136" i="9"/>
  <c r="AJ136" i="9"/>
  <c r="AH136" i="9"/>
  <c r="AG136" i="9"/>
  <c r="AF136" i="9"/>
  <c r="AP135" i="9"/>
  <c r="AM135" i="9"/>
  <c r="AL135" i="9"/>
  <c r="AQ135" i="9"/>
  <c r="AO135" i="9"/>
  <c r="AN135" i="9"/>
  <c r="AK135" i="9"/>
  <c r="AJ135" i="9"/>
  <c r="AI135" i="9"/>
  <c r="AH135" i="9"/>
  <c r="AG135" i="9"/>
  <c r="AF135" i="9"/>
  <c r="AP134" i="9"/>
  <c r="AL134" i="9"/>
  <c r="AK134" i="9"/>
  <c r="AQ134" i="9"/>
  <c r="AO134" i="9"/>
  <c r="AN134" i="9"/>
  <c r="AM134" i="9"/>
  <c r="AJ134" i="9"/>
  <c r="AI134" i="9"/>
  <c r="AH134" i="9"/>
  <c r="AG134" i="9"/>
  <c r="AF134" i="9"/>
  <c r="AO133" i="9"/>
  <c r="AJ133" i="9"/>
  <c r="AH133" i="9"/>
  <c r="AQ133" i="9"/>
  <c r="AP133" i="9"/>
  <c r="AN133" i="9"/>
  <c r="AM133" i="9"/>
  <c r="AL133" i="9"/>
  <c r="AK133" i="9"/>
  <c r="AI133" i="9"/>
  <c r="AG133" i="9"/>
  <c r="AF133" i="9"/>
  <c r="AP132" i="9"/>
  <c r="AL132" i="9"/>
  <c r="AK132" i="9"/>
  <c r="AI132" i="9"/>
  <c r="AQ132" i="9"/>
  <c r="AO132" i="9"/>
  <c r="AN132" i="9"/>
  <c r="AM132" i="9"/>
  <c r="AJ132" i="9"/>
  <c r="AH132" i="9"/>
  <c r="AG132" i="9"/>
  <c r="AF132" i="9"/>
  <c r="AM131" i="9"/>
  <c r="AL131" i="9"/>
  <c r="AJ131" i="9"/>
  <c r="AG131" i="9"/>
  <c r="AQ131" i="9"/>
  <c r="AP131" i="9"/>
  <c r="AO131" i="9"/>
  <c r="AN131" i="9"/>
  <c r="AK131" i="9"/>
  <c r="AI131" i="9"/>
  <c r="AH131" i="9"/>
  <c r="AF131" i="9"/>
  <c r="AP130" i="9"/>
  <c r="AM130" i="9"/>
  <c r="AL130" i="9"/>
  <c r="AI130" i="9"/>
  <c r="AQ130" i="9"/>
  <c r="AO130" i="9"/>
  <c r="AN130" i="9"/>
  <c r="AK130" i="9"/>
  <c r="AJ130" i="9"/>
  <c r="AH130" i="9"/>
  <c r="AG130" i="9"/>
  <c r="AF130" i="9"/>
  <c r="AQ129" i="9"/>
  <c r="AP129" i="9"/>
  <c r="AO129" i="9"/>
  <c r="AJ129" i="9"/>
  <c r="AG129" i="9"/>
  <c r="AN129" i="9"/>
  <c r="AM129" i="9"/>
  <c r="AL129" i="9"/>
  <c r="AK129" i="9"/>
  <c r="AI129" i="9"/>
  <c r="AH129" i="9"/>
  <c r="AF129" i="9"/>
  <c r="AM128" i="9"/>
  <c r="AL128" i="9"/>
  <c r="AI128" i="9"/>
  <c r="AQ128" i="9"/>
  <c r="AP128" i="9"/>
  <c r="AO128" i="9"/>
  <c r="AN128" i="9"/>
  <c r="AK128" i="9"/>
  <c r="AJ128" i="9"/>
  <c r="AH128" i="9"/>
  <c r="AG128" i="9"/>
  <c r="AF128" i="9"/>
  <c r="AQ127" i="9"/>
  <c r="AP127" i="9"/>
  <c r="AL127" i="9"/>
  <c r="AO127" i="9"/>
  <c r="AN127" i="9"/>
  <c r="AM127" i="9"/>
  <c r="AK127" i="9"/>
  <c r="AJ127" i="9"/>
  <c r="AI127" i="9"/>
  <c r="AH127" i="9"/>
  <c r="AG127" i="9"/>
  <c r="AF127" i="9"/>
  <c r="AN126" i="9"/>
  <c r="AL126" i="9"/>
  <c r="AJ126" i="9"/>
  <c r="AI126" i="9"/>
  <c r="AQ126" i="9"/>
  <c r="AP126" i="9"/>
  <c r="AO126" i="9"/>
  <c r="AM126" i="9"/>
  <c r="AK126" i="9"/>
  <c r="AH126" i="9"/>
  <c r="AG126" i="9"/>
  <c r="AF126" i="9"/>
  <c r="AP125" i="9"/>
  <c r="AO125" i="9"/>
  <c r="AM125" i="9"/>
  <c r="AL125" i="9"/>
  <c r="AG125" i="9"/>
  <c r="AQ125" i="9"/>
  <c r="AN125" i="9"/>
  <c r="AK125" i="9"/>
  <c r="AJ125" i="9"/>
  <c r="AI125" i="9"/>
  <c r="AH125" i="9"/>
  <c r="AF125" i="9"/>
  <c r="AP124" i="9"/>
  <c r="AN124" i="9"/>
  <c r="AM124" i="9"/>
  <c r="AI124" i="9"/>
  <c r="AQ124" i="9"/>
  <c r="AO124" i="9"/>
  <c r="AL124" i="9"/>
  <c r="AK124" i="9"/>
  <c r="AJ124" i="9"/>
  <c r="AH124" i="9"/>
  <c r="AG124" i="9"/>
  <c r="AF124" i="9"/>
  <c r="AQ123" i="9"/>
  <c r="AP123" i="9"/>
  <c r="AL123" i="9"/>
  <c r="AJ123" i="9"/>
  <c r="AO123" i="9"/>
  <c r="AN123" i="9"/>
  <c r="AM123" i="9"/>
  <c r="AK123" i="9"/>
  <c r="AI123" i="9"/>
  <c r="AH123" i="9"/>
  <c r="AG123" i="9"/>
  <c r="AF123" i="9"/>
  <c r="AN122" i="9"/>
  <c r="AM122" i="9"/>
  <c r="AK122" i="9"/>
  <c r="AI122" i="9"/>
  <c r="AQ122" i="9"/>
  <c r="AP122" i="9"/>
  <c r="AO122" i="9"/>
  <c r="AL122" i="9"/>
  <c r="AJ122" i="9"/>
  <c r="AH122" i="9"/>
  <c r="AG122" i="9"/>
  <c r="AF122" i="9"/>
  <c r="AP121" i="9"/>
  <c r="AM121" i="9"/>
  <c r="AH121" i="9"/>
  <c r="AQ121" i="9"/>
  <c r="AO121" i="9"/>
  <c r="AN121" i="9"/>
  <c r="AL121" i="9"/>
  <c r="AK121" i="9"/>
  <c r="AJ121" i="9"/>
  <c r="AI121" i="9"/>
  <c r="AG121" i="9"/>
  <c r="AF121" i="9"/>
  <c r="AN120" i="9"/>
  <c r="AM120" i="9"/>
  <c r="AK120" i="9"/>
  <c r="AI120" i="9"/>
  <c r="AQ120" i="9"/>
  <c r="AP120" i="9"/>
  <c r="AO120" i="9"/>
  <c r="AL120" i="9"/>
  <c r="AJ120" i="9"/>
  <c r="AH120" i="9"/>
  <c r="AG120" i="9"/>
  <c r="AF120" i="9"/>
  <c r="AQ119" i="9"/>
  <c r="AP119" i="9"/>
  <c r="AM119" i="9"/>
  <c r="AL119" i="9"/>
  <c r="AO119" i="9"/>
  <c r="AN119" i="9"/>
  <c r="AK119" i="9"/>
  <c r="AJ119" i="9"/>
  <c r="AI119" i="9"/>
  <c r="AH119" i="9"/>
  <c r="AG119" i="9"/>
  <c r="AF119" i="9"/>
  <c r="AP118" i="9"/>
  <c r="AL118" i="9"/>
  <c r="AK118" i="9"/>
  <c r="AQ118" i="9"/>
  <c r="AO118" i="9"/>
  <c r="AN118" i="9"/>
  <c r="AM118" i="9"/>
  <c r="AJ118" i="9"/>
  <c r="AI118" i="9"/>
  <c r="AH118" i="9"/>
  <c r="AG118" i="9"/>
  <c r="AF118" i="9"/>
  <c r="AP117" i="9"/>
  <c r="AO117" i="9"/>
  <c r="AJ117" i="9"/>
  <c r="AH117" i="9"/>
  <c r="AQ117" i="9"/>
  <c r="AN117" i="9"/>
  <c r="AM117" i="9"/>
  <c r="AL117" i="9"/>
  <c r="AK117" i="9"/>
  <c r="AI117" i="9"/>
  <c r="AG117" i="9"/>
  <c r="AF117" i="9"/>
  <c r="AP116" i="9"/>
  <c r="AL116" i="9"/>
  <c r="AK116" i="9"/>
  <c r="AI116" i="9"/>
  <c r="AQ116" i="9"/>
  <c r="AO116" i="9"/>
  <c r="AN116" i="9"/>
  <c r="AM116" i="9"/>
  <c r="AJ116" i="9"/>
  <c r="AH116" i="9"/>
  <c r="AG116" i="9"/>
  <c r="AF116" i="9"/>
  <c r="AM115" i="9"/>
  <c r="AL115" i="9"/>
  <c r="AJ115" i="9"/>
  <c r="AH115" i="9"/>
  <c r="AG115" i="9"/>
  <c r="AQ115" i="9"/>
  <c r="AP115" i="9"/>
  <c r="AO115" i="9"/>
  <c r="AN115" i="9"/>
  <c r="AK115" i="9"/>
  <c r="AI115" i="9"/>
  <c r="AF115" i="9"/>
  <c r="AP114" i="9"/>
  <c r="AM114" i="9"/>
  <c r="AL114" i="9"/>
  <c r="AI114" i="9"/>
  <c r="AQ114" i="9"/>
  <c r="AO114" i="9"/>
  <c r="AN114" i="9"/>
  <c r="AK114" i="9"/>
  <c r="AJ114" i="9"/>
  <c r="AH114" i="9"/>
  <c r="AG114" i="9"/>
  <c r="AF114" i="9"/>
  <c r="AQ113" i="9"/>
  <c r="AJ113" i="9"/>
  <c r="AG113" i="9"/>
  <c r="AP113" i="9"/>
  <c r="AO113" i="9"/>
  <c r="AN113" i="9"/>
  <c r="AM113" i="9"/>
  <c r="AL113" i="9"/>
  <c r="AK113" i="9"/>
  <c r="AI113" i="9"/>
  <c r="AH113" i="9"/>
  <c r="AF113" i="9"/>
  <c r="AM112" i="9"/>
  <c r="AL112" i="9"/>
  <c r="AI112" i="9"/>
  <c r="AQ112" i="9"/>
  <c r="AP112" i="9"/>
  <c r="AO112" i="9"/>
  <c r="AN112" i="9"/>
  <c r="AK112" i="9"/>
  <c r="AJ112" i="9"/>
  <c r="AH112" i="9"/>
  <c r="AG112" i="9"/>
  <c r="AF112" i="9"/>
  <c r="AQ111" i="9"/>
  <c r="AP111" i="9"/>
  <c r="AL111" i="9"/>
  <c r="AH111" i="9"/>
  <c r="AO111" i="9"/>
  <c r="AN111" i="9"/>
  <c r="AM111" i="9"/>
  <c r="AK111" i="9"/>
  <c r="AJ111" i="9"/>
  <c r="AI111" i="9"/>
  <c r="AG111" i="9"/>
  <c r="AF111" i="9"/>
  <c r="AN110" i="9"/>
  <c r="AL110" i="9"/>
  <c r="AJ110" i="9"/>
  <c r="AI110" i="9"/>
  <c r="AQ110" i="9"/>
  <c r="AP110" i="9"/>
  <c r="AO110" i="9"/>
  <c r="AM110" i="9"/>
  <c r="AK110" i="9"/>
  <c r="AH110" i="9"/>
  <c r="AG110" i="9"/>
  <c r="AF110" i="9"/>
  <c r="AQ109" i="9"/>
  <c r="AP109" i="9"/>
  <c r="AO109" i="9"/>
  <c r="AL109" i="9"/>
  <c r="AH109" i="9"/>
  <c r="AG109" i="9"/>
  <c r="AN109" i="9"/>
  <c r="AM109" i="9"/>
  <c r="AK109" i="9"/>
  <c r="AJ109" i="9"/>
  <c r="AI109" i="9"/>
  <c r="AF109" i="9"/>
  <c r="AP108" i="9"/>
  <c r="AN108" i="9"/>
  <c r="AM108" i="9"/>
  <c r="AI108" i="9"/>
  <c r="AQ108" i="9"/>
  <c r="AO108" i="9"/>
  <c r="AL108" i="9"/>
  <c r="AK108" i="9"/>
  <c r="AJ108" i="9"/>
  <c r="AH108" i="9"/>
  <c r="AG108" i="9"/>
  <c r="AF108" i="9"/>
  <c r="AL107" i="9"/>
  <c r="AQ107" i="9"/>
  <c r="AP107" i="9"/>
  <c r="AO107" i="9"/>
  <c r="AN107" i="9"/>
  <c r="AM107" i="9"/>
  <c r="AK107" i="9"/>
  <c r="AJ107" i="9"/>
  <c r="AI107" i="9"/>
  <c r="AH107" i="9"/>
  <c r="AG107" i="9"/>
  <c r="AF107" i="9"/>
  <c r="AN106" i="9"/>
  <c r="AM106" i="9"/>
  <c r="AK106" i="9"/>
  <c r="AI106" i="9"/>
  <c r="AQ106" i="9"/>
  <c r="AP106" i="9"/>
  <c r="AO106" i="9"/>
  <c r="AL106" i="9"/>
  <c r="AJ106" i="9"/>
  <c r="AH106" i="9"/>
  <c r="AG106" i="9"/>
  <c r="AF106" i="9"/>
  <c r="AP105" i="9"/>
  <c r="AM105" i="9"/>
  <c r="AH105" i="9"/>
  <c r="AG105" i="9"/>
  <c r="AQ105" i="9"/>
  <c r="AO105" i="9"/>
  <c r="AN105" i="9"/>
  <c r="AL105" i="9"/>
  <c r="AK105" i="9"/>
  <c r="AJ105" i="9"/>
  <c r="AI105" i="9"/>
  <c r="AF105" i="9"/>
  <c r="AN104" i="9"/>
  <c r="AM104" i="9"/>
  <c r="AK104" i="9"/>
  <c r="AI104" i="9"/>
  <c r="AQ104" i="9"/>
  <c r="AP104" i="9"/>
  <c r="AO104" i="9"/>
  <c r="AL104" i="9"/>
  <c r="AJ104" i="9"/>
  <c r="AH104" i="9"/>
  <c r="AG104" i="9"/>
  <c r="AF104" i="9"/>
  <c r="AQ103" i="9"/>
  <c r="AP103" i="9"/>
  <c r="AM103" i="9"/>
  <c r="AL103" i="9"/>
  <c r="AO103" i="9"/>
  <c r="AN103" i="9"/>
  <c r="AK103" i="9"/>
  <c r="AJ103" i="9"/>
  <c r="AI103" i="9"/>
  <c r="AH103" i="9"/>
  <c r="AG103" i="9"/>
  <c r="AF103" i="9"/>
  <c r="AP102" i="9"/>
  <c r="AL102" i="9"/>
  <c r="AK102" i="9"/>
  <c r="AQ102" i="9"/>
  <c r="AO102" i="9"/>
  <c r="AN102" i="9"/>
  <c r="AM102" i="9"/>
  <c r="AJ102" i="9"/>
  <c r="AI102" i="9"/>
  <c r="AH102" i="9"/>
  <c r="AG102" i="9"/>
  <c r="AF102" i="9"/>
  <c r="AO101" i="9"/>
  <c r="AH101" i="9"/>
  <c r="AQ101" i="9"/>
  <c r="AP101" i="9"/>
  <c r="AN101" i="9"/>
  <c r="AM101" i="9"/>
  <c r="AL101" i="9"/>
  <c r="AK101" i="9"/>
  <c r="AJ101" i="9"/>
  <c r="AI101" i="9"/>
  <c r="AG101" i="9"/>
  <c r="AF101" i="9"/>
  <c r="AP100" i="9"/>
  <c r="AK100" i="9"/>
  <c r="AI100" i="9"/>
  <c r="AQ100" i="9"/>
  <c r="AO100" i="9"/>
  <c r="AN100" i="9"/>
  <c r="AM100" i="9"/>
  <c r="AL100" i="9"/>
  <c r="AJ100" i="9"/>
  <c r="AH100" i="9"/>
  <c r="AG100" i="9"/>
  <c r="AF100" i="9"/>
  <c r="AQ99" i="9"/>
  <c r="AM99" i="9"/>
  <c r="AL99" i="9"/>
  <c r="AJ99" i="9"/>
  <c r="AG99" i="9"/>
  <c r="AP99" i="9"/>
  <c r="AO99" i="9"/>
  <c r="AN99" i="9"/>
  <c r="AK99" i="9"/>
  <c r="AI99" i="9"/>
  <c r="AH99" i="9"/>
  <c r="AF99" i="9"/>
  <c r="AP98" i="9"/>
  <c r="AM98" i="9"/>
  <c r="AL98" i="9"/>
  <c r="AI98" i="9"/>
  <c r="AQ98" i="9"/>
  <c r="AO98" i="9"/>
  <c r="AN98" i="9"/>
  <c r="AK98" i="9"/>
  <c r="AJ98" i="9"/>
  <c r="AH98" i="9"/>
  <c r="AG98" i="9"/>
  <c r="AF98" i="9"/>
  <c r="AQ97" i="9"/>
  <c r="AP97" i="9"/>
  <c r="AL97" i="9"/>
  <c r="AJ97" i="9"/>
  <c r="AG97" i="9"/>
  <c r="AO97" i="9"/>
  <c r="AN97" i="9"/>
  <c r="AM97" i="9"/>
  <c r="AK97" i="9"/>
  <c r="AI97" i="9"/>
  <c r="AH97" i="9"/>
  <c r="AF97" i="9"/>
  <c r="AM96" i="9"/>
  <c r="AL96" i="9"/>
  <c r="AI96" i="9"/>
  <c r="AQ96" i="9"/>
  <c r="AP96" i="9"/>
  <c r="AO96" i="9"/>
  <c r="AN96" i="9"/>
  <c r="AK96" i="9"/>
  <c r="AJ96" i="9"/>
  <c r="AH96" i="9"/>
  <c r="AG96" i="9"/>
  <c r="AF96" i="9"/>
  <c r="AL95" i="9"/>
  <c r="AH95" i="9"/>
  <c r="AQ95" i="9"/>
  <c r="AP95" i="9"/>
  <c r="AO95" i="9"/>
  <c r="AN95" i="9"/>
  <c r="AM95" i="9"/>
  <c r="AK95" i="9"/>
  <c r="AJ95" i="9"/>
  <c r="AI95" i="9"/>
  <c r="AG95" i="9"/>
  <c r="AF95" i="9"/>
  <c r="AN94" i="9"/>
  <c r="AL94" i="9"/>
  <c r="AJ94" i="9"/>
  <c r="AI94" i="9"/>
  <c r="AQ94" i="9"/>
  <c r="AP94" i="9"/>
  <c r="AO94" i="9"/>
  <c r="AM94" i="9"/>
  <c r="AK94" i="9"/>
  <c r="AH94" i="9"/>
  <c r="AG94" i="9"/>
  <c r="AF94" i="9"/>
  <c r="AP93" i="9"/>
  <c r="AO93" i="9"/>
  <c r="AL93" i="9"/>
  <c r="AG93" i="9"/>
  <c r="AQ93" i="9"/>
  <c r="AN93" i="9"/>
  <c r="AM93" i="9"/>
  <c r="AK93" i="9"/>
  <c r="AJ93" i="9"/>
  <c r="AI93" i="9"/>
  <c r="AH93" i="9"/>
  <c r="AF93" i="9"/>
  <c r="AP92" i="9"/>
  <c r="AN92" i="9"/>
  <c r="AM92" i="9"/>
  <c r="AI92" i="9"/>
  <c r="AG92" i="9"/>
  <c r="AQ92" i="9"/>
  <c r="AO92" i="9"/>
  <c r="AL92" i="9"/>
  <c r="AK92" i="9"/>
  <c r="AJ92" i="9"/>
  <c r="AH92" i="9"/>
  <c r="AF92" i="9"/>
  <c r="AL91" i="9"/>
  <c r="AJ91" i="9"/>
  <c r="AQ91" i="9"/>
  <c r="AP91" i="9"/>
  <c r="AO91" i="9"/>
  <c r="AN91" i="9"/>
  <c r="AM91" i="9"/>
  <c r="AK91" i="9"/>
  <c r="AI91" i="9"/>
  <c r="AH91" i="9"/>
  <c r="AG91" i="9"/>
  <c r="AF91" i="9"/>
  <c r="AN90" i="9"/>
  <c r="AK90" i="9"/>
  <c r="AI90" i="9"/>
  <c r="AQ90" i="9"/>
  <c r="AP90" i="9"/>
  <c r="AO90" i="9"/>
  <c r="AM90" i="9"/>
  <c r="AL90" i="9"/>
  <c r="AJ90" i="9"/>
  <c r="AH90" i="9"/>
  <c r="AG90" i="9"/>
  <c r="AF90" i="9"/>
  <c r="AP89" i="9"/>
  <c r="AM89" i="9"/>
  <c r="AH89" i="9"/>
  <c r="AQ89" i="9"/>
  <c r="AO89" i="9"/>
  <c r="AN89" i="9"/>
  <c r="AL89" i="9"/>
  <c r="AK89" i="9"/>
  <c r="AJ89" i="9"/>
  <c r="AI89" i="9"/>
  <c r="AG89" i="9"/>
  <c r="AF89" i="9"/>
  <c r="AO88" i="9"/>
  <c r="AN88" i="9"/>
  <c r="AL88" i="9"/>
  <c r="AJ88" i="9"/>
  <c r="AQ88" i="9"/>
  <c r="AP88" i="9"/>
  <c r="AM88" i="9"/>
  <c r="AK88" i="9"/>
  <c r="AI88" i="9"/>
  <c r="AH88" i="9"/>
  <c r="AG88" i="9"/>
  <c r="AF88" i="9"/>
  <c r="AQ87" i="9"/>
  <c r="AO87" i="9"/>
  <c r="AI87" i="9"/>
  <c r="AH87" i="9"/>
  <c r="AP87" i="9"/>
  <c r="AN87" i="9"/>
  <c r="AM87" i="9"/>
  <c r="AL87" i="9"/>
  <c r="AK87" i="9"/>
  <c r="AJ87" i="9"/>
  <c r="AG87" i="9"/>
  <c r="AF87" i="9"/>
  <c r="AN86" i="9"/>
  <c r="AM86" i="9"/>
  <c r="AI86" i="9"/>
  <c r="AQ86" i="9"/>
  <c r="AP86" i="9"/>
  <c r="AO86" i="9"/>
  <c r="AL86" i="9"/>
  <c r="AK86" i="9"/>
  <c r="AJ86" i="9"/>
  <c r="AH86" i="9"/>
  <c r="AG86" i="9"/>
  <c r="AF86" i="9"/>
  <c r="AQ85" i="9"/>
  <c r="AL85" i="9"/>
  <c r="AP85" i="9"/>
  <c r="AO85" i="9"/>
  <c r="AN85" i="9"/>
  <c r="AM85" i="9"/>
  <c r="AK85" i="9"/>
  <c r="AJ85" i="9"/>
  <c r="AI85" i="9"/>
  <c r="AH85" i="9"/>
  <c r="AG85" i="9"/>
  <c r="AF85" i="9"/>
  <c r="AN84" i="9"/>
  <c r="AL84" i="9"/>
  <c r="AK84" i="9"/>
  <c r="AJ84" i="9"/>
  <c r="AQ84" i="9"/>
  <c r="AP84" i="9"/>
  <c r="AO84" i="9"/>
  <c r="AM84" i="9"/>
  <c r="AI84" i="9"/>
  <c r="AH84" i="9"/>
  <c r="AG84" i="9"/>
  <c r="AF84" i="9"/>
  <c r="AQ83" i="9"/>
  <c r="AO83" i="9"/>
  <c r="AJ83" i="9"/>
  <c r="AI83" i="9"/>
  <c r="AG83" i="9"/>
  <c r="AP83" i="9"/>
  <c r="AN83" i="9"/>
  <c r="AM83" i="9"/>
  <c r="AL83" i="9"/>
  <c r="AK83" i="9"/>
  <c r="AH83" i="9"/>
  <c r="AF83" i="9"/>
  <c r="AN82" i="9"/>
  <c r="AM82" i="9"/>
  <c r="AJ82" i="9"/>
  <c r="AQ82" i="9"/>
  <c r="AP82" i="9"/>
  <c r="AO82" i="9"/>
  <c r="AL82" i="9"/>
  <c r="AK82" i="9"/>
  <c r="AI82" i="9"/>
  <c r="AH82" i="9"/>
  <c r="AG82" i="9"/>
  <c r="AF82" i="9"/>
  <c r="AQ81" i="9"/>
  <c r="AM81" i="9"/>
  <c r="AP81" i="9"/>
  <c r="AO81" i="9"/>
  <c r="AN81" i="9"/>
  <c r="AL81" i="9"/>
  <c r="AK81" i="9"/>
  <c r="AJ81" i="9"/>
  <c r="AI81" i="9"/>
  <c r="AH81" i="9"/>
  <c r="AG81" i="9"/>
  <c r="AF81" i="9"/>
  <c r="AO80" i="9"/>
  <c r="AN80" i="9"/>
  <c r="AL80" i="9"/>
  <c r="AK80" i="9"/>
  <c r="AG80" i="9"/>
  <c r="AQ80" i="9"/>
  <c r="AP80" i="9"/>
  <c r="AM80" i="9"/>
  <c r="AJ80" i="9"/>
  <c r="AI80" i="9"/>
  <c r="AH80" i="9"/>
  <c r="AF80" i="9"/>
  <c r="AQ79" i="9"/>
  <c r="AO79" i="9"/>
  <c r="AI79" i="9"/>
  <c r="AP79" i="9"/>
  <c r="AN79" i="9"/>
  <c r="AM79" i="9"/>
  <c r="AL79" i="9"/>
  <c r="AK79" i="9"/>
  <c r="AJ79" i="9"/>
  <c r="AH79" i="9"/>
  <c r="AG79" i="9"/>
  <c r="AF79" i="9"/>
  <c r="AN78" i="9"/>
  <c r="AM78" i="9"/>
  <c r="AJ78" i="9"/>
  <c r="AQ78" i="9"/>
  <c r="AP78" i="9"/>
  <c r="AO78" i="9"/>
  <c r="AL78" i="9"/>
  <c r="AK78" i="9"/>
  <c r="AI78" i="9"/>
  <c r="AH78" i="9"/>
  <c r="AG78" i="9"/>
  <c r="AF78" i="9"/>
  <c r="AQ77" i="9"/>
  <c r="AL77" i="9"/>
  <c r="AI77" i="9"/>
  <c r="AH77" i="9"/>
  <c r="AG77" i="9"/>
  <c r="AP77" i="9"/>
  <c r="AO77" i="9"/>
  <c r="AN77" i="9"/>
  <c r="AM77" i="9"/>
  <c r="AK77" i="9"/>
  <c r="AJ77" i="9"/>
  <c r="AF77" i="9"/>
  <c r="AO76" i="9"/>
  <c r="AN76" i="9"/>
  <c r="AL76" i="9"/>
  <c r="AJ76" i="9"/>
  <c r="AQ76" i="9"/>
  <c r="AP76" i="9"/>
  <c r="AM76" i="9"/>
  <c r="AK76" i="9"/>
  <c r="AI76" i="9"/>
  <c r="AH76" i="9"/>
  <c r="AG76" i="9"/>
  <c r="AF76" i="9"/>
  <c r="AQ75" i="9"/>
  <c r="AO75" i="9"/>
  <c r="AM75" i="9"/>
  <c r="AP75" i="9"/>
  <c r="AN75" i="9"/>
  <c r="AL75" i="9"/>
  <c r="AK75" i="9"/>
  <c r="AJ75" i="9"/>
  <c r="AI75" i="9"/>
  <c r="AH75" i="9"/>
  <c r="AG75" i="9"/>
  <c r="AF75" i="9"/>
  <c r="AN74" i="9"/>
  <c r="AM74" i="9"/>
  <c r="AI74" i="9"/>
  <c r="AQ74" i="9"/>
  <c r="AP74" i="9"/>
  <c r="AO74" i="9"/>
  <c r="AL74" i="9"/>
  <c r="AK74" i="9"/>
  <c r="AJ74" i="9"/>
  <c r="AH74" i="9"/>
  <c r="AG74" i="9"/>
  <c r="AF74" i="9"/>
  <c r="AQ73" i="9"/>
  <c r="AL73" i="9"/>
  <c r="AP73" i="9"/>
  <c r="AO73" i="9"/>
  <c r="AN73" i="9"/>
  <c r="AM73" i="9"/>
  <c r="AK73" i="9"/>
  <c r="AJ73" i="9"/>
  <c r="AI73" i="9"/>
  <c r="AH73" i="9"/>
  <c r="AG73" i="9"/>
  <c r="AF73" i="9"/>
  <c r="AN72" i="9"/>
  <c r="AL72" i="9"/>
  <c r="AK72" i="9"/>
  <c r="AQ72" i="9"/>
  <c r="AP72" i="9"/>
  <c r="AO72" i="9"/>
  <c r="AM72" i="9"/>
  <c r="AJ72" i="9"/>
  <c r="AI72" i="9"/>
  <c r="AH72" i="9"/>
  <c r="AG72" i="9"/>
  <c r="AF72" i="9"/>
  <c r="AQ71" i="9"/>
  <c r="AP71" i="9"/>
  <c r="AO71" i="9"/>
  <c r="AJ71" i="9"/>
  <c r="AG71" i="9"/>
  <c r="AN71" i="9"/>
  <c r="AM71" i="9"/>
  <c r="AL71" i="9"/>
  <c r="AK71" i="9"/>
  <c r="AI71" i="9"/>
  <c r="AH71" i="9"/>
  <c r="AF71" i="9"/>
  <c r="AN70" i="9"/>
  <c r="AM70" i="9"/>
  <c r="AJ70" i="9"/>
  <c r="AQ70" i="9"/>
  <c r="AP70" i="9"/>
  <c r="AO70" i="9"/>
  <c r="AL70" i="9"/>
  <c r="AK70" i="9"/>
  <c r="AI70" i="9"/>
  <c r="AH70" i="9"/>
  <c r="AG70" i="9"/>
  <c r="AF70" i="9"/>
  <c r="AQ69" i="9"/>
  <c r="AO69" i="9"/>
  <c r="AH69" i="9"/>
  <c r="AP69" i="9"/>
  <c r="AN69" i="9"/>
  <c r="AM69" i="9"/>
  <c r="AL69" i="9"/>
  <c r="AK69" i="9"/>
  <c r="AJ69" i="9"/>
  <c r="AI69" i="9"/>
  <c r="AG69" i="9"/>
  <c r="AF69" i="9"/>
  <c r="AQ68" i="9"/>
  <c r="AP68" i="9"/>
  <c r="AN68" i="9"/>
  <c r="AM68" i="9"/>
  <c r="AJ68" i="9"/>
  <c r="AO68" i="9"/>
  <c r="AL68" i="9"/>
  <c r="AK68" i="9"/>
  <c r="AI68" i="9"/>
  <c r="AH68" i="9"/>
  <c r="AG68" i="9"/>
  <c r="AF68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Q66" i="9"/>
  <c r="AM66" i="9"/>
  <c r="AL66" i="9"/>
  <c r="AJ66" i="9"/>
  <c r="AI66" i="9"/>
  <c r="AP66" i="9"/>
  <c r="AO66" i="9"/>
  <c r="AN66" i="9"/>
  <c r="AK66" i="9"/>
  <c r="AH66" i="9"/>
  <c r="AG66" i="9"/>
  <c r="AF66" i="9"/>
  <c r="AQ65" i="9"/>
  <c r="AP65" i="9"/>
  <c r="AM65" i="9"/>
  <c r="AL65" i="9"/>
  <c r="AG65" i="9"/>
  <c r="AO65" i="9"/>
  <c r="AN65" i="9"/>
  <c r="AK65" i="9"/>
  <c r="AJ65" i="9"/>
  <c r="AI65" i="9"/>
  <c r="AH65" i="9"/>
  <c r="AF65" i="9"/>
  <c r="AP64" i="9"/>
  <c r="AN64" i="9"/>
  <c r="AM64" i="9"/>
  <c r="AL64" i="9"/>
  <c r="AJ64" i="9"/>
  <c r="AG64" i="9"/>
  <c r="AQ64" i="9"/>
  <c r="AO64" i="9"/>
  <c r="AK64" i="9"/>
  <c r="AI64" i="9"/>
  <c r="AH64" i="9"/>
  <c r="AF64" i="9"/>
  <c r="AQ63" i="9"/>
  <c r="AL63" i="9"/>
  <c r="AJ63" i="9"/>
  <c r="AH63" i="9"/>
  <c r="AP63" i="9"/>
  <c r="AO63" i="9"/>
  <c r="AN63" i="9"/>
  <c r="AM63" i="9"/>
  <c r="AK63" i="9"/>
  <c r="AI63" i="9"/>
  <c r="AG63" i="9"/>
  <c r="AF63" i="9"/>
  <c r="AQ62" i="9"/>
  <c r="AP62" i="9"/>
  <c r="AN62" i="9"/>
  <c r="AM62" i="9"/>
  <c r="AL62" i="9"/>
  <c r="AJ62" i="9"/>
  <c r="AI62" i="9"/>
  <c r="AO62" i="9"/>
  <c r="AK62" i="9"/>
  <c r="AH62" i="9"/>
  <c r="AG62" i="9"/>
  <c r="AF62" i="9"/>
  <c r="AQ61" i="9"/>
  <c r="AM61" i="9"/>
  <c r="AL61" i="9"/>
  <c r="AJ61" i="9"/>
  <c r="AH61" i="9"/>
  <c r="AP61" i="9"/>
  <c r="AO61" i="9"/>
  <c r="AN61" i="9"/>
  <c r="AK61" i="9"/>
  <c r="AI61" i="9"/>
  <c r="AG61" i="9"/>
  <c r="AF61" i="9"/>
  <c r="AQ60" i="9"/>
  <c r="AL60" i="9"/>
  <c r="AJ60" i="9"/>
  <c r="AI60" i="9"/>
  <c r="AP60" i="9"/>
  <c r="AO60" i="9"/>
  <c r="AN60" i="9"/>
  <c r="AM60" i="9"/>
  <c r="AK60" i="9"/>
  <c r="AH60" i="9"/>
  <c r="AG60" i="9"/>
  <c r="AF60" i="9"/>
  <c r="AQ59" i="9"/>
  <c r="AO59" i="9"/>
  <c r="AM59" i="9"/>
  <c r="AL59" i="9"/>
  <c r="AI59" i="9"/>
  <c r="AP59" i="9"/>
  <c r="AN59" i="9"/>
  <c r="AK59" i="9"/>
  <c r="AJ59" i="9"/>
  <c r="AH59" i="9"/>
  <c r="AG59" i="9"/>
  <c r="AF59" i="9"/>
  <c r="AO58" i="9"/>
  <c r="AN58" i="9"/>
  <c r="AJ58" i="9"/>
  <c r="AI58" i="9"/>
  <c r="AQ58" i="9"/>
  <c r="AP58" i="9"/>
  <c r="AM58" i="9"/>
  <c r="AL58" i="9"/>
  <c r="AK58" i="9"/>
  <c r="AH58" i="9"/>
  <c r="AG58" i="9"/>
  <c r="AF58" i="9"/>
  <c r="AO57" i="9"/>
  <c r="AI57" i="9"/>
  <c r="AH57" i="9"/>
  <c r="AQ57" i="9"/>
  <c r="AP57" i="9"/>
  <c r="AN57" i="9"/>
  <c r="AM57" i="9"/>
  <c r="AL57" i="9"/>
  <c r="AK57" i="9"/>
  <c r="AJ57" i="9"/>
  <c r="AG57" i="9"/>
  <c r="AF57" i="9"/>
  <c r="AQ56" i="9"/>
  <c r="AO56" i="9"/>
  <c r="AN56" i="9"/>
  <c r="AK56" i="9"/>
  <c r="AJ56" i="9"/>
  <c r="AP56" i="9"/>
  <c r="AM56" i="9"/>
  <c r="AL56" i="9"/>
  <c r="AI56" i="9"/>
  <c r="AH56" i="9"/>
  <c r="AG56" i="9"/>
  <c r="AF56" i="9"/>
  <c r="AP55" i="9"/>
  <c r="AO55" i="9"/>
  <c r="AQ55" i="9"/>
  <c r="AN55" i="9"/>
  <c r="AM55" i="9"/>
  <c r="AL55" i="9"/>
  <c r="AK55" i="9"/>
  <c r="AJ55" i="9"/>
  <c r="AI55" i="9"/>
  <c r="AH55" i="9"/>
  <c r="AG55" i="9"/>
  <c r="AF55" i="9"/>
  <c r="AQ54" i="9"/>
  <c r="AO54" i="9"/>
  <c r="AM54" i="9"/>
  <c r="AL54" i="9"/>
  <c r="AI54" i="9"/>
  <c r="AP54" i="9"/>
  <c r="AN54" i="9"/>
  <c r="AK54" i="9"/>
  <c r="AJ54" i="9"/>
  <c r="AH54" i="9"/>
  <c r="AG54" i="9"/>
  <c r="AF54" i="9"/>
  <c r="AQ53" i="9"/>
  <c r="AP53" i="9"/>
  <c r="AL53" i="9"/>
  <c r="AG53" i="9"/>
  <c r="AO53" i="9"/>
  <c r="AN53" i="9"/>
  <c r="AM53" i="9"/>
  <c r="AK53" i="9"/>
  <c r="AJ53" i="9"/>
  <c r="AI53" i="9"/>
  <c r="AH53" i="9"/>
  <c r="AF53" i="9"/>
  <c r="AO52" i="9"/>
  <c r="AM52" i="9"/>
  <c r="AK52" i="9"/>
  <c r="AJ52" i="9"/>
  <c r="AQ52" i="9"/>
  <c r="AP52" i="9"/>
  <c r="AN52" i="9"/>
  <c r="AL52" i="9"/>
  <c r="AI52" i="9"/>
  <c r="AH52" i="9"/>
  <c r="AG52" i="9"/>
  <c r="AF52" i="9"/>
  <c r="AP51" i="9"/>
  <c r="AO51" i="9"/>
  <c r="AQ51" i="9"/>
  <c r="AN51" i="9"/>
  <c r="AM51" i="9"/>
  <c r="AL51" i="9"/>
  <c r="AK51" i="9"/>
  <c r="AJ51" i="9"/>
  <c r="AI51" i="9"/>
  <c r="AH51" i="9"/>
  <c r="AG51" i="9"/>
  <c r="AF51" i="9"/>
  <c r="AQ50" i="9"/>
  <c r="AP50" i="9"/>
  <c r="AM50" i="9"/>
  <c r="AK50" i="9"/>
  <c r="AI50" i="9"/>
  <c r="AO50" i="9"/>
  <c r="AN50" i="9"/>
  <c r="AL50" i="9"/>
  <c r="AJ50" i="9"/>
  <c r="AH50" i="9"/>
  <c r="AG50" i="9"/>
  <c r="AF50" i="9"/>
  <c r="AP49" i="9"/>
  <c r="AL49" i="9"/>
  <c r="AG49" i="9"/>
  <c r="AQ49" i="9"/>
  <c r="AO49" i="9"/>
  <c r="AN49" i="9"/>
  <c r="AM49" i="9"/>
  <c r="AK49" i="9"/>
  <c r="AJ49" i="9"/>
  <c r="AI49" i="9"/>
  <c r="AH49" i="9"/>
  <c r="AF49" i="9"/>
  <c r="AO48" i="9"/>
  <c r="AN48" i="9"/>
  <c r="AK48" i="9"/>
  <c r="AI48" i="9"/>
  <c r="AQ48" i="9"/>
  <c r="AP48" i="9"/>
  <c r="AM48" i="9"/>
  <c r="AL48" i="9"/>
  <c r="AJ48" i="9"/>
  <c r="AH48" i="9"/>
  <c r="AG48" i="9"/>
  <c r="AF48" i="9"/>
  <c r="AP47" i="9"/>
  <c r="AJ47" i="9"/>
  <c r="AQ47" i="9"/>
  <c r="AO47" i="9"/>
  <c r="AN47" i="9"/>
  <c r="AM47" i="9"/>
  <c r="AL47" i="9"/>
  <c r="AK47" i="9"/>
  <c r="AI47" i="9"/>
  <c r="AH47" i="9"/>
  <c r="AG47" i="9"/>
  <c r="AF47" i="9"/>
  <c r="AQ46" i="9"/>
  <c r="AP46" i="9"/>
  <c r="AM46" i="9"/>
  <c r="AL46" i="9"/>
  <c r="AI46" i="9"/>
  <c r="AO46" i="9"/>
  <c r="AN46" i="9"/>
  <c r="AK46" i="9"/>
  <c r="AJ46" i="9"/>
  <c r="AH46" i="9"/>
  <c r="AG46" i="9"/>
  <c r="AF46" i="9"/>
  <c r="AQ45" i="9"/>
  <c r="AP45" i="9"/>
  <c r="AG45" i="9"/>
  <c r="AO45" i="9"/>
  <c r="AN45" i="9"/>
  <c r="AM45" i="9"/>
  <c r="AL45" i="9"/>
  <c r="AK45" i="9"/>
  <c r="AJ45" i="9"/>
  <c r="AI45" i="9"/>
  <c r="AH45" i="9"/>
  <c r="AF45" i="9"/>
  <c r="AQ44" i="9"/>
  <c r="AO44" i="9"/>
  <c r="AN44" i="9"/>
  <c r="AK44" i="9"/>
  <c r="AJ44" i="9"/>
  <c r="AI44" i="9"/>
  <c r="AP44" i="9"/>
  <c r="AM44" i="9"/>
  <c r="AL44" i="9"/>
  <c r="AH44" i="9"/>
  <c r="AG44" i="9"/>
  <c r="AF44" i="9"/>
  <c r="AP43" i="9"/>
  <c r="AO43" i="9"/>
  <c r="AK43" i="9"/>
  <c r="AI43" i="9"/>
  <c r="AQ43" i="9"/>
  <c r="AN43" i="9"/>
  <c r="AM43" i="9"/>
  <c r="AL43" i="9"/>
  <c r="AJ43" i="9"/>
  <c r="AH43" i="9"/>
  <c r="AG43" i="9"/>
  <c r="AF43" i="9"/>
  <c r="AQ42" i="9"/>
  <c r="AO42" i="9"/>
  <c r="AM42" i="9"/>
  <c r="AL42" i="9"/>
  <c r="AK42" i="9"/>
  <c r="AI42" i="9"/>
  <c r="AP42" i="9"/>
  <c r="AN42" i="9"/>
  <c r="AJ42" i="9"/>
  <c r="AH42" i="9"/>
  <c r="AG42" i="9"/>
  <c r="AF42" i="9"/>
  <c r="AQ41" i="9"/>
  <c r="AP41" i="9"/>
  <c r="AL41" i="9"/>
  <c r="AK41" i="9"/>
  <c r="AI41" i="9"/>
  <c r="AG41" i="9"/>
  <c r="AO41" i="9"/>
  <c r="AN41" i="9"/>
  <c r="AM41" i="9"/>
  <c r="AJ41" i="9"/>
  <c r="AH41" i="9"/>
  <c r="AF41" i="9"/>
  <c r="AO40" i="9"/>
  <c r="AM40" i="9"/>
  <c r="AK40" i="9"/>
  <c r="AJ40" i="9"/>
  <c r="AI40" i="9"/>
  <c r="AQ40" i="9"/>
  <c r="AP40" i="9"/>
  <c r="AN40" i="9"/>
  <c r="AL40" i="9"/>
  <c r="AH40" i="9"/>
  <c r="AG40" i="9"/>
  <c r="AF40" i="9"/>
  <c r="AP39" i="9"/>
  <c r="AO39" i="9"/>
  <c r="AI39" i="9"/>
  <c r="AG39" i="9"/>
  <c r="AQ39" i="9"/>
  <c r="AN39" i="9"/>
  <c r="AM39" i="9"/>
  <c r="AL39" i="9"/>
  <c r="AK39" i="9"/>
  <c r="AJ39" i="9"/>
  <c r="AH39" i="9"/>
  <c r="AF39" i="9"/>
  <c r="AQ38" i="9"/>
  <c r="AP38" i="9"/>
  <c r="AM38" i="9"/>
  <c r="AK38" i="9"/>
  <c r="AI38" i="9"/>
  <c r="AO38" i="9"/>
  <c r="AN38" i="9"/>
  <c r="AL38" i="9"/>
  <c r="AJ38" i="9"/>
  <c r="AH38" i="9"/>
  <c r="AG38" i="9"/>
  <c r="AF38" i="9"/>
  <c r="AP37" i="9"/>
  <c r="AL37" i="9"/>
  <c r="AH37" i="9"/>
  <c r="AQ37" i="9"/>
  <c r="AO37" i="9"/>
  <c r="AN37" i="9"/>
  <c r="AM37" i="9"/>
  <c r="AK37" i="9"/>
  <c r="AJ37" i="9"/>
  <c r="AI37" i="9"/>
  <c r="AG37" i="9"/>
  <c r="AF37" i="9"/>
  <c r="AQ36" i="9"/>
  <c r="AO36" i="9"/>
  <c r="AN36" i="9"/>
  <c r="AM36" i="9"/>
  <c r="AK36" i="9"/>
  <c r="AI36" i="9"/>
  <c r="AP36" i="9"/>
  <c r="AL36" i="9"/>
  <c r="AJ36" i="9"/>
  <c r="AH36" i="9"/>
  <c r="AG36" i="9"/>
  <c r="AF36" i="9"/>
  <c r="AP35" i="9"/>
  <c r="AJ35" i="9"/>
  <c r="AQ35" i="9"/>
  <c r="AO35" i="9"/>
  <c r="AN35" i="9"/>
  <c r="AM35" i="9"/>
  <c r="AL35" i="9"/>
  <c r="AK35" i="9"/>
  <c r="AI35" i="9"/>
  <c r="AH35" i="9"/>
  <c r="AG35" i="9"/>
  <c r="AF35" i="9"/>
  <c r="AQ34" i="9"/>
  <c r="AP34" i="9"/>
  <c r="AM34" i="9"/>
  <c r="AI34" i="9"/>
  <c r="AO34" i="9"/>
  <c r="AN34" i="9"/>
  <c r="AL34" i="9"/>
  <c r="AK34" i="9"/>
  <c r="AJ34" i="9"/>
  <c r="AH34" i="9"/>
  <c r="AG34" i="9"/>
  <c r="AF34" i="9"/>
  <c r="AQ33" i="9"/>
  <c r="AI33" i="9"/>
  <c r="AP33" i="9"/>
  <c r="AO33" i="9"/>
  <c r="AN33" i="9"/>
  <c r="AM33" i="9"/>
  <c r="AL33" i="9"/>
  <c r="AK33" i="9"/>
  <c r="AJ33" i="9"/>
  <c r="AH33" i="9"/>
  <c r="AG33" i="9"/>
  <c r="AF33" i="9"/>
  <c r="AQ32" i="9"/>
  <c r="AO32" i="9"/>
  <c r="AM32" i="9"/>
  <c r="AK32" i="9"/>
  <c r="AP32" i="9"/>
  <c r="AN32" i="9"/>
  <c r="AL32" i="9"/>
  <c r="AJ32" i="9"/>
  <c r="AI32" i="9"/>
  <c r="AH32" i="9"/>
  <c r="AG32" i="9"/>
  <c r="AF32" i="9"/>
  <c r="AP31" i="9"/>
  <c r="AO31" i="9"/>
  <c r="AM31" i="9"/>
  <c r="AG31" i="9"/>
  <c r="AQ31" i="9"/>
  <c r="AN31" i="9"/>
  <c r="AL31" i="9"/>
  <c r="AK31" i="9"/>
  <c r="AJ31" i="9"/>
  <c r="AI31" i="9"/>
  <c r="AH31" i="9"/>
  <c r="AF31" i="9"/>
  <c r="AQ30" i="9"/>
  <c r="AO30" i="9"/>
  <c r="AM30" i="9"/>
  <c r="AK30" i="9"/>
  <c r="AI30" i="9"/>
  <c r="AG30" i="9"/>
  <c r="AP30" i="9"/>
  <c r="AN30" i="9"/>
  <c r="AL30" i="9"/>
  <c r="AJ30" i="9"/>
  <c r="AH30" i="9"/>
  <c r="AF30" i="9"/>
  <c r="AM29" i="9"/>
  <c r="AL29" i="9"/>
  <c r="AK29" i="9"/>
  <c r="AI29" i="9"/>
  <c r="AG29" i="9"/>
  <c r="AQ29" i="9"/>
  <c r="AP29" i="9"/>
  <c r="AO29" i="9"/>
  <c r="AN29" i="9"/>
  <c r="AJ29" i="9"/>
  <c r="AH29" i="9"/>
  <c r="AF29" i="9"/>
  <c r="AO28" i="9"/>
  <c r="AM28" i="9"/>
  <c r="AK28" i="9"/>
  <c r="AJ28" i="9"/>
  <c r="AI28" i="9"/>
  <c r="AQ28" i="9"/>
  <c r="AP28" i="9"/>
  <c r="AN28" i="9"/>
  <c r="AL28" i="9"/>
  <c r="AH28" i="9"/>
  <c r="AG28" i="9"/>
  <c r="AF28" i="9"/>
  <c r="AP27" i="9"/>
  <c r="AM27" i="9"/>
  <c r="AK27" i="9"/>
  <c r="AJ27" i="9"/>
  <c r="AG27" i="9"/>
  <c r="AQ27" i="9"/>
  <c r="AO27" i="9"/>
  <c r="AN27" i="9"/>
  <c r="AL27" i="9"/>
  <c r="AI27" i="9"/>
  <c r="AH27" i="9"/>
  <c r="AF27" i="9"/>
  <c r="AQ26" i="9"/>
  <c r="AP26" i="9"/>
  <c r="AO26" i="9"/>
  <c r="AM26" i="9"/>
  <c r="AK26" i="9"/>
  <c r="AI26" i="9"/>
  <c r="AN26" i="9"/>
  <c r="AL26" i="9"/>
  <c r="AJ26" i="9"/>
  <c r="AH26" i="9"/>
  <c r="AG26" i="9"/>
  <c r="AF26" i="9"/>
  <c r="AO25" i="9"/>
  <c r="AL25" i="9"/>
  <c r="AJ25" i="9"/>
  <c r="AH25" i="9"/>
  <c r="AQ25" i="9"/>
  <c r="AP25" i="9"/>
  <c r="AN25" i="9"/>
  <c r="AM25" i="9"/>
  <c r="AK25" i="9"/>
  <c r="AI25" i="9"/>
  <c r="AG25" i="9"/>
  <c r="AF25" i="9"/>
  <c r="AQ24" i="9"/>
  <c r="AO24" i="9"/>
  <c r="AN24" i="9"/>
  <c r="AM24" i="9"/>
  <c r="AK24" i="9"/>
  <c r="AI24" i="9"/>
  <c r="AP24" i="9"/>
  <c r="AL24" i="9"/>
  <c r="AJ24" i="9"/>
  <c r="AH24" i="9"/>
  <c r="AG24" i="9"/>
  <c r="AF24" i="9"/>
  <c r="AQ23" i="9"/>
  <c r="AO23" i="9"/>
  <c r="AL23" i="9"/>
  <c r="AH23" i="9"/>
  <c r="AP23" i="9"/>
  <c r="AN23" i="9"/>
  <c r="AM23" i="9"/>
  <c r="AK23" i="9"/>
  <c r="AJ23" i="9"/>
  <c r="AI23" i="9"/>
  <c r="AG23" i="9"/>
  <c r="AF23" i="9"/>
  <c r="AO22" i="9"/>
  <c r="AN22" i="9"/>
  <c r="AI22" i="9"/>
  <c r="AQ22" i="9"/>
  <c r="AP22" i="9"/>
  <c r="AM22" i="9"/>
  <c r="AL22" i="9"/>
  <c r="AK22" i="9"/>
  <c r="AJ22" i="9"/>
  <c r="AH22" i="9"/>
  <c r="AG22" i="9"/>
  <c r="AF22" i="9"/>
  <c r="AP21" i="9"/>
  <c r="AM21" i="9"/>
  <c r="AL21" i="9"/>
  <c r="AQ21" i="9"/>
  <c r="AO21" i="9"/>
  <c r="AN21" i="9"/>
  <c r="AK21" i="9"/>
  <c r="AJ21" i="9"/>
  <c r="AI21" i="9"/>
  <c r="AH21" i="9"/>
  <c r="AG21" i="9"/>
  <c r="AF21" i="9"/>
  <c r="AO20" i="9"/>
  <c r="AM20" i="9"/>
  <c r="AK20" i="9"/>
  <c r="AQ20" i="9"/>
  <c r="AP20" i="9"/>
  <c r="AN20" i="9"/>
  <c r="AL20" i="9"/>
  <c r="AJ20" i="9"/>
  <c r="AI20" i="9"/>
  <c r="AH20" i="9"/>
  <c r="AG20" i="9"/>
  <c r="AF20" i="9"/>
  <c r="AQ19" i="9"/>
  <c r="AO19" i="9"/>
  <c r="AK19" i="9"/>
  <c r="AH19" i="9"/>
  <c r="AP19" i="9"/>
  <c r="AN19" i="9"/>
  <c r="AM19" i="9"/>
  <c r="AL19" i="9"/>
  <c r="AJ19" i="9"/>
  <c r="AI19" i="9"/>
  <c r="AG19" i="9"/>
  <c r="AF19" i="9"/>
  <c r="AQ18" i="9"/>
  <c r="AO18" i="9"/>
  <c r="AN18" i="9"/>
  <c r="AM18" i="9"/>
  <c r="AK18" i="9"/>
  <c r="AP18" i="9"/>
  <c r="AL18" i="9"/>
  <c r="AJ18" i="9"/>
  <c r="AI18" i="9"/>
  <c r="AH18" i="9"/>
  <c r="AG18" i="9"/>
  <c r="AF18" i="9"/>
  <c r="AQ17" i="9"/>
  <c r="AL17" i="9"/>
  <c r="AK17" i="9"/>
  <c r="AI17" i="9"/>
  <c r="AH17" i="9"/>
  <c r="AP17" i="9"/>
  <c r="AO17" i="9"/>
  <c r="AN17" i="9"/>
  <c r="AM17" i="9"/>
  <c r="AJ17" i="9"/>
  <c r="AG17" i="9"/>
  <c r="AF17" i="9"/>
  <c r="AL16" i="9"/>
  <c r="AI16" i="9"/>
  <c r="AQ16" i="9"/>
  <c r="AP16" i="9"/>
  <c r="AO16" i="9"/>
  <c r="AN16" i="9"/>
  <c r="AM16" i="9"/>
  <c r="AK16" i="9"/>
  <c r="AJ16" i="9"/>
  <c r="AH16" i="9"/>
  <c r="AG16" i="9"/>
  <c r="AF16" i="9"/>
  <c r="AP15" i="9"/>
  <c r="AO15" i="9"/>
  <c r="AM15" i="9"/>
  <c r="AQ15" i="9"/>
  <c r="AN15" i="9"/>
  <c r="AL15" i="9"/>
  <c r="AK15" i="9"/>
  <c r="AJ15" i="9"/>
  <c r="AI15" i="9"/>
  <c r="AH15" i="9"/>
  <c r="AG15" i="9"/>
  <c r="AF15" i="9"/>
  <c r="AN14" i="9"/>
  <c r="AM14" i="9"/>
  <c r="AJ14" i="9"/>
  <c r="AG14" i="9"/>
  <c r="AQ14" i="9"/>
  <c r="AP14" i="9"/>
  <c r="AO14" i="9"/>
  <c r="AL14" i="9"/>
  <c r="AK14" i="9"/>
  <c r="AI14" i="9"/>
  <c r="AH14" i="9"/>
  <c r="AF14" i="9"/>
  <c r="AQ13" i="9"/>
  <c r="AM13" i="9"/>
  <c r="AI13" i="9"/>
  <c r="AP13" i="9"/>
  <c r="AO13" i="9"/>
  <c r="AN13" i="9"/>
  <c r="AL13" i="9"/>
  <c r="AK13" i="9"/>
  <c r="AJ13" i="9"/>
  <c r="AH13" i="9"/>
  <c r="AG13" i="9"/>
  <c r="AF13" i="9"/>
  <c r="AQ12" i="9"/>
  <c r="AO12" i="9"/>
  <c r="AN12" i="9"/>
  <c r="AM12" i="9"/>
  <c r="AJ12" i="9"/>
  <c r="AI12" i="9"/>
  <c r="AG12" i="9"/>
  <c r="AP12" i="9"/>
  <c r="AL12" i="9"/>
  <c r="AK12" i="9"/>
  <c r="AH12" i="9"/>
  <c r="AF12" i="9"/>
  <c r="AM11" i="9"/>
  <c r="AJ11" i="9"/>
  <c r="AI11" i="9"/>
  <c r="AQ11" i="9"/>
  <c r="AP11" i="9"/>
  <c r="AO11" i="9"/>
  <c r="AN11" i="9"/>
  <c r="AL11" i="9"/>
  <c r="AK11" i="9"/>
  <c r="AH11" i="9"/>
  <c r="AG11" i="9"/>
  <c r="AF11" i="9"/>
  <c r="AQ10" i="9"/>
  <c r="AP10" i="9"/>
  <c r="AK10" i="9"/>
  <c r="AJ10" i="9"/>
  <c r="AG10" i="9"/>
  <c r="AO10" i="9"/>
  <c r="AN10" i="9"/>
  <c r="AM10" i="9"/>
  <c r="AL10" i="9"/>
  <c r="AI10" i="9"/>
  <c r="AH10" i="9"/>
  <c r="AF10" i="9"/>
  <c r="AO9" i="9"/>
  <c r="AM9" i="9"/>
  <c r="AK9" i="9"/>
  <c r="AI9" i="9"/>
  <c r="AQ9" i="9"/>
  <c r="AP9" i="9"/>
  <c r="AN9" i="9"/>
  <c r="AL9" i="9"/>
  <c r="AJ9" i="9"/>
  <c r="AH9" i="9"/>
  <c r="AG9" i="9"/>
  <c r="AF9" i="9"/>
  <c r="AQ8" i="9"/>
  <c r="AP8" i="9"/>
  <c r="AO8" i="9"/>
  <c r="AL8" i="9"/>
  <c r="AI8" i="9"/>
  <c r="AN8" i="9"/>
  <c r="AM8" i="9"/>
  <c r="AK8" i="9"/>
  <c r="AJ8" i="9"/>
  <c r="AH8" i="9"/>
  <c r="AG8" i="9"/>
  <c r="AF8" i="9"/>
  <c r="BB14" i="9"/>
  <c r="BL5" i="9"/>
  <c r="BP7" i="9"/>
  <c r="BO7" i="9"/>
  <c r="BL7" i="9"/>
  <c r="BF7" i="9"/>
  <c r="AQ7" i="9"/>
  <c r="AP7" i="9"/>
  <c r="AO7" i="9"/>
  <c r="AN7" i="9"/>
  <c r="AM7" i="9"/>
  <c r="AJ7" i="9"/>
  <c r="AI7" i="9"/>
  <c r="AL7" i="9"/>
  <c r="AK7" i="9"/>
  <c r="AH7" i="9"/>
  <c r="AG7" i="9"/>
  <c r="AF7" i="9"/>
  <c r="BJ18" i="9"/>
  <c r="BF6" i="9"/>
  <c r="BE6" i="9"/>
  <c r="BB6" i="9"/>
  <c r="AQ6" i="9"/>
  <c r="AO6" i="9"/>
  <c r="AN6" i="9"/>
  <c r="AM6" i="9"/>
  <c r="AL6" i="9"/>
  <c r="AI6" i="9"/>
  <c r="AH6" i="9"/>
  <c r="AG6" i="9"/>
  <c r="AP6" i="9"/>
  <c r="AK6" i="9"/>
  <c r="AJ6" i="9"/>
  <c r="AF6" i="9"/>
  <c r="BD7" i="9"/>
  <c r="BI5" i="9"/>
  <c r="BG5" i="9"/>
  <c r="BD5" i="9"/>
  <c r="AZ5" i="9"/>
  <c r="AQ5" i="9"/>
  <c r="AN5" i="9"/>
  <c r="AM5" i="9"/>
  <c r="AK5" i="9"/>
  <c r="AJ5" i="9"/>
  <c r="AO5" i="9"/>
  <c r="AL5" i="9"/>
  <c r="W177" i="9"/>
  <c r="AI177" i="9" s="1"/>
  <c r="U177" i="9"/>
  <c r="AG177" i="9" s="1"/>
  <c r="A3" i="9"/>
  <c r="AT3" i="9" s="1"/>
  <c r="I132" i="8"/>
  <c r="H132" i="8"/>
  <c r="L82" i="8"/>
  <c r="N82" i="8" s="1"/>
  <c r="L79" i="8"/>
  <c r="N79" i="8" s="1"/>
  <c r="L25" i="8"/>
  <c r="N25" i="8" s="1"/>
  <c r="L22" i="8"/>
  <c r="N22" i="8" s="1"/>
  <c r="L18" i="8"/>
  <c r="N18" i="8" s="1"/>
  <c r="M17" i="8"/>
  <c r="O17" i="8" s="1"/>
  <c r="M16" i="8"/>
  <c r="O16" i="8" s="1"/>
  <c r="M14" i="8"/>
  <c r="O14" i="8" s="1"/>
  <c r="L13" i="8"/>
  <c r="N13" i="8" s="1"/>
  <c r="M13" i="8"/>
  <c r="O13" i="8" s="1"/>
  <c r="L11" i="8"/>
  <c r="N11" i="8" s="1"/>
  <c r="V5" i="8"/>
  <c r="L8" i="8"/>
  <c r="N8" i="8" s="1"/>
  <c r="M7" i="8"/>
  <c r="O7" i="8" s="1"/>
  <c r="L7" i="8"/>
  <c r="N7" i="8" s="1"/>
  <c r="L65" i="8"/>
  <c r="N65" i="8" s="1"/>
  <c r="K189" i="7"/>
  <c r="K185" i="7"/>
  <c r="K183" i="7"/>
  <c r="K179" i="7"/>
  <c r="K177" i="7"/>
  <c r="K173" i="7"/>
  <c r="K171" i="7"/>
  <c r="K167" i="7"/>
  <c r="K165" i="7"/>
  <c r="K161" i="7"/>
  <c r="K159" i="7"/>
  <c r="K156" i="7"/>
  <c r="K154" i="7"/>
  <c r="K153" i="7"/>
  <c r="K152" i="7"/>
  <c r="M152" i="7" s="1"/>
  <c r="K151" i="7"/>
  <c r="K150" i="7"/>
  <c r="K149" i="7"/>
  <c r="K146" i="7"/>
  <c r="M146" i="7" s="1"/>
  <c r="K145" i="7"/>
  <c r="K144" i="7"/>
  <c r="K129" i="7"/>
  <c r="M129" i="7" s="1"/>
  <c r="L129" i="7"/>
  <c r="K128" i="7"/>
  <c r="M128" i="7" s="1"/>
  <c r="L128" i="7"/>
  <c r="L127" i="7"/>
  <c r="K127" i="7"/>
  <c r="M127" i="7" s="1"/>
  <c r="K126" i="7"/>
  <c r="M126" i="7" s="1"/>
  <c r="K125" i="7"/>
  <c r="M125" i="7" s="1"/>
  <c r="L125" i="7"/>
  <c r="K124" i="7"/>
  <c r="K123" i="7"/>
  <c r="M123" i="7" s="1"/>
  <c r="L123" i="7"/>
  <c r="L122" i="7"/>
  <c r="K122" i="7"/>
  <c r="M122" i="7" s="1"/>
  <c r="L121" i="7"/>
  <c r="K121" i="7"/>
  <c r="M121" i="7" s="1"/>
  <c r="K120" i="7"/>
  <c r="M120" i="7" s="1"/>
  <c r="K119" i="7"/>
  <c r="M119" i="7" s="1"/>
  <c r="L119" i="7"/>
  <c r="K118" i="7"/>
  <c r="K117" i="7"/>
  <c r="M117" i="7" s="1"/>
  <c r="L117" i="7"/>
  <c r="L116" i="7"/>
  <c r="K116" i="7"/>
  <c r="M116" i="7" s="1"/>
  <c r="L115" i="7"/>
  <c r="K115" i="7"/>
  <c r="M115" i="7" s="1"/>
  <c r="K114" i="7"/>
  <c r="M114" i="7" s="1"/>
  <c r="K113" i="7"/>
  <c r="M113" i="7" s="1"/>
  <c r="L113" i="7"/>
  <c r="K112" i="7"/>
  <c r="K111" i="7"/>
  <c r="M111" i="7" s="1"/>
  <c r="L111" i="7"/>
  <c r="L110" i="7"/>
  <c r="K110" i="7"/>
  <c r="M110" i="7" s="1"/>
  <c r="L109" i="7"/>
  <c r="K109" i="7"/>
  <c r="M109" i="7" s="1"/>
  <c r="K108" i="7"/>
  <c r="M108" i="7" s="1"/>
  <c r="K107" i="7"/>
  <c r="M107" i="7" s="1"/>
  <c r="L107" i="7"/>
  <c r="K106" i="7"/>
  <c r="K105" i="7"/>
  <c r="M105" i="7" s="1"/>
  <c r="L105" i="7"/>
  <c r="L104" i="7"/>
  <c r="K104" i="7"/>
  <c r="M104" i="7" s="1"/>
  <c r="L103" i="7"/>
  <c r="K103" i="7"/>
  <c r="M103" i="7" s="1"/>
  <c r="K102" i="7"/>
  <c r="M102" i="7" s="1"/>
  <c r="K101" i="7"/>
  <c r="M101" i="7" s="1"/>
  <c r="L101" i="7"/>
  <c r="K100" i="7"/>
  <c r="K99" i="7"/>
  <c r="M99" i="7" s="1"/>
  <c r="L99" i="7"/>
  <c r="L98" i="7"/>
  <c r="K98" i="7"/>
  <c r="M98" i="7" s="1"/>
  <c r="L97" i="7"/>
  <c r="K97" i="7"/>
  <c r="M97" i="7" s="1"/>
  <c r="K96" i="7"/>
  <c r="M96" i="7" s="1"/>
  <c r="K95" i="7"/>
  <c r="M95" i="7" s="1"/>
  <c r="L95" i="7"/>
  <c r="K94" i="7"/>
  <c r="K93" i="7"/>
  <c r="M93" i="7" s="1"/>
  <c r="L93" i="7"/>
  <c r="L92" i="7"/>
  <c r="K92" i="7"/>
  <c r="M92" i="7" s="1"/>
  <c r="L91" i="7"/>
  <c r="K91" i="7"/>
  <c r="M91" i="7" s="1"/>
  <c r="K90" i="7"/>
  <c r="M90" i="7" s="1"/>
  <c r="K89" i="7"/>
  <c r="M89" i="7" s="1"/>
  <c r="L89" i="7"/>
  <c r="K88" i="7"/>
  <c r="K87" i="7"/>
  <c r="M87" i="7" s="1"/>
  <c r="L87" i="7"/>
  <c r="L86" i="7"/>
  <c r="K86" i="7"/>
  <c r="M86" i="7" s="1"/>
  <c r="L85" i="7"/>
  <c r="K85" i="7"/>
  <c r="M85" i="7" s="1"/>
  <c r="K84" i="7"/>
  <c r="M84" i="7" s="1"/>
  <c r="K83" i="7"/>
  <c r="M83" i="7" s="1"/>
  <c r="L83" i="7"/>
  <c r="K82" i="7"/>
  <c r="K81" i="7"/>
  <c r="M81" i="7" s="1"/>
  <c r="L81" i="7"/>
  <c r="L80" i="7"/>
  <c r="K80" i="7"/>
  <c r="M80" i="7" s="1"/>
  <c r="L79" i="7"/>
  <c r="K79" i="7"/>
  <c r="M79" i="7" s="1"/>
  <c r="K78" i="7"/>
  <c r="M78" i="7" s="1"/>
  <c r="K77" i="7"/>
  <c r="L77" i="7"/>
  <c r="K76" i="7"/>
  <c r="K75" i="7"/>
  <c r="L75" i="7"/>
  <c r="L74" i="7"/>
  <c r="K74" i="7"/>
  <c r="M74" i="7" s="1"/>
  <c r="L73" i="7"/>
  <c r="K73" i="7"/>
  <c r="M73" i="7" s="1"/>
  <c r="K72" i="7"/>
  <c r="M72" i="7" s="1"/>
  <c r="K71" i="7"/>
  <c r="L71" i="7"/>
  <c r="K70" i="7"/>
  <c r="K69" i="7"/>
  <c r="L69" i="7"/>
  <c r="L68" i="7"/>
  <c r="K68" i="7"/>
  <c r="M68" i="7" s="1"/>
  <c r="L67" i="7"/>
  <c r="K67" i="7"/>
  <c r="M67" i="7" s="1"/>
  <c r="K66" i="7"/>
  <c r="M66" i="7" s="1"/>
  <c r="K65" i="7"/>
  <c r="L65" i="7"/>
  <c r="K64" i="7"/>
  <c r="K63" i="7"/>
  <c r="L63" i="7"/>
  <c r="L62" i="7"/>
  <c r="K62" i="7"/>
  <c r="M62" i="7" s="1"/>
  <c r="L61" i="7"/>
  <c r="K61" i="7"/>
  <c r="M61" i="7" s="1"/>
  <c r="K60" i="7"/>
  <c r="M60" i="7" s="1"/>
  <c r="K59" i="7"/>
  <c r="L59" i="7"/>
  <c r="K58" i="7"/>
  <c r="K57" i="7"/>
  <c r="L57" i="7"/>
  <c r="L56" i="7"/>
  <c r="K56" i="7"/>
  <c r="M56" i="7" s="1"/>
  <c r="L55" i="7"/>
  <c r="K55" i="7"/>
  <c r="M55" i="7" s="1"/>
  <c r="K54" i="7"/>
  <c r="K53" i="7"/>
  <c r="L53" i="7"/>
  <c r="K52" i="7"/>
  <c r="K51" i="7"/>
  <c r="L51" i="7"/>
  <c r="L50" i="7"/>
  <c r="K50" i="7"/>
  <c r="M50" i="7" s="1"/>
  <c r="K49" i="7"/>
  <c r="K48" i="7"/>
  <c r="K47" i="7"/>
  <c r="L47" i="7"/>
  <c r="K46" i="7"/>
  <c r="K45" i="7"/>
  <c r="L45" i="7"/>
  <c r="L44" i="7"/>
  <c r="K44" i="7"/>
  <c r="M44" i="7" s="1"/>
  <c r="K43" i="7"/>
  <c r="K42" i="7"/>
  <c r="K41" i="7"/>
  <c r="L41" i="7"/>
  <c r="K40" i="7"/>
  <c r="K39" i="7"/>
  <c r="L39" i="7"/>
  <c r="K38" i="7"/>
  <c r="M38" i="7" s="1"/>
  <c r="K37" i="7"/>
  <c r="K36" i="7"/>
  <c r="K35" i="7"/>
  <c r="L35" i="7"/>
  <c r="K34" i="7"/>
  <c r="K33" i="7"/>
  <c r="L33" i="7" s="1"/>
  <c r="L32" i="7"/>
  <c r="K32" i="7"/>
  <c r="M32" i="7"/>
  <c r="K31" i="7"/>
  <c r="K30" i="7"/>
  <c r="K29" i="7"/>
  <c r="L29" i="7"/>
  <c r="K28" i="7"/>
  <c r="K27" i="7"/>
  <c r="L27" i="7" s="1"/>
  <c r="L26" i="7"/>
  <c r="K26" i="7"/>
  <c r="M26" i="7"/>
  <c r="K25" i="7"/>
  <c r="K24" i="7"/>
  <c r="K23" i="7"/>
  <c r="K22" i="7"/>
  <c r="K21" i="7"/>
  <c r="L21" i="7" s="1"/>
  <c r="L20" i="7"/>
  <c r="K20" i="7"/>
  <c r="M20" i="7" s="1"/>
  <c r="K19" i="7"/>
  <c r="K18" i="7"/>
  <c r="K17" i="7"/>
  <c r="K16" i="7"/>
  <c r="K15" i="7"/>
  <c r="L15" i="7" s="1"/>
  <c r="L14" i="7"/>
  <c r="K14" i="7"/>
  <c r="M14" i="7" s="1"/>
  <c r="K13" i="7"/>
  <c r="K12" i="7"/>
  <c r="K11" i="7"/>
  <c r="K10" i="7"/>
  <c r="K9" i="7"/>
  <c r="S7" i="7"/>
  <c r="K7" i="7"/>
  <c r="L7" i="7" s="1"/>
  <c r="Q6" i="7"/>
  <c r="R5" i="7"/>
  <c r="K6" i="7"/>
  <c r="M6" i="7" s="1"/>
  <c r="S5" i="7"/>
  <c r="S8" i="7"/>
  <c r="A3" i="7"/>
  <c r="P3" i="7" s="1"/>
  <c r="K147" i="7"/>
  <c r="J231" i="6"/>
  <c r="L231" i="6" s="1"/>
  <c r="J222" i="6"/>
  <c r="L222" i="6" s="1"/>
  <c r="J213" i="6"/>
  <c r="L213" i="6" s="1"/>
  <c r="J190" i="6"/>
  <c r="L190" i="6" s="1"/>
  <c r="J185" i="6"/>
  <c r="L185" i="6" s="1"/>
  <c r="J169" i="6"/>
  <c r="L169" i="6" s="1"/>
  <c r="J168" i="6"/>
  <c r="L168" i="6" s="1"/>
  <c r="J166" i="6"/>
  <c r="L166" i="6" s="1"/>
  <c r="J157" i="6"/>
  <c r="L157" i="6" s="1"/>
  <c r="J155" i="6"/>
  <c r="L155" i="6" s="1"/>
  <c r="J154" i="6"/>
  <c r="L154" i="6" s="1"/>
  <c r="J149" i="6"/>
  <c r="L149" i="6" s="1"/>
  <c r="J148" i="6"/>
  <c r="L148" i="6" s="1"/>
  <c r="J144" i="6"/>
  <c r="L144" i="6" s="1"/>
  <c r="J136" i="6"/>
  <c r="L136" i="6" s="1"/>
  <c r="J133" i="6"/>
  <c r="L133" i="6" s="1"/>
  <c r="J132" i="6"/>
  <c r="L132" i="6" s="1"/>
  <c r="J130" i="6"/>
  <c r="L130" i="6" s="1"/>
  <c r="J121" i="6"/>
  <c r="L121" i="6" s="1"/>
  <c r="J119" i="6"/>
  <c r="L119" i="6" s="1"/>
  <c r="J118" i="6"/>
  <c r="L118" i="6" s="1"/>
  <c r="J113" i="6"/>
  <c r="L113" i="6" s="1"/>
  <c r="J112" i="6"/>
  <c r="L112" i="6" s="1"/>
  <c r="J108" i="6"/>
  <c r="L108" i="6" s="1"/>
  <c r="J101" i="6"/>
  <c r="L101" i="6" s="1"/>
  <c r="J100" i="6"/>
  <c r="L100" i="6" s="1"/>
  <c r="J97" i="6"/>
  <c r="L97" i="6" s="1"/>
  <c r="J96" i="6"/>
  <c r="L96" i="6" s="1"/>
  <c r="J94" i="6"/>
  <c r="L94" i="6" s="1"/>
  <c r="J85" i="6"/>
  <c r="L85" i="6" s="1"/>
  <c r="J83" i="6"/>
  <c r="L83" i="6" s="1"/>
  <c r="J82" i="6"/>
  <c r="L82" i="6" s="1"/>
  <c r="J77" i="6"/>
  <c r="L77" i="6" s="1"/>
  <c r="J76" i="6"/>
  <c r="L76" i="6" s="1"/>
  <c r="J72" i="6"/>
  <c r="L72" i="6" s="1"/>
  <c r="J71" i="6"/>
  <c r="L71" i="6" s="1"/>
  <c r="J65" i="6"/>
  <c r="L65" i="6" s="1"/>
  <c r="J64" i="6"/>
  <c r="L64" i="6" s="1"/>
  <c r="J61" i="6"/>
  <c r="L61" i="6" s="1"/>
  <c r="J60" i="6"/>
  <c r="L60" i="6" s="1"/>
  <c r="J58" i="6"/>
  <c r="L58" i="6" s="1"/>
  <c r="J49" i="6"/>
  <c r="L49" i="6" s="1"/>
  <c r="J47" i="6"/>
  <c r="L47" i="6" s="1"/>
  <c r="J46" i="6"/>
  <c r="L46" i="6" s="1"/>
  <c r="J43" i="6"/>
  <c r="L43" i="6" s="1"/>
  <c r="J41" i="6"/>
  <c r="L41" i="6" s="1"/>
  <c r="J40" i="6"/>
  <c r="L40" i="6" s="1"/>
  <c r="J39" i="6"/>
  <c r="L39" i="6" s="1"/>
  <c r="J34" i="6"/>
  <c r="L34" i="6" s="1"/>
  <c r="J31" i="6"/>
  <c r="L31" i="6" s="1"/>
  <c r="J26" i="6"/>
  <c r="L26" i="6" s="1"/>
  <c r="P25" i="6"/>
  <c r="J24" i="6"/>
  <c r="L24" i="6" s="1"/>
  <c r="J23" i="6"/>
  <c r="L23" i="6" s="1"/>
  <c r="J22" i="6"/>
  <c r="L22" i="6" s="1"/>
  <c r="P20" i="6"/>
  <c r="J19" i="6"/>
  <c r="L19" i="6" s="1"/>
  <c r="J17" i="6"/>
  <c r="L17" i="6" s="1"/>
  <c r="J15" i="6"/>
  <c r="L15" i="6" s="1"/>
  <c r="J14" i="6"/>
  <c r="L14" i="6" s="1"/>
  <c r="J13" i="6"/>
  <c r="L13" i="6" s="1"/>
  <c r="J9" i="6"/>
  <c r="L9" i="6" s="1"/>
  <c r="S7" i="6"/>
  <c r="J6" i="6"/>
  <c r="L6" i="6" s="1"/>
  <c r="A3" i="6"/>
  <c r="O3" i="6" s="1"/>
  <c r="J174" i="6"/>
  <c r="L174" i="6" s="1"/>
  <c r="K160" i="5"/>
  <c r="K138" i="5"/>
  <c r="K132" i="5"/>
  <c r="K126" i="5"/>
  <c r="K123" i="5"/>
  <c r="K120" i="5"/>
  <c r="K118" i="5"/>
  <c r="K117" i="5"/>
  <c r="K114" i="5"/>
  <c r="K112" i="5"/>
  <c r="K111" i="5"/>
  <c r="K108" i="5"/>
  <c r="K106" i="5"/>
  <c r="K105" i="5"/>
  <c r="K102" i="5"/>
  <c r="K100" i="5"/>
  <c r="K99" i="5"/>
  <c r="K96" i="5"/>
  <c r="K94" i="5"/>
  <c r="K93" i="5"/>
  <c r="K90" i="5"/>
  <c r="K88" i="5"/>
  <c r="K87" i="5"/>
  <c r="K84" i="5"/>
  <c r="K82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0" i="5"/>
  <c r="L30" i="5" s="1"/>
  <c r="K29" i="5"/>
  <c r="K28" i="5"/>
  <c r="K26" i="5"/>
  <c r="L26" i="5" s="1"/>
  <c r="K24" i="5"/>
  <c r="K23" i="5"/>
  <c r="K22" i="5"/>
  <c r="K21" i="5"/>
  <c r="M20" i="5"/>
  <c r="K20" i="5"/>
  <c r="L18" i="5"/>
  <c r="K18" i="5"/>
  <c r="M18" i="5" s="1"/>
  <c r="L17" i="5"/>
  <c r="K17" i="5"/>
  <c r="M17" i="5" s="1"/>
  <c r="M16" i="5"/>
  <c r="K16" i="5"/>
  <c r="L16" i="5" s="1"/>
  <c r="K15" i="5"/>
  <c r="S31" i="5"/>
  <c r="L14" i="5"/>
  <c r="K14" i="5"/>
  <c r="M14" i="5" s="1"/>
  <c r="K13" i="5"/>
  <c r="S5" i="5"/>
  <c r="K12" i="5"/>
  <c r="K11" i="5"/>
  <c r="R6" i="5"/>
  <c r="K10" i="5"/>
  <c r="M9" i="5"/>
  <c r="K9" i="5"/>
  <c r="L9" i="5" s="1"/>
  <c r="K8" i="5"/>
  <c r="M7" i="5"/>
  <c r="K7" i="5"/>
  <c r="L7" i="5" s="1"/>
  <c r="K6" i="5"/>
  <c r="S23" i="5"/>
  <c r="K173" i="5"/>
  <c r="K202" i="4"/>
  <c r="K199" i="4"/>
  <c r="K193" i="4"/>
  <c r="K187" i="4"/>
  <c r="K181" i="4"/>
  <c r="K175" i="4"/>
  <c r="K169" i="4"/>
  <c r="K163" i="4"/>
  <c r="K157" i="4"/>
  <c r="K151" i="4"/>
  <c r="K145" i="4"/>
  <c r="K139" i="4"/>
  <c r="K133" i="4"/>
  <c r="K130" i="4"/>
  <c r="K127" i="4"/>
  <c r="K121" i="4"/>
  <c r="K115" i="4"/>
  <c r="K109" i="4"/>
  <c r="K103" i="4"/>
  <c r="K97" i="4"/>
  <c r="K91" i="4"/>
  <c r="K85" i="4"/>
  <c r="K79" i="4"/>
  <c r="K73" i="4"/>
  <c r="K67" i="4"/>
  <c r="K65" i="4"/>
  <c r="K63" i="4"/>
  <c r="K62" i="4"/>
  <c r="K61" i="4"/>
  <c r="K59" i="4"/>
  <c r="K57" i="4"/>
  <c r="K55" i="4"/>
  <c r="K53" i="4"/>
  <c r="K51" i="4"/>
  <c r="K50" i="4"/>
  <c r="K49" i="4"/>
  <c r="K47" i="4"/>
  <c r="K45" i="4"/>
  <c r="K43" i="4"/>
  <c r="K41" i="4"/>
  <c r="K39" i="4"/>
  <c r="K38" i="4"/>
  <c r="K37" i="4"/>
  <c r="K35" i="4"/>
  <c r="S6" i="4"/>
  <c r="K33" i="4"/>
  <c r="K31" i="4"/>
  <c r="Q6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S29" i="4"/>
  <c r="H203" i="4"/>
  <c r="R5" i="4"/>
  <c r="K176" i="4"/>
  <c r="S5" i="3"/>
  <c r="Q7" i="3"/>
  <c r="K11" i="3"/>
  <c r="K8" i="3"/>
  <c r="J197" i="3"/>
  <c r="K67" i="3"/>
  <c r="K63" i="2"/>
  <c r="L63" i="2" s="1"/>
  <c r="M62" i="2"/>
  <c r="K62" i="2"/>
  <c r="K61" i="2"/>
  <c r="L61" i="2" s="1"/>
  <c r="M60" i="2"/>
  <c r="K60" i="2"/>
  <c r="L60" i="2" s="1"/>
  <c r="K59" i="2"/>
  <c r="L59" i="2" s="1"/>
  <c r="K58" i="2"/>
  <c r="M58" i="2"/>
  <c r="K57" i="2"/>
  <c r="K56" i="2"/>
  <c r="M56" i="2"/>
  <c r="K55" i="2"/>
  <c r="L55" i="2" s="1"/>
  <c r="K54" i="2"/>
  <c r="L54" i="2" s="1"/>
  <c r="K53" i="2"/>
  <c r="M52" i="2"/>
  <c r="K52" i="2"/>
  <c r="K51" i="2"/>
  <c r="L51" i="2" s="1"/>
  <c r="M50" i="2"/>
  <c r="K50" i="2"/>
  <c r="L50" i="2" s="1"/>
  <c r="K49" i="2"/>
  <c r="L49" i="2" s="1"/>
  <c r="M48" i="2"/>
  <c r="K48" i="2"/>
  <c r="L48" i="2" s="1"/>
  <c r="K47" i="2"/>
  <c r="L47" i="2" s="1"/>
  <c r="K46" i="2"/>
  <c r="M46" i="2"/>
  <c r="K45" i="2"/>
  <c r="K44" i="2"/>
  <c r="M44" i="2"/>
  <c r="K43" i="2"/>
  <c r="L43" i="2" s="1"/>
  <c r="K42" i="2"/>
  <c r="L42" i="2" s="1"/>
  <c r="K41" i="2"/>
  <c r="M40" i="2"/>
  <c r="K40" i="2"/>
  <c r="K39" i="2"/>
  <c r="L39" i="2" s="1"/>
  <c r="M38" i="2"/>
  <c r="K38" i="2"/>
  <c r="L38" i="2" s="1"/>
  <c r="K37" i="2"/>
  <c r="L37" i="2" s="1"/>
  <c r="M36" i="2"/>
  <c r="K36" i="2"/>
  <c r="L36" i="2" s="1"/>
  <c r="K35" i="2"/>
  <c r="L35" i="2" s="1"/>
  <c r="K34" i="2"/>
  <c r="M34" i="2"/>
  <c r="K33" i="2"/>
  <c r="K32" i="2"/>
  <c r="M32" i="2"/>
  <c r="K31" i="2"/>
  <c r="L31" i="2" s="1"/>
  <c r="K30" i="2"/>
  <c r="L30" i="2" s="1"/>
  <c r="K29" i="2"/>
  <c r="M28" i="2"/>
  <c r="K28" i="2"/>
  <c r="S20" i="2"/>
  <c r="K27" i="2"/>
  <c r="L27" i="2" s="1"/>
  <c r="M26" i="2"/>
  <c r="K26" i="2"/>
  <c r="L26" i="2" s="1"/>
  <c r="K25" i="2"/>
  <c r="L25" i="2" s="1"/>
  <c r="M24" i="2"/>
  <c r="K24" i="2"/>
  <c r="L24" i="2" s="1"/>
  <c r="K23" i="2"/>
  <c r="L23" i="2" s="1"/>
  <c r="K22" i="2"/>
  <c r="M22" i="2"/>
  <c r="M21" i="2"/>
  <c r="L21" i="2"/>
  <c r="K21" i="2"/>
  <c r="K20" i="2"/>
  <c r="K19" i="2"/>
  <c r="L19" i="2" s="1"/>
  <c r="M19" i="2"/>
  <c r="M18" i="2"/>
  <c r="K18" i="2"/>
  <c r="L18" i="2" s="1"/>
  <c r="T17" i="2"/>
  <c r="L17" i="2"/>
  <c r="K17" i="2"/>
  <c r="M17" i="2"/>
  <c r="L16" i="2"/>
  <c r="K16" i="2"/>
  <c r="M16" i="2"/>
  <c r="M15" i="2"/>
  <c r="K15" i="2"/>
  <c r="L15" i="2" s="1"/>
  <c r="M14" i="2"/>
  <c r="K14" i="2"/>
  <c r="L14" i="2"/>
  <c r="K13" i="2"/>
  <c r="M13" i="2" s="1"/>
  <c r="L13" i="2"/>
  <c r="Q12" i="2"/>
  <c r="M12" i="2"/>
  <c r="L12" i="2"/>
  <c r="K12" i="2"/>
  <c r="K11" i="2"/>
  <c r="M11" i="2" s="1"/>
  <c r="K10" i="2"/>
  <c r="M10" i="2" s="1"/>
  <c r="R14" i="2"/>
  <c r="K9" i="2"/>
  <c r="M9" i="2" s="1"/>
  <c r="K8" i="2"/>
  <c r="M8" i="2" s="1"/>
  <c r="L7" i="2"/>
  <c r="K7" i="2"/>
  <c r="M7" i="2"/>
  <c r="R5" i="2"/>
  <c r="L6" i="2"/>
  <c r="K6" i="2"/>
  <c r="H64" i="2"/>
  <c r="S18" i="2"/>
  <c r="S6" i="2"/>
  <c r="R12" i="2"/>
  <c r="Q6" i="2"/>
  <c r="A3" i="2"/>
  <c r="P3" i="2" s="1"/>
  <c r="R36" i="1"/>
  <c r="S36" i="1"/>
  <c r="R35" i="1"/>
  <c r="K35" i="1"/>
  <c r="R34" i="1"/>
  <c r="S34" i="1"/>
  <c r="K34" i="1"/>
  <c r="S33" i="1"/>
  <c r="R33" i="1"/>
  <c r="K33" i="1"/>
  <c r="S32" i="1"/>
  <c r="R32" i="1"/>
  <c r="R31" i="1"/>
  <c r="K31" i="1"/>
  <c r="H37" i="1"/>
  <c r="S30" i="1"/>
  <c r="R30" i="1"/>
  <c r="R29" i="1"/>
  <c r="K29" i="1"/>
  <c r="S28" i="1"/>
  <c r="R28" i="1"/>
  <c r="K28" i="1"/>
  <c r="M28" i="1" s="1"/>
  <c r="R27" i="1"/>
  <c r="K27" i="1"/>
  <c r="S26" i="1"/>
  <c r="R26" i="1"/>
  <c r="S25" i="1"/>
  <c r="R25" i="1"/>
  <c r="K25" i="1"/>
  <c r="R24" i="1"/>
  <c r="S24" i="1"/>
  <c r="K24" i="1"/>
  <c r="R23" i="1"/>
  <c r="K23" i="1"/>
  <c r="R22" i="1"/>
  <c r="S22" i="1"/>
  <c r="S21" i="1"/>
  <c r="R21" i="1"/>
  <c r="S20" i="1"/>
  <c r="R20" i="1"/>
  <c r="S19" i="1"/>
  <c r="R19" i="1"/>
  <c r="K19" i="1"/>
  <c r="M19" i="1" s="1"/>
  <c r="Y18" i="1"/>
  <c r="S18" i="1"/>
  <c r="R18" i="1"/>
  <c r="W17" i="1"/>
  <c r="R17" i="1"/>
  <c r="S17" i="1"/>
  <c r="K17" i="1"/>
  <c r="R16" i="1"/>
  <c r="S16" i="1"/>
  <c r="S15" i="1"/>
  <c r="R15" i="1"/>
  <c r="Y5" i="1"/>
  <c r="S14" i="1"/>
  <c r="R14" i="1"/>
  <c r="S13" i="1"/>
  <c r="R13" i="1"/>
  <c r="K13" i="1"/>
  <c r="S12" i="1"/>
  <c r="R12" i="1"/>
  <c r="K12" i="1"/>
  <c r="S11" i="1"/>
  <c r="R11" i="1"/>
  <c r="K11" i="1"/>
  <c r="S10" i="1"/>
  <c r="R10" i="1"/>
  <c r="K10" i="1"/>
  <c r="R9" i="1"/>
  <c r="S9" i="1"/>
  <c r="K9" i="1"/>
  <c r="S8" i="1"/>
  <c r="R8" i="1"/>
  <c r="K8" i="1"/>
  <c r="S7" i="1"/>
  <c r="R7" i="1"/>
  <c r="K7" i="1"/>
  <c r="S6" i="1"/>
  <c r="R6" i="1"/>
  <c r="K6" i="1"/>
  <c r="Q37" i="1"/>
  <c r="S37" i="1" s="1"/>
  <c r="P37" i="1"/>
  <c r="O37" i="1"/>
  <c r="N37" i="1"/>
  <c r="J37" i="1"/>
  <c r="I37" i="1"/>
  <c r="Y17" i="1"/>
  <c r="A3" i="1"/>
  <c r="V3" i="1" s="1"/>
  <c r="K26" i="1"/>
  <c r="M31" i="1" l="1"/>
  <c r="L31" i="1"/>
  <c r="M11" i="3"/>
  <c r="L11" i="3"/>
  <c r="M6" i="1"/>
  <c r="L6" i="1"/>
  <c r="M23" i="1"/>
  <c r="L23" i="1"/>
  <c r="M26" i="1"/>
  <c r="L26" i="1"/>
  <c r="R37" i="1"/>
  <c r="M7" i="1"/>
  <c r="L7" i="1"/>
  <c r="M17" i="1"/>
  <c r="L17" i="1"/>
  <c r="M24" i="1"/>
  <c r="L24" i="1"/>
  <c r="M8" i="1"/>
  <c r="L8" i="1"/>
  <c r="M33" i="1"/>
  <c r="L33" i="1"/>
  <c r="M9" i="1"/>
  <c r="L9" i="1"/>
  <c r="M25" i="1"/>
  <c r="L25" i="1"/>
  <c r="M34" i="1"/>
  <c r="L34" i="1"/>
  <c r="M10" i="1"/>
  <c r="L10" i="1"/>
  <c r="M27" i="1"/>
  <c r="L27" i="1"/>
  <c r="M35" i="1"/>
  <c r="L35" i="1"/>
  <c r="M11" i="1"/>
  <c r="L11" i="1"/>
  <c r="M12" i="1"/>
  <c r="L12" i="1"/>
  <c r="M13" i="1"/>
  <c r="L13" i="1"/>
  <c r="M29" i="1"/>
  <c r="L29" i="1"/>
  <c r="M67" i="3"/>
  <c r="L67" i="3"/>
  <c r="M8" i="3"/>
  <c r="L8" i="3"/>
  <c r="W15" i="1"/>
  <c r="Y16" i="1"/>
  <c r="K36" i="1"/>
  <c r="S19" i="2"/>
  <c r="R10" i="2"/>
  <c r="Q13" i="2"/>
  <c r="R31" i="3"/>
  <c r="R29" i="3"/>
  <c r="R27" i="3"/>
  <c r="R25" i="3"/>
  <c r="R23" i="3"/>
  <c r="R21" i="3"/>
  <c r="R19" i="3"/>
  <c r="R17" i="3"/>
  <c r="R15" i="3"/>
  <c r="R13" i="3"/>
  <c r="S30" i="3"/>
  <c r="S28" i="3"/>
  <c r="S26" i="3"/>
  <c r="S24" i="3"/>
  <c r="S22" i="3"/>
  <c r="S20" i="3"/>
  <c r="S18" i="3"/>
  <c r="S16" i="3"/>
  <c r="S14" i="3"/>
  <c r="S12" i="3"/>
  <c r="R30" i="3"/>
  <c r="R28" i="3"/>
  <c r="R26" i="3"/>
  <c r="R24" i="3"/>
  <c r="R22" i="3"/>
  <c r="R20" i="3"/>
  <c r="R18" i="3"/>
  <c r="R16" i="3"/>
  <c r="R14" i="3"/>
  <c r="R12" i="3"/>
  <c r="Q30" i="3"/>
  <c r="Q28" i="3"/>
  <c r="Q26" i="3"/>
  <c r="Q24" i="3"/>
  <c r="Q22" i="3"/>
  <c r="Q20" i="3"/>
  <c r="Q18" i="3"/>
  <c r="Q16" i="3"/>
  <c r="Q14" i="3"/>
  <c r="Q12" i="3"/>
  <c r="S15" i="3"/>
  <c r="K16" i="3"/>
  <c r="S21" i="3"/>
  <c r="K22" i="3"/>
  <c r="S27" i="3"/>
  <c r="K28" i="3"/>
  <c r="K42" i="3"/>
  <c r="K54" i="3"/>
  <c r="K66" i="3"/>
  <c r="K140" i="3"/>
  <c r="X15" i="1"/>
  <c r="S23" i="1"/>
  <c r="S35" i="1"/>
  <c r="M6" i="2"/>
  <c r="S10" i="2"/>
  <c r="L11" i="2"/>
  <c r="R13" i="2"/>
  <c r="Q19" i="2"/>
  <c r="M31" i="2"/>
  <c r="M43" i="2"/>
  <c r="M55" i="2"/>
  <c r="K17" i="3"/>
  <c r="K23" i="3"/>
  <c r="K29" i="3"/>
  <c r="K41" i="3"/>
  <c r="K53" i="3"/>
  <c r="K65" i="3"/>
  <c r="K77" i="3"/>
  <c r="R9" i="4"/>
  <c r="R5" i="1"/>
  <c r="W14" i="1"/>
  <c r="Y15" i="1"/>
  <c r="K16" i="1"/>
  <c r="W20" i="1"/>
  <c r="K22" i="1"/>
  <c r="T13" i="2"/>
  <c r="Q16" i="2"/>
  <c r="R19" i="2"/>
  <c r="L20" i="2"/>
  <c r="L29" i="2"/>
  <c r="M30" i="2"/>
  <c r="L41" i="2"/>
  <c r="M42" i="2"/>
  <c r="L53" i="2"/>
  <c r="M54" i="2"/>
  <c r="S7" i="3"/>
  <c r="K40" i="3"/>
  <c r="K52" i="3"/>
  <c r="K64" i="3"/>
  <c r="K92" i="3"/>
  <c r="K152" i="3"/>
  <c r="L7" i="4"/>
  <c r="M7" i="4"/>
  <c r="M11" i="4"/>
  <c r="L11" i="4"/>
  <c r="L15" i="4"/>
  <c r="M15" i="4"/>
  <c r="L19" i="4"/>
  <c r="M19" i="4"/>
  <c r="L23" i="4"/>
  <c r="M23" i="4"/>
  <c r="L27" i="4"/>
  <c r="M27" i="4"/>
  <c r="L31" i="4"/>
  <c r="M31" i="4"/>
  <c r="L35" i="4"/>
  <c r="M35" i="4"/>
  <c r="L39" i="4"/>
  <c r="M39" i="4"/>
  <c r="L43" i="4"/>
  <c r="M43" i="4"/>
  <c r="L47" i="4"/>
  <c r="M47" i="4"/>
  <c r="L51" i="4"/>
  <c r="M51" i="4"/>
  <c r="L55" i="4"/>
  <c r="M55" i="4"/>
  <c r="L59" i="4"/>
  <c r="M59" i="4"/>
  <c r="L63" i="4"/>
  <c r="M63" i="4"/>
  <c r="L67" i="4"/>
  <c r="M67" i="4"/>
  <c r="L79" i="4"/>
  <c r="M79" i="4"/>
  <c r="L91" i="4"/>
  <c r="M91" i="4"/>
  <c r="L103" i="4"/>
  <c r="M103" i="4"/>
  <c r="L115" i="4"/>
  <c r="M115" i="4"/>
  <c r="L127" i="4"/>
  <c r="M127" i="4"/>
  <c r="L139" i="4"/>
  <c r="M139" i="4"/>
  <c r="L151" i="4"/>
  <c r="M151" i="4"/>
  <c r="L163" i="4"/>
  <c r="M163" i="4"/>
  <c r="L175" i="4"/>
  <c r="M175" i="4"/>
  <c r="L187" i="4"/>
  <c r="M187" i="4"/>
  <c r="L199" i="4"/>
  <c r="M199" i="4"/>
  <c r="S5" i="1"/>
  <c r="X14" i="1"/>
  <c r="X20" i="1"/>
  <c r="R6" i="2"/>
  <c r="R7" i="2" s="1"/>
  <c r="Q11" i="2"/>
  <c r="R16" i="2"/>
  <c r="T19" i="2"/>
  <c r="M20" i="2"/>
  <c r="L28" i="2"/>
  <c r="M29" i="2"/>
  <c r="L40" i="2"/>
  <c r="M41" i="2"/>
  <c r="L52" i="2"/>
  <c r="M53" i="2"/>
  <c r="K9" i="3"/>
  <c r="Q17" i="3"/>
  <c r="Q23" i="3"/>
  <c r="Q29" i="3"/>
  <c r="K39" i="3"/>
  <c r="K51" i="3"/>
  <c r="K63" i="3"/>
  <c r="K101" i="3"/>
  <c r="W5" i="1"/>
  <c r="W7" i="1" s="1"/>
  <c r="W6" i="1"/>
  <c r="W10" i="1"/>
  <c r="W21" i="1" s="1"/>
  <c r="W11" i="1"/>
  <c r="W12" i="1"/>
  <c r="W13" i="1"/>
  <c r="Y14" i="1"/>
  <c r="K15" i="1"/>
  <c r="Z15" i="1" s="1"/>
  <c r="W19" i="1"/>
  <c r="Y20" i="1"/>
  <c r="K21" i="1"/>
  <c r="K32" i="1"/>
  <c r="Z19" i="1" s="1"/>
  <c r="R11" i="2"/>
  <c r="S16" i="2"/>
  <c r="Q20" i="2"/>
  <c r="H197" i="3"/>
  <c r="K12" i="3"/>
  <c r="S17" i="3"/>
  <c r="K18" i="3"/>
  <c r="S23" i="3"/>
  <c r="K24" i="3"/>
  <c r="T22" i="3" s="1"/>
  <c r="S29" i="3"/>
  <c r="K30" i="3"/>
  <c r="K38" i="3"/>
  <c r="K50" i="3"/>
  <c r="K62" i="3"/>
  <c r="K86" i="3"/>
  <c r="K91" i="3"/>
  <c r="K164" i="3"/>
  <c r="X5" i="1"/>
  <c r="X6" i="1"/>
  <c r="X10" i="1"/>
  <c r="X11" i="1"/>
  <c r="X12" i="1"/>
  <c r="X13" i="1"/>
  <c r="Z14" i="1"/>
  <c r="X19" i="1"/>
  <c r="S31" i="1"/>
  <c r="T11" i="2"/>
  <c r="Q14" i="2"/>
  <c r="R20" i="2"/>
  <c r="M27" i="2"/>
  <c r="M39" i="2"/>
  <c r="M51" i="2"/>
  <c r="L62" i="2"/>
  <c r="M63" i="2"/>
  <c r="I197" i="3"/>
  <c r="K13" i="3"/>
  <c r="T15" i="3" s="1"/>
  <c r="K19" i="3"/>
  <c r="K25" i="3"/>
  <c r="K31" i="3"/>
  <c r="K37" i="3"/>
  <c r="K49" i="3"/>
  <c r="K61" i="3"/>
  <c r="M6" i="4"/>
  <c r="L6" i="4"/>
  <c r="M10" i="4"/>
  <c r="L10" i="4"/>
  <c r="M14" i="4"/>
  <c r="L14" i="4"/>
  <c r="M18" i="4"/>
  <c r="L18" i="4"/>
  <c r="M22" i="4"/>
  <c r="L22" i="4"/>
  <c r="M26" i="4"/>
  <c r="L26" i="4"/>
  <c r="M30" i="4"/>
  <c r="L30" i="4"/>
  <c r="L38" i="4"/>
  <c r="M38" i="4"/>
  <c r="L50" i="4"/>
  <c r="M50" i="4"/>
  <c r="L62" i="4"/>
  <c r="M62" i="4"/>
  <c r="L130" i="4"/>
  <c r="M130" i="4"/>
  <c r="L202" i="4"/>
  <c r="M202" i="4"/>
  <c r="Y6" i="1"/>
  <c r="Y7" i="1" s="1"/>
  <c r="Y10" i="1"/>
  <c r="Y11" i="1"/>
  <c r="Y12" i="1"/>
  <c r="Y13" i="1"/>
  <c r="K14" i="1"/>
  <c r="W18" i="1"/>
  <c r="Y19" i="1"/>
  <c r="K20" i="1"/>
  <c r="Z5" i="1" s="1"/>
  <c r="K30" i="1"/>
  <c r="Z20" i="1" s="1"/>
  <c r="K5" i="2"/>
  <c r="J64" i="2"/>
  <c r="Q17" i="2"/>
  <c r="V17" i="2" s="1"/>
  <c r="K10" i="3"/>
  <c r="T13" i="3" s="1"/>
  <c r="K36" i="3"/>
  <c r="K48" i="3"/>
  <c r="K60" i="3"/>
  <c r="K80" i="3"/>
  <c r="K104" i="3"/>
  <c r="K176" i="3"/>
  <c r="K5" i="1"/>
  <c r="Z6" i="1" s="1"/>
  <c r="Z10" i="1"/>
  <c r="Z11" i="1"/>
  <c r="Z12" i="1"/>
  <c r="Z13" i="1"/>
  <c r="X18" i="1"/>
  <c r="S29" i="1"/>
  <c r="S14" i="2"/>
  <c r="R17" i="2"/>
  <c r="U17" i="2" s="1"/>
  <c r="M25" i="2"/>
  <c r="M37" i="2"/>
  <c r="M49" i="2"/>
  <c r="M61" i="2"/>
  <c r="I64" i="2"/>
  <c r="K5" i="3"/>
  <c r="Q13" i="3"/>
  <c r="Q19" i="3"/>
  <c r="Q25" i="3"/>
  <c r="Q31" i="3"/>
  <c r="K35" i="3"/>
  <c r="K47" i="3"/>
  <c r="K59" i="3"/>
  <c r="S13" i="3"/>
  <c r="K14" i="3"/>
  <c r="T23" i="3" s="1"/>
  <c r="S19" i="3"/>
  <c r="K20" i="3"/>
  <c r="S25" i="3"/>
  <c r="K26" i="3"/>
  <c r="S31" i="3"/>
  <c r="K32" i="3"/>
  <c r="K34" i="3"/>
  <c r="K46" i="3"/>
  <c r="K58" i="3"/>
  <c r="K74" i="3"/>
  <c r="K79" i="3"/>
  <c r="K116" i="3"/>
  <c r="K188" i="3"/>
  <c r="L9" i="4"/>
  <c r="M9" i="4"/>
  <c r="L13" i="4"/>
  <c r="M13" i="4"/>
  <c r="L17" i="4"/>
  <c r="M17" i="4"/>
  <c r="L21" i="4"/>
  <c r="M21" i="4"/>
  <c r="L25" i="4"/>
  <c r="M25" i="4"/>
  <c r="L29" i="4"/>
  <c r="M29" i="4"/>
  <c r="L33" i="4"/>
  <c r="M33" i="4"/>
  <c r="L37" i="4"/>
  <c r="M37" i="4"/>
  <c r="L41" i="4"/>
  <c r="M41" i="4"/>
  <c r="L45" i="4"/>
  <c r="M45" i="4"/>
  <c r="L49" i="4"/>
  <c r="M49" i="4"/>
  <c r="L53" i="4"/>
  <c r="M53" i="4"/>
  <c r="L57" i="4"/>
  <c r="M57" i="4"/>
  <c r="L61" i="4"/>
  <c r="M61" i="4"/>
  <c r="L65" i="4"/>
  <c r="M65" i="4"/>
  <c r="L73" i="4"/>
  <c r="M73" i="4"/>
  <c r="L85" i="4"/>
  <c r="M85" i="4"/>
  <c r="L97" i="4"/>
  <c r="M97" i="4"/>
  <c r="L109" i="4"/>
  <c r="M109" i="4"/>
  <c r="L121" i="4"/>
  <c r="M121" i="4"/>
  <c r="L133" i="4"/>
  <c r="M133" i="4"/>
  <c r="L145" i="4"/>
  <c r="M145" i="4"/>
  <c r="L157" i="4"/>
  <c r="M157" i="4"/>
  <c r="L169" i="4"/>
  <c r="M169" i="4"/>
  <c r="L181" i="4"/>
  <c r="M181" i="4"/>
  <c r="L193" i="4"/>
  <c r="M193" i="4"/>
  <c r="X17" i="1"/>
  <c r="Z18" i="1"/>
  <c r="L19" i="1"/>
  <c r="S27" i="1"/>
  <c r="L28" i="1"/>
  <c r="Q5" i="2"/>
  <c r="Q7" i="2" s="1"/>
  <c r="L8" i="2"/>
  <c r="L9" i="2"/>
  <c r="L10" i="2"/>
  <c r="Q15" i="2"/>
  <c r="Q18" i="2"/>
  <c r="L22" i="2"/>
  <c r="M23" i="2"/>
  <c r="L34" i="2"/>
  <c r="M35" i="2"/>
  <c r="L46" i="2"/>
  <c r="M47" i="2"/>
  <c r="L58" i="2"/>
  <c r="M59" i="2"/>
  <c r="A3" i="3"/>
  <c r="P3" i="3" s="1"/>
  <c r="Q5" i="3"/>
  <c r="K15" i="3"/>
  <c r="K21" i="3"/>
  <c r="T20" i="3" s="1"/>
  <c r="K27" i="3"/>
  <c r="K33" i="3"/>
  <c r="K45" i="3"/>
  <c r="K57" i="3"/>
  <c r="K89" i="3"/>
  <c r="W16" i="1"/>
  <c r="K18" i="1"/>
  <c r="S12" i="2"/>
  <c r="R15" i="2"/>
  <c r="R18" i="2"/>
  <c r="L33" i="2"/>
  <c r="L45" i="2"/>
  <c r="L57" i="2"/>
  <c r="K6" i="3"/>
  <c r="T26" i="3"/>
  <c r="K44" i="3"/>
  <c r="K56" i="3"/>
  <c r="K68" i="3"/>
  <c r="K128" i="3"/>
  <c r="X16" i="1"/>
  <c r="S5" i="2"/>
  <c r="S7" i="2" s="1"/>
  <c r="T6" i="2"/>
  <c r="T5" i="2"/>
  <c r="Q10" i="2"/>
  <c r="T15" i="2"/>
  <c r="L32" i="2"/>
  <c r="M33" i="2"/>
  <c r="L44" i="2"/>
  <c r="M45" i="2"/>
  <c r="L56" i="2"/>
  <c r="M57" i="2"/>
  <c r="R7" i="3"/>
  <c r="K7" i="3"/>
  <c r="Q15" i="3"/>
  <c r="Q21" i="3"/>
  <c r="Q27" i="3"/>
  <c r="K43" i="3"/>
  <c r="K55" i="3"/>
  <c r="K73" i="3"/>
  <c r="L176" i="4"/>
  <c r="M176" i="4"/>
  <c r="M8" i="4"/>
  <c r="L8" i="4"/>
  <c r="M12" i="4"/>
  <c r="L12" i="4"/>
  <c r="M16" i="4"/>
  <c r="L16" i="4"/>
  <c r="M20" i="4"/>
  <c r="L20" i="4"/>
  <c r="M24" i="4"/>
  <c r="L24" i="4"/>
  <c r="M28" i="4"/>
  <c r="L28" i="4"/>
  <c r="K72" i="3"/>
  <c r="K84" i="3"/>
  <c r="K96" i="3"/>
  <c r="K108" i="3"/>
  <c r="K120" i="3"/>
  <c r="K132" i="3"/>
  <c r="K144" i="3"/>
  <c r="K156" i="3"/>
  <c r="K168" i="3"/>
  <c r="K180" i="3"/>
  <c r="K192" i="3"/>
  <c r="K42" i="4"/>
  <c r="K54" i="4"/>
  <c r="K66" i="4"/>
  <c r="K106" i="4"/>
  <c r="K119" i="4"/>
  <c r="K132" i="4"/>
  <c r="K138" i="4"/>
  <c r="K178" i="4"/>
  <c r="K191" i="4"/>
  <c r="M21" i="5"/>
  <c r="L21" i="5"/>
  <c r="T10" i="2"/>
  <c r="T12" i="2"/>
  <c r="T14" i="2"/>
  <c r="T16" i="2"/>
  <c r="T18" i="2"/>
  <c r="T20" i="2"/>
  <c r="Q6" i="3"/>
  <c r="Q8" i="3"/>
  <c r="K71" i="3"/>
  <c r="K83" i="3"/>
  <c r="K95" i="3"/>
  <c r="K107" i="3"/>
  <c r="K119" i="3"/>
  <c r="K131" i="3"/>
  <c r="K143" i="3"/>
  <c r="K155" i="3"/>
  <c r="K167" i="3"/>
  <c r="K179" i="3"/>
  <c r="K191" i="3"/>
  <c r="R7" i="4"/>
  <c r="R15" i="4"/>
  <c r="R21" i="4"/>
  <c r="R27" i="4"/>
  <c r="K86" i="4"/>
  <c r="K92" i="4"/>
  <c r="T21" i="4" s="1"/>
  <c r="K105" i="4"/>
  <c r="K112" i="4"/>
  <c r="K125" i="4"/>
  <c r="K158" i="4"/>
  <c r="K164" i="4"/>
  <c r="K177" i="4"/>
  <c r="K184" i="4"/>
  <c r="K197" i="4"/>
  <c r="M10" i="5"/>
  <c r="L10" i="5"/>
  <c r="S21" i="5"/>
  <c r="L29" i="5"/>
  <c r="M29" i="5"/>
  <c r="M30" i="5"/>
  <c r="L35" i="5"/>
  <c r="M35" i="5"/>
  <c r="R6" i="3"/>
  <c r="R8" i="3"/>
  <c r="K70" i="3"/>
  <c r="K82" i="3"/>
  <c r="K94" i="3"/>
  <c r="K106" i="3"/>
  <c r="K118" i="3"/>
  <c r="K130" i="3"/>
  <c r="K142" i="3"/>
  <c r="K154" i="3"/>
  <c r="T25" i="3" s="1"/>
  <c r="K166" i="3"/>
  <c r="K178" i="3"/>
  <c r="K190" i="3"/>
  <c r="J203" i="4"/>
  <c r="S7" i="4"/>
  <c r="Q12" i="4"/>
  <c r="S15" i="4"/>
  <c r="Q18" i="4"/>
  <c r="S21" i="4"/>
  <c r="Q24" i="4"/>
  <c r="S27" i="4"/>
  <c r="Q30" i="4"/>
  <c r="K40" i="4"/>
  <c r="K52" i="4"/>
  <c r="K64" i="4"/>
  <c r="K72" i="4"/>
  <c r="K78" i="4"/>
  <c r="K118" i="4"/>
  <c r="K131" i="4"/>
  <c r="K144" i="4"/>
  <c r="K150" i="4"/>
  <c r="K190" i="4"/>
  <c r="L8" i="5"/>
  <c r="M8" i="5"/>
  <c r="L28" i="5"/>
  <c r="M28" i="5"/>
  <c r="S6" i="3"/>
  <c r="S9" i="3" s="1"/>
  <c r="S8" i="3"/>
  <c r="K69" i="3"/>
  <c r="K81" i="3"/>
  <c r="K93" i="3"/>
  <c r="K105" i="3"/>
  <c r="K117" i="3"/>
  <c r="K129" i="3"/>
  <c r="K141" i="3"/>
  <c r="K153" i="3"/>
  <c r="K165" i="3"/>
  <c r="K177" i="3"/>
  <c r="K189" i="3"/>
  <c r="K5" i="4"/>
  <c r="T5" i="4" s="1"/>
  <c r="S12" i="4"/>
  <c r="T15" i="4"/>
  <c r="S18" i="4"/>
  <c r="S24" i="4"/>
  <c r="T27" i="4"/>
  <c r="S30" i="4"/>
  <c r="K98" i="4"/>
  <c r="K104" i="4"/>
  <c r="K117" i="4"/>
  <c r="K124" i="4"/>
  <c r="K137" i="4"/>
  <c r="K170" i="4"/>
  <c r="K189" i="4"/>
  <c r="K196" i="4"/>
  <c r="R8" i="5"/>
  <c r="R28" i="5"/>
  <c r="K195" i="4"/>
  <c r="K183" i="4"/>
  <c r="K171" i="4"/>
  <c r="K159" i="4"/>
  <c r="K147" i="4"/>
  <c r="K135" i="4"/>
  <c r="K123" i="4"/>
  <c r="K111" i="4"/>
  <c r="K99" i="4"/>
  <c r="K87" i="4"/>
  <c r="K75" i="4"/>
  <c r="A3" i="4"/>
  <c r="P3" i="4" s="1"/>
  <c r="K71" i="4"/>
  <c r="K84" i="4"/>
  <c r="K90" i="4"/>
  <c r="K143" i="4"/>
  <c r="K156" i="4"/>
  <c r="K162" i="4"/>
  <c r="L6" i="5"/>
  <c r="M6" i="5"/>
  <c r="L34" i="5"/>
  <c r="M34" i="5"/>
  <c r="L38" i="5"/>
  <c r="M38" i="5"/>
  <c r="L42" i="5"/>
  <c r="M42" i="5"/>
  <c r="L46" i="5"/>
  <c r="M46" i="5"/>
  <c r="L50" i="5"/>
  <c r="M50" i="5"/>
  <c r="L54" i="5"/>
  <c r="M54" i="5"/>
  <c r="L58" i="5"/>
  <c r="M58" i="5"/>
  <c r="L62" i="5"/>
  <c r="M62" i="5"/>
  <c r="L66" i="5"/>
  <c r="M66" i="5"/>
  <c r="K103" i="3"/>
  <c r="K115" i="3"/>
  <c r="K127" i="3"/>
  <c r="K139" i="3"/>
  <c r="K151" i="3"/>
  <c r="K163" i="3"/>
  <c r="K175" i="3"/>
  <c r="K187" i="3"/>
  <c r="R13" i="4"/>
  <c r="R19" i="4"/>
  <c r="R25" i="4"/>
  <c r="R31" i="4"/>
  <c r="K77" i="4"/>
  <c r="K110" i="4"/>
  <c r="K116" i="4"/>
  <c r="K129" i="4"/>
  <c r="K136" i="4"/>
  <c r="K149" i="4"/>
  <c r="K182" i="4"/>
  <c r="K188" i="4"/>
  <c r="T29" i="4" s="1"/>
  <c r="K201" i="4"/>
  <c r="J200" i="5"/>
  <c r="K5" i="5"/>
  <c r="S6" i="5"/>
  <c r="S9" i="5" s="1"/>
  <c r="S7" i="5"/>
  <c r="S27" i="5"/>
  <c r="S11" i="2"/>
  <c r="S13" i="2"/>
  <c r="S15" i="2"/>
  <c r="S17" i="2"/>
  <c r="K78" i="3"/>
  <c r="K90" i="3"/>
  <c r="K102" i="3"/>
  <c r="K114" i="3"/>
  <c r="K126" i="3"/>
  <c r="K138" i="3"/>
  <c r="K150" i="3"/>
  <c r="K162" i="3"/>
  <c r="K174" i="3"/>
  <c r="K186" i="3"/>
  <c r="S5" i="4"/>
  <c r="Q8" i="4"/>
  <c r="S13" i="4"/>
  <c r="Q16" i="4"/>
  <c r="S19" i="4"/>
  <c r="Q22" i="4"/>
  <c r="S25" i="4"/>
  <c r="Q28" i="4"/>
  <c r="S31" i="4"/>
  <c r="K32" i="4"/>
  <c r="K36" i="4"/>
  <c r="K48" i="4"/>
  <c r="K60" i="4"/>
  <c r="K70" i="4"/>
  <c r="K83" i="4"/>
  <c r="K96" i="4"/>
  <c r="K102" i="4"/>
  <c r="K142" i="4"/>
  <c r="K155" i="4"/>
  <c r="K168" i="4"/>
  <c r="K174" i="4"/>
  <c r="M26" i="5"/>
  <c r="K113" i="3"/>
  <c r="K125" i="3"/>
  <c r="K137" i="3"/>
  <c r="K149" i="3"/>
  <c r="T24" i="3" s="1"/>
  <c r="K161" i="3"/>
  <c r="T28" i="3" s="1"/>
  <c r="K173" i="3"/>
  <c r="K185" i="3"/>
  <c r="R8" i="4"/>
  <c r="R6" i="4"/>
  <c r="Q7" i="4"/>
  <c r="Q5" i="4"/>
  <c r="S8" i="4"/>
  <c r="S16" i="4"/>
  <c r="S22" i="4"/>
  <c r="T25" i="4"/>
  <c r="S28" i="4"/>
  <c r="K69" i="4"/>
  <c r="K76" i="4"/>
  <c r="K89" i="4"/>
  <c r="K122" i="4"/>
  <c r="K128" i="4"/>
  <c r="K141" i="4"/>
  <c r="K148" i="4"/>
  <c r="K161" i="4"/>
  <c r="K194" i="4"/>
  <c r="K200" i="4"/>
  <c r="M15" i="5"/>
  <c r="L15" i="5"/>
  <c r="M24" i="5"/>
  <c r="L24" i="5"/>
  <c r="L33" i="5"/>
  <c r="M33" i="5"/>
  <c r="L37" i="5"/>
  <c r="M37" i="5"/>
  <c r="L41" i="5"/>
  <c r="M41" i="5"/>
  <c r="L45" i="5"/>
  <c r="M45" i="5"/>
  <c r="R5" i="3"/>
  <c r="R9" i="3" s="1"/>
  <c r="K76" i="3"/>
  <c r="K88" i="3"/>
  <c r="K100" i="3"/>
  <c r="K112" i="3"/>
  <c r="K124" i="3"/>
  <c r="K136" i="3"/>
  <c r="K148" i="3"/>
  <c r="K160" i="3"/>
  <c r="K172" i="3"/>
  <c r="K184" i="3"/>
  <c r="K196" i="3"/>
  <c r="R30" i="4"/>
  <c r="R28" i="4"/>
  <c r="R26" i="4"/>
  <c r="R24" i="4"/>
  <c r="R22" i="4"/>
  <c r="R20" i="4"/>
  <c r="R18" i="4"/>
  <c r="R16" i="4"/>
  <c r="R14" i="4"/>
  <c r="R12" i="4"/>
  <c r="Q31" i="4"/>
  <c r="Q29" i="4"/>
  <c r="Q27" i="4"/>
  <c r="Q25" i="4"/>
  <c r="Q23" i="4"/>
  <c r="Q21" i="4"/>
  <c r="Q19" i="4"/>
  <c r="Q17" i="4"/>
  <c r="Q15" i="4"/>
  <c r="Q13" i="4"/>
  <c r="T28" i="4"/>
  <c r="K34" i="4"/>
  <c r="T18" i="4" s="1"/>
  <c r="K46" i="4"/>
  <c r="K58" i="4"/>
  <c r="T22" i="4" s="1"/>
  <c r="K82" i="4"/>
  <c r="K95" i="4"/>
  <c r="K108" i="4"/>
  <c r="K114" i="4"/>
  <c r="K154" i="4"/>
  <c r="K167" i="4"/>
  <c r="K180" i="4"/>
  <c r="K186" i="4"/>
  <c r="M13" i="5"/>
  <c r="L13" i="5"/>
  <c r="S15" i="5"/>
  <c r="R24" i="5"/>
  <c r="K75" i="3"/>
  <c r="K87" i="3"/>
  <c r="K99" i="3"/>
  <c r="K111" i="3"/>
  <c r="K123" i="3"/>
  <c r="K135" i="3"/>
  <c r="K147" i="3"/>
  <c r="K159" i="3"/>
  <c r="K171" i="3"/>
  <c r="K183" i="3"/>
  <c r="K195" i="3"/>
  <c r="R17" i="4"/>
  <c r="R23" i="4"/>
  <c r="R29" i="4"/>
  <c r="K68" i="4"/>
  <c r="K81" i="4"/>
  <c r="T8" i="4" s="1"/>
  <c r="K88" i="4"/>
  <c r="K101" i="4"/>
  <c r="K134" i="4"/>
  <c r="K140" i="4"/>
  <c r="K153" i="4"/>
  <c r="T14" i="4" s="1"/>
  <c r="K160" i="4"/>
  <c r="K173" i="4"/>
  <c r="T30" i="4" s="1"/>
  <c r="S8" i="5"/>
  <c r="M12" i="5"/>
  <c r="L12" i="5"/>
  <c r="R13" i="5"/>
  <c r="M32" i="5"/>
  <c r="L32" i="5"/>
  <c r="K98" i="3"/>
  <c r="K110" i="3"/>
  <c r="K122" i="3"/>
  <c r="T31" i="3" s="1"/>
  <c r="K134" i="3"/>
  <c r="K146" i="3"/>
  <c r="K158" i="3"/>
  <c r="K170" i="3"/>
  <c r="K182" i="3"/>
  <c r="K194" i="3"/>
  <c r="Q14" i="4"/>
  <c r="S17" i="4"/>
  <c r="Q20" i="4"/>
  <c r="S23" i="4"/>
  <c r="Q26" i="4"/>
  <c r="K44" i="4"/>
  <c r="T17" i="4" s="1"/>
  <c r="K56" i="4"/>
  <c r="T16" i="4" s="1"/>
  <c r="K94" i="4"/>
  <c r="K107" i="4"/>
  <c r="K120" i="4"/>
  <c r="K126" i="4"/>
  <c r="K166" i="4"/>
  <c r="K179" i="4"/>
  <c r="K192" i="4"/>
  <c r="K198" i="4"/>
  <c r="S12" i="5"/>
  <c r="M22" i="5"/>
  <c r="L22" i="5"/>
  <c r="L36" i="5"/>
  <c r="M36" i="5"/>
  <c r="L40" i="5"/>
  <c r="M40" i="5"/>
  <c r="L44" i="5"/>
  <c r="M44" i="5"/>
  <c r="L48" i="5"/>
  <c r="M48" i="5"/>
  <c r="L52" i="5"/>
  <c r="M52" i="5"/>
  <c r="L56" i="5"/>
  <c r="M56" i="5"/>
  <c r="L60" i="5"/>
  <c r="M60" i="5"/>
  <c r="L64" i="5"/>
  <c r="M64" i="5"/>
  <c r="K85" i="3"/>
  <c r="K97" i="3"/>
  <c r="K109" i="3"/>
  <c r="K121" i="3"/>
  <c r="K133" i="3"/>
  <c r="K145" i="3"/>
  <c r="K157" i="3"/>
  <c r="K169" i="3"/>
  <c r="K181" i="3"/>
  <c r="K193" i="3"/>
  <c r="S14" i="4"/>
  <c r="S20" i="4"/>
  <c r="S26" i="4"/>
  <c r="K74" i="4"/>
  <c r="K80" i="4"/>
  <c r="K93" i="4"/>
  <c r="K100" i="4"/>
  <c r="K113" i="4"/>
  <c r="K146" i="4"/>
  <c r="K152" i="4"/>
  <c r="T7" i="4" s="1"/>
  <c r="K165" i="4"/>
  <c r="K172" i="4"/>
  <c r="K185" i="4"/>
  <c r="Q31" i="5"/>
  <c r="Q29" i="5"/>
  <c r="Q27" i="5"/>
  <c r="Q25" i="5"/>
  <c r="Q23" i="5"/>
  <c r="Q21" i="5"/>
  <c r="Q19" i="5"/>
  <c r="Q17" i="5"/>
  <c r="Q15" i="5"/>
  <c r="Q13" i="5"/>
  <c r="S24" i="5"/>
  <c r="R30" i="5"/>
  <c r="R25" i="5"/>
  <c r="S18" i="5"/>
  <c r="R16" i="5"/>
  <c r="Q14" i="5"/>
  <c r="Q30" i="5"/>
  <c r="S20" i="5"/>
  <c r="R18" i="5"/>
  <c r="Q16" i="5"/>
  <c r="R27" i="5"/>
  <c r="R22" i="5"/>
  <c r="Q20" i="5"/>
  <c r="S29" i="5"/>
  <c r="S26" i="5"/>
  <c r="Q24" i="5"/>
  <c r="R29" i="5"/>
  <c r="R26" i="5"/>
  <c r="S17" i="5"/>
  <c r="R15" i="5"/>
  <c r="T28" i="5"/>
  <c r="Q26" i="5"/>
  <c r="S19" i="5"/>
  <c r="R17" i="5"/>
  <c r="Q28" i="5"/>
  <c r="R23" i="5"/>
  <c r="T16" i="5"/>
  <c r="S14" i="5"/>
  <c r="R12" i="5"/>
  <c r="S30" i="5"/>
  <c r="S25" i="5"/>
  <c r="S16" i="5"/>
  <c r="R14" i="5"/>
  <c r="Q12" i="5"/>
  <c r="S28" i="5"/>
  <c r="S13" i="5"/>
  <c r="R20" i="5"/>
  <c r="R19" i="5"/>
  <c r="Q18" i="5"/>
  <c r="S22" i="5"/>
  <c r="R21" i="5"/>
  <c r="Q22" i="5"/>
  <c r="R31" i="5"/>
  <c r="L39" i="5"/>
  <c r="M39" i="5"/>
  <c r="L43" i="5"/>
  <c r="M43" i="5"/>
  <c r="L47" i="5"/>
  <c r="M47" i="5"/>
  <c r="L51" i="5"/>
  <c r="M51" i="5"/>
  <c r="L55" i="5"/>
  <c r="M55" i="5"/>
  <c r="L59" i="5"/>
  <c r="M59" i="5"/>
  <c r="L63" i="5"/>
  <c r="M63" i="5"/>
  <c r="L67" i="5"/>
  <c r="M67" i="5"/>
  <c r="L71" i="5"/>
  <c r="M71" i="5"/>
  <c r="L75" i="5"/>
  <c r="M75" i="5"/>
  <c r="L79" i="5"/>
  <c r="M79" i="5"/>
  <c r="L87" i="5"/>
  <c r="M87" i="5"/>
  <c r="L99" i="5"/>
  <c r="M99" i="5"/>
  <c r="L111" i="5"/>
  <c r="M111" i="5"/>
  <c r="L123" i="5"/>
  <c r="M123" i="5"/>
  <c r="M173" i="5"/>
  <c r="L173" i="5"/>
  <c r="Q5" i="5"/>
  <c r="Q7" i="5"/>
  <c r="L20" i="5"/>
  <c r="L70" i="5"/>
  <c r="M70" i="5"/>
  <c r="L74" i="5"/>
  <c r="M74" i="5"/>
  <c r="L78" i="5"/>
  <c r="M78" i="5"/>
  <c r="L82" i="5"/>
  <c r="M82" i="5"/>
  <c r="L90" i="5"/>
  <c r="M90" i="5"/>
  <c r="L94" i="5"/>
  <c r="M94" i="5"/>
  <c r="L102" i="5"/>
  <c r="M102" i="5"/>
  <c r="L106" i="5"/>
  <c r="M106" i="5"/>
  <c r="L114" i="5"/>
  <c r="M114" i="5"/>
  <c r="L118" i="5"/>
  <c r="M118" i="5"/>
  <c r="L126" i="5"/>
  <c r="M126" i="5"/>
  <c r="L138" i="5"/>
  <c r="M138" i="5"/>
  <c r="L49" i="5"/>
  <c r="M49" i="5"/>
  <c r="L53" i="5"/>
  <c r="M53" i="5"/>
  <c r="L57" i="5"/>
  <c r="M57" i="5"/>
  <c r="L61" i="5"/>
  <c r="M61" i="5"/>
  <c r="L65" i="5"/>
  <c r="M65" i="5"/>
  <c r="L69" i="5"/>
  <c r="M69" i="5"/>
  <c r="L73" i="5"/>
  <c r="M73" i="5"/>
  <c r="L77" i="5"/>
  <c r="M77" i="5"/>
  <c r="L93" i="5"/>
  <c r="M93" i="5"/>
  <c r="L105" i="5"/>
  <c r="M105" i="5"/>
  <c r="L117" i="5"/>
  <c r="M117" i="5"/>
  <c r="L68" i="5"/>
  <c r="M68" i="5"/>
  <c r="L72" i="5"/>
  <c r="M72" i="5"/>
  <c r="L76" i="5"/>
  <c r="M76" i="5"/>
  <c r="M80" i="5"/>
  <c r="L80" i="5"/>
  <c r="L84" i="5"/>
  <c r="M84" i="5"/>
  <c r="L88" i="5"/>
  <c r="M88" i="5"/>
  <c r="L96" i="5"/>
  <c r="M96" i="5"/>
  <c r="L100" i="5"/>
  <c r="M100" i="5"/>
  <c r="L108" i="5"/>
  <c r="M108" i="5"/>
  <c r="L112" i="5"/>
  <c r="M112" i="5"/>
  <c r="L120" i="5"/>
  <c r="M120" i="5"/>
  <c r="L132" i="5"/>
  <c r="M132" i="5"/>
  <c r="M160" i="5"/>
  <c r="L160" i="5"/>
  <c r="I203" i="4"/>
  <c r="I200" i="5"/>
  <c r="M11" i="5"/>
  <c r="L11" i="5"/>
  <c r="L23" i="5"/>
  <c r="M23" i="5"/>
  <c r="K19" i="5"/>
  <c r="K31" i="5"/>
  <c r="K191" i="5"/>
  <c r="H200" i="5"/>
  <c r="Q6" i="5"/>
  <c r="Q8" i="5"/>
  <c r="K85" i="5"/>
  <c r="T15" i="5" s="1"/>
  <c r="K91" i="5"/>
  <c r="T18" i="5" s="1"/>
  <c r="K97" i="5"/>
  <c r="K103" i="5"/>
  <c r="K109" i="5"/>
  <c r="K115" i="5"/>
  <c r="K121" i="5"/>
  <c r="K127" i="5"/>
  <c r="K133" i="5"/>
  <c r="K139" i="5"/>
  <c r="K161" i="5"/>
  <c r="K169" i="5"/>
  <c r="K194" i="5"/>
  <c r="K195" i="5"/>
  <c r="K199" i="5"/>
  <c r="K189" i="5"/>
  <c r="K179" i="5"/>
  <c r="K180" i="5"/>
  <c r="K168" i="5"/>
  <c r="K156" i="5"/>
  <c r="K181" i="5"/>
  <c r="K182" i="5"/>
  <c r="K170" i="5"/>
  <c r="K183" i="5"/>
  <c r="K171" i="5"/>
  <c r="K184" i="5"/>
  <c r="K186" i="5"/>
  <c r="K174" i="5"/>
  <c r="K162" i="5"/>
  <c r="K187" i="5"/>
  <c r="K176" i="5"/>
  <c r="K164" i="5"/>
  <c r="K198" i="5"/>
  <c r="K193" i="5"/>
  <c r="K177" i="5"/>
  <c r="K165" i="5"/>
  <c r="K178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55" i="5"/>
  <c r="A3" i="5"/>
  <c r="P3" i="5" s="1"/>
  <c r="K27" i="5"/>
  <c r="K83" i="5"/>
  <c r="K89" i="5"/>
  <c r="K95" i="5"/>
  <c r="K101" i="5"/>
  <c r="K107" i="5"/>
  <c r="K113" i="5"/>
  <c r="K119" i="5"/>
  <c r="K125" i="5"/>
  <c r="K131" i="5"/>
  <c r="K137" i="5"/>
  <c r="K159" i="5"/>
  <c r="K172" i="5"/>
  <c r="K185" i="5"/>
  <c r="K124" i="5"/>
  <c r="K130" i="5"/>
  <c r="K136" i="5"/>
  <c r="R5" i="5"/>
  <c r="R9" i="5" s="1"/>
  <c r="R7" i="5"/>
  <c r="K25" i="5"/>
  <c r="T6" i="5" s="1"/>
  <c r="K81" i="5"/>
  <c r="K158" i="5"/>
  <c r="K163" i="5"/>
  <c r="T24" i="5" s="1"/>
  <c r="K167" i="5"/>
  <c r="K129" i="5"/>
  <c r="K135" i="5"/>
  <c r="K141" i="5"/>
  <c r="K192" i="5"/>
  <c r="K157" i="5"/>
  <c r="K175" i="5"/>
  <c r="K86" i="5"/>
  <c r="T21" i="5" s="1"/>
  <c r="K92" i="5"/>
  <c r="K98" i="5"/>
  <c r="K104" i="5"/>
  <c r="K110" i="5"/>
  <c r="T13" i="5" s="1"/>
  <c r="K116" i="5"/>
  <c r="K122" i="5"/>
  <c r="K128" i="5"/>
  <c r="K134" i="5"/>
  <c r="K140" i="5"/>
  <c r="K166" i="5"/>
  <c r="P16" i="6"/>
  <c r="K188" i="5"/>
  <c r="P5" i="6"/>
  <c r="P23" i="6"/>
  <c r="P19" i="6"/>
  <c r="P14" i="6"/>
  <c r="S22" i="6"/>
  <c r="S18" i="6"/>
  <c r="S13" i="6"/>
  <c r="S26" i="6"/>
  <c r="Q22" i="6"/>
  <c r="P18" i="6"/>
  <c r="S17" i="6"/>
  <c r="Q13" i="6"/>
  <c r="P26" i="6"/>
  <c r="P22" i="6"/>
  <c r="P17" i="6"/>
  <c r="P13" i="6"/>
  <c r="S25" i="6"/>
  <c r="S21" i="6"/>
  <c r="S16" i="6"/>
  <c r="Q21" i="6"/>
  <c r="Q12" i="6"/>
  <c r="Q25" i="6"/>
  <c r="P21" i="6"/>
  <c r="S20" i="6"/>
  <c r="Q16" i="6"/>
  <c r="P12" i="6"/>
  <c r="S11" i="6"/>
  <c r="S27" i="6" s="1"/>
  <c r="S24" i="6"/>
  <c r="S19" i="6"/>
  <c r="S15" i="6"/>
  <c r="Q24" i="6"/>
  <c r="Q15" i="6"/>
  <c r="P24" i="6"/>
  <c r="S23" i="6"/>
  <c r="Q19" i="6"/>
  <c r="P15" i="6"/>
  <c r="S14" i="6"/>
  <c r="K197" i="5"/>
  <c r="M18" i="7"/>
  <c r="L18" i="7"/>
  <c r="K196" i="5"/>
  <c r="K190" i="5"/>
  <c r="Q18" i="6"/>
  <c r="M12" i="7"/>
  <c r="L12" i="7"/>
  <c r="K240" i="6"/>
  <c r="M24" i="7"/>
  <c r="L24" i="7"/>
  <c r="P11" i="6"/>
  <c r="P27" i="6" s="1"/>
  <c r="P6" i="6"/>
  <c r="S5" i="6"/>
  <c r="P7" i="6"/>
  <c r="J11" i="6"/>
  <c r="L11" i="6" s="1"/>
  <c r="J16" i="6"/>
  <c r="L16" i="6" s="1"/>
  <c r="J20" i="6"/>
  <c r="L20" i="6" s="1"/>
  <c r="J25" i="6"/>
  <c r="L25" i="6" s="1"/>
  <c r="J33" i="6"/>
  <c r="L33" i="6" s="1"/>
  <c r="J48" i="6"/>
  <c r="L48" i="6" s="1"/>
  <c r="J56" i="6"/>
  <c r="L56" i="6" s="1"/>
  <c r="J63" i="6"/>
  <c r="L63" i="6" s="1"/>
  <c r="J70" i="6"/>
  <c r="L70" i="6" s="1"/>
  <c r="J78" i="6"/>
  <c r="L78" i="6" s="1"/>
  <c r="J84" i="6"/>
  <c r="L84" i="6" s="1"/>
  <c r="J92" i="6"/>
  <c r="L92" i="6" s="1"/>
  <c r="J99" i="6"/>
  <c r="L99" i="6" s="1"/>
  <c r="J106" i="6"/>
  <c r="L106" i="6" s="1"/>
  <c r="J114" i="6"/>
  <c r="L114" i="6" s="1"/>
  <c r="J120" i="6"/>
  <c r="L120" i="6" s="1"/>
  <c r="J128" i="6"/>
  <c r="L128" i="6" s="1"/>
  <c r="J135" i="6"/>
  <c r="L135" i="6" s="1"/>
  <c r="J142" i="6"/>
  <c r="L142" i="6" s="1"/>
  <c r="J150" i="6"/>
  <c r="L150" i="6" s="1"/>
  <c r="J156" i="6"/>
  <c r="L156" i="6" s="1"/>
  <c r="J164" i="6"/>
  <c r="L164" i="6" s="1"/>
  <c r="J171" i="6"/>
  <c r="L171" i="6" s="1"/>
  <c r="J177" i="6"/>
  <c r="L177" i="6" s="1"/>
  <c r="J191" i="6"/>
  <c r="L191" i="6" s="1"/>
  <c r="J214" i="6"/>
  <c r="L214" i="6" s="1"/>
  <c r="J219" i="6"/>
  <c r="L219" i="6" s="1"/>
  <c r="J232" i="6"/>
  <c r="L232" i="6" s="1"/>
  <c r="M49" i="7"/>
  <c r="L49" i="7"/>
  <c r="M58" i="7"/>
  <c r="L58" i="7"/>
  <c r="M76" i="7"/>
  <c r="L76" i="7"/>
  <c r="M94" i="7"/>
  <c r="L94" i="7"/>
  <c r="M112" i="7"/>
  <c r="L112" i="7"/>
  <c r="S6" i="6"/>
  <c r="Q7" i="6"/>
  <c r="J8" i="6"/>
  <c r="L8" i="6" s="1"/>
  <c r="J10" i="6"/>
  <c r="L10" i="6" s="1"/>
  <c r="J12" i="6"/>
  <c r="L12" i="6" s="1"/>
  <c r="J21" i="6"/>
  <c r="L21" i="6" s="1"/>
  <c r="J32" i="6"/>
  <c r="L32" i="6" s="1"/>
  <c r="J181" i="6"/>
  <c r="L181" i="6" s="1"/>
  <c r="J186" i="6"/>
  <c r="L186" i="6" s="1"/>
  <c r="J209" i="6"/>
  <c r="L209" i="6" s="1"/>
  <c r="J223" i="6"/>
  <c r="L223" i="6" s="1"/>
  <c r="T18" i="7"/>
  <c r="S29" i="7"/>
  <c r="Q26" i="7"/>
  <c r="S23" i="7"/>
  <c r="Q20" i="7"/>
  <c r="S17" i="7"/>
  <c r="Q14" i="7"/>
  <c r="R29" i="7"/>
  <c r="R23" i="7"/>
  <c r="R17" i="7"/>
  <c r="R28" i="7"/>
  <c r="R22" i="7"/>
  <c r="R16" i="7"/>
  <c r="S31" i="7"/>
  <c r="Q28" i="7"/>
  <c r="S25" i="7"/>
  <c r="Q22" i="7"/>
  <c r="S19" i="7"/>
  <c r="Q16" i="7"/>
  <c r="S13" i="7"/>
  <c r="R31" i="7"/>
  <c r="R25" i="7"/>
  <c r="R19" i="7"/>
  <c r="R13" i="7"/>
  <c r="Q31" i="7"/>
  <c r="S30" i="7"/>
  <c r="Q25" i="7"/>
  <c r="S24" i="7"/>
  <c r="Q19" i="7"/>
  <c r="S18" i="7"/>
  <c r="Q13" i="7"/>
  <c r="S12" i="7"/>
  <c r="R30" i="7"/>
  <c r="R24" i="7"/>
  <c r="R18" i="7"/>
  <c r="R12" i="7"/>
  <c r="R32" i="7" s="1"/>
  <c r="R27" i="7"/>
  <c r="R21" i="7"/>
  <c r="R15" i="7"/>
  <c r="Q27" i="7"/>
  <c r="S26" i="7"/>
  <c r="Q21" i="7"/>
  <c r="S20" i="7"/>
  <c r="Q15" i="7"/>
  <c r="S14" i="7"/>
  <c r="R26" i="7"/>
  <c r="T23" i="7"/>
  <c r="R20" i="7"/>
  <c r="R14" i="7"/>
  <c r="K8" i="7"/>
  <c r="S6" i="7"/>
  <c r="M13" i="7"/>
  <c r="L13" i="7"/>
  <c r="M19" i="7"/>
  <c r="L19" i="7"/>
  <c r="M25" i="7"/>
  <c r="L25" i="7"/>
  <c r="J55" i="6"/>
  <c r="L55" i="6" s="1"/>
  <c r="J62" i="6"/>
  <c r="L62" i="6" s="1"/>
  <c r="J69" i="6"/>
  <c r="L69" i="6" s="1"/>
  <c r="J91" i="6"/>
  <c r="L91" i="6" s="1"/>
  <c r="J98" i="6"/>
  <c r="L98" i="6" s="1"/>
  <c r="J105" i="6"/>
  <c r="L105" i="6" s="1"/>
  <c r="J127" i="6"/>
  <c r="L127" i="6" s="1"/>
  <c r="J134" i="6"/>
  <c r="L134" i="6" s="1"/>
  <c r="J141" i="6"/>
  <c r="L141" i="6" s="1"/>
  <c r="J163" i="6"/>
  <c r="L163" i="6" s="1"/>
  <c r="J170" i="6"/>
  <c r="L170" i="6" s="1"/>
  <c r="J176" i="6"/>
  <c r="L176" i="6" s="1"/>
  <c r="J195" i="6"/>
  <c r="L195" i="6" s="1"/>
  <c r="J200" i="6"/>
  <c r="L200" i="6" s="1"/>
  <c r="J218" i="6"/>
  <c r="L218" i="6" s="1"/>
  <c r="J236" i="6"/>
  <c r="L236" i="6" s="1"/>
  <c r="Q7" i="7"/>
  <c r="M31" i="7"/>
  <c r="L31" i="7"/>
  <c r="M40" i="7"/>
  <c r="L40" i="7"/>
  <c r="J54" i="6"/>
  <c r="L54" i="6" s="1"/>
  <c r="J68" i="6"/>
  <c r="L68" i="6" s="1"/>
  <c r="J75" i="6"/>
  <c r="L75" i="6" s="1"/>
  <c r="J90" i="6"/>
  <c r="L90" i="6" s="1"/>
  <c r="J104" i="6"/>
  <c r="L104" i="6" s="1"/>
  <c r="J111" i="6"/>
  <c r="L111" i="6" s="1"/>
  <c r="J126" i="6"/>
  <c r="L126" i="6" s="1"/>
  <c r="J140" i="6"/>
  <c r="L140" i="6" s="1"/>
  <c r="J147" i="6"/>
  <c r="L147" i="6" s="1"/>
  <c r="J162" i="6"/>
  <c r="L162" i="6" s="1"/>
  <c r="J180" i="6"/>
  <c r="L180" i="6" s="1"/>
  <c r="J199" i="6"/>
  <c r="L199" i="6" s="1"/>
  <c r="J208" i="6"/>
  <c r="L208" i="6" s="1"/>
  <c r="Q12" i="7"/>
  <c r="Q18" i="7"/>
  <c r="Q24" i="7"/>
  <c r="M30" i="7"/>
  <c r="L30" i="7"/>
  <c r="M52" i="7"/>
  <c r="L52" i="7"/>
  <c r="M70" i="7"/>
  <c r="L70" i="7"/>
  <c r="M88" i="7"/>
  <c r="L88" i="7"/>
  <c r="M106" i="7"/>
  <c r="L106" i="7"/>
  <c r="M124" i="7"/>
  <c r="L124" i="7"/>
  <c r="H240" i="6"/>
  <c r="J18" i="6"/>
  <c r="L18" i="6" s="1"/>
  <c r="J27" i="6"/>
  <c r="L27" i="6" s="1"/>
  <c r="J30" i="6"/>
  <c r="L30" i="6" s="1"/>
  <c r="J38" i="6"/>
  <c r="L38" i="6" s="1"/>
  <c r="J175" i="6"/>
  <c r="L175" i="6" s="1"/>
  <c r="J212" i="6"/>
  <c r="L212" i="6" s="1"/>
  <c r="J226" i="6"/>
  <c r="L226" i="6" s="1"/>
  <c r="J230" i="6"/>
  <c r="L230" i="6" s="1"/>
  <c r="Q30" i="7"/>
  <c r="M43" i="7"/>
  <c r="L43" i="7"/>
  <c r="I240" i="6"/>
  <c r="S12" i="6"/>
  <c r="J37" i="6"/>
  <c r="L37" i="6" s="1"/>
  <c r="J45" i="6"/>
  <c r="L45" i="6" s="1"/>
  <c r="J53" i="6"/>
  <c r="L53" i="6" s="1"/>
  <c r="J59" i="6"/>
  <c r="L59" i="6" s="1"/>
  <c r="J67" i="6"/>
  <c r="L67" i="6" s="1"/>
  <c r="J74" i="6"/>
  <c r="L74" i="6" s="1"/>
  <c r="J81" i="6"/>
  <c r="L81" i="6" s="1"/>
  <c r="J89" i="6"/>
  <c r="L89" i="6" s="1"/>
  <c r="J95" i="6"/>
  <c r="L95" i="6" s="1"/>
  <c r="J103" i="6"/>
  <c r="L103" i="6" s="1"/>
  <c r="J110" i="6"/>
  <c r="L110" i="6" s="1"/>
  <c r="J117" i="6"/>
  <c r="L117" i="6" s="1"/>
  <c r="J125" i="6"/>
  <c r="L125" i="6" s="1"/>
  <c r="J131" i="6"/>
  <c r="L131" i="6" s="1"/>
  <c r="J139" i="6"/>
  <c r="L139" i="6" s="1"/>
  <c r="J146" i="6"/>
  <c r="L146" i="6" s="1"/>
  <c r="J153" i="6"/>
  <c r="L153" i="6" s="1"/>
  <c r="J161" i="6"/>
  <c r="L161" i="6" s="1"/>
  <c r="J167" i="6"/>
  <c r="L167" i="6" s="1"/>
  <c r="J179" i="6"/>
  <c r="L179" i="6" s="1"/>
  <c r="J184" i="6"/>
  <c r="L184" i="6" s="1"/>
  <c r="J189" i="6"/>
  <c r="L189" i="6" s="1"/>
  <c r="J203" i="6"/>
  <c r="L203" i="6" s="1"/>
  <c r="J221" i="6"/>
  <c r="L221" i="6" s="1"/>
  <c r="J239" i="6"/>
  <c r="L239" i="6" s="1"/>
  <c r="L6" i="7"/>
  <c r="M11" i="7"/>
  <c r="L11" i="7"/>
  <c r="Q17" i="7"/>
  <c r="Q23" i="7"/>
  <c r="J5" i="6"/>
  <c r="R12" i="6" s="1"/>
  <c r="T12" i="6" s="1"/>
  <c r="J29" i="6"/>
  <c r="L29" i="6" s="1"/>
  <c r="J36" i="6"/>
  <c r="L36" i="6" s="1"/>
  <c r="J44" i="6"/>
  <c r="L44" i="6" s="1"/>
  <c r="J52" i="6"/>
  <c r="L52" i="6" s="1"/>
  <c r="J73" i="6"/>
  <c r="L73" i="6" s="1"/>
  <c r="J88" i="6"/>
  <c r="L88" i="6" s="1"/>
  <c r="J109" i="6"/>
  <c r="L109" i="6" s="1"/>
  <c r="J124" i="6"/>
  <c r="L124" i="6" s="1"/>
  <c r="J145" i="6"/>
  <c r="L145" i="6" s="1"/>
  <c r="J160" i="6"/>
  <c r="L160" i="6" s="1"/>
  <c r="J193" i="6"/>
  <c r="L193" i="6" s="1"/>
  <c r="J198" i="6"/>
  <c r="L198" i="6" s="1"/>
  <c r="J207" i="6"/>
  <c r="L207" i="6" s="1"/>
  <c r="J234" i="6"/>
  <c r="L234" i="6" s="1"/>
  <c r="K5" i="7"/>
  <c r="T20" i="7" s="1"/>
  <c r="J207" i="7"/>
  <c r="M16" i="7"/>
  <c r="L16" i="7"/>
  <c r="M22" i="7"/>
  <c r="L22" i="7"/>
  <c r="Q29" i="7"/>
  <c r="V20" i="8"/>
  <c r="V17" i="8"/>
  <c r="V14" i="8"/>
  <c r="V11" i="8"/>
  <c r="T19" i="8"/>
  <c r="U17" i="8"/>
  <c r="U20" i="8"/>
  <c r="T15" i="8"/>
  <c r="T10" i="8"/>
  <c r="S20" i="8"/>
  <c r="U18" i="8"/>
  <c r="U13" i="8"/>
  <c r="T18" i="8"/>
  <c r="T13" i="8"/>
  <c r="U11" i="8"/>
  <c r="S18" i="8"/>
  <c r="V16" i="8"/>
  <c r="S13" i="8"/>
  <c r="T11" i="8"/>
  <c r="U16" i="8"/>
  <c r="W14" i="8"/>
  <c r="Y14" i="8" s="1"/>
  <c r="S11" i="8"/>
  <c r="T16" i="8"/>
  <c r="U14" i="8"/>
  <c r="V10" i="8"/>
  <c r="U10" i="8"/>
  <c r="V19" i="8"/>
  <c r="S10" i="8"/>
  <c r="U19" i="8"/>
  <c r="S19" i="8"/>
  <c r="X18" i="8"/>
  <c r="Z18" i="8" s="1"/>
  <c r="T20" i="8"/>
  <c r="V18" i="8"/>
  <c r="T17" i="8"/>
  <c r="S16" i="8"/>
  <c r="T14" i="8"/>
  <c r="V12" i="8"/>
  <c r="S17" i="8"/>
  <c r="V15" i="8"/>
  <c r="S14" i="8"/>
  <c r="U12" i="8"/>
  <c r="U15" i="8"/>
  <c r="V13" i="8"/>
  <c r="T12" i="8"/>
  <c r="S12" i="8"/>
  <c r="S15" i="8"/>
  <c r="J237" i="6"/>
  <c r="L237" i="6" s="1"/>
  <c r="J227" i="6"/>
  <c r="L227" i="6" s="1"/>
  <c r="J228" i="6"/>
  <c r="L228" i="6" s="1"/>
  <c r="J204" i="6"/>
  <c r="L204" i="6" s="1"/>
  <c r="J235" i="6"/>
  <c r="L235" i="6" s="1"/>
  <c r="J225" i="6"/>
  <c r="L225" i="6" s="1"/>
  <c r="J215" i="6"/>
  <c r="L215" i="6" s="1"/>
  <c r="J194" i="6"/>
  <c r="L194" i="6" s="1"/>
  <c r="J182" i="6"/>
  <c r="L182" i="6" s="1"/>
  <c r="J216" i="6"/>
  <c r="L216" i="6" s="1"/>
  <c r="J28" i="6"/>
  <c r="L28" i="6" s="1"/>
  <c r="J35" i="6"/>
  <c r="L35" i="6" s="1"/>
  <c r="J51" i="6"/>
  <c r="L51" i="6" s="1"/>
  <c r="J66" i="6"/>
  <c r="L66" i="6" s="1"/>
  <c r="J80" i="6"/>
  <c r="L80" i="6" s="1"/>
  <c r="J87" i="6"/>
  <c r="L87" i="6" s="1"/>
  <c r="J102" i="6"/>
  <c r="L102" i="6" s="1"/>
  <c r="J116" i="6"/>
  <c r="L116" i="6" s="1"/>
  <c r="J123" i="6"/>
  <c r="L123" i="6" s="1"/>
  <c r="J138" i="6"/>
  <c r="L138" i="6" s="1"/>
  <c r="J152" i="6"/>
  <c r="L152" i="6" s="1"/>
  <c r="J159" i="6"/>
  <c r="L159" i="6" s="1"/>
  <c r="J183" i="6"/>
  <c r="L183" i="6" s="1"/>
  <c r="J188" i="6"/>
  <c r="L188" i="6" s="1"/>
  <c r="J202" i="6"/>
  <c r="L202" i="6" s="1"/>
  <c r="J211" i="6"/>
  <c r="L211" i="6" s="1"/>
  <c r="J238" i="6"/>
  <c r="L238" i="6" s="1"/>
  <c r="S16" i="7"/>
  <c r="S22" i="7"/>
  <c r="M28" i="7"/>
  <c r="L28" i="7"/>
  <c r="M34" i="7"/>
  <c r="L34" i="7"/>
  <c r="M64" i="7"/>
  <c r="L64" i="7"/>
  <c r="M82" i="7"/>
  <c r="L82" i="7"/>
  <c r="M100" i="7"/>
  <c r="L100" i="7"/>
  <c r="M118" i="7"/>
  <c r="L118" i="7"/>
  <c r="J173" i="6"/>
  <c r="L173" i="6" s="1"/>
  <c r="J178" i="6"/>
  <c r="L178" i="6" s="1"/>
  <c r="J197" i="6"/>
  <c r="L197" i="6" s="1"/>
  <c r="J220" i="6"/>
  <c r="L220" i="6" s="1"/>
  <c r="M10" i="7"/>
  <c r="L10" i="7"/>
  <c r="S28" i="7"/>
  <c r="M46" i="7"/>
  <c r="L46" i="7"/>
  <c r="J7" i="6"/>
  <c r="L7" i="6" s="1"/>
  <c r="J50" i="6"/>
  <c r="L50" i="6" s="1"/>
  <c r="J57" i="6"/>
  <c r="L57" i="6" s="1"/>
  <c r="J79" i="6"/>
  <c r="L79" i="6" s="1"/>
  <c r="J86" i="6"/>
  <c r="L86" i="6" s="1"/>
  <c r="J93" i="6"/>
  <c r="L93" i="6" s="1"/>
  <c r="J107" i="6"/>
  <c r="L107" i="6" s="1"/>
  <c r="J115" i="6"/>
  <c r="L115" i="6" s="1"/>
  <c r="J122" i="6"/>
  <c r="L122" i="6" s="1"/>
  <c r="J129" i="6"/>
  <c r="L129" i="6" s="1"/>
  <c r="J137" i="6"/>
  <c r="L137" i="6" s="1"/>
  <c r="J143" i="6"/>
  <c r="L143" i="6" s="1"/>
  <c r="J151" i="6"/>
  <c r="L151" i="6" s="1"/>
  <c r="J158" i="6"/>
  <c r="L158" i="6" s="1"/>
  <c r="J165" i="6"/>
  <c r="L165" i="6" s="1"/>
  <c r="J192" i="6"/>
  <c r="L192" i="6" s="1"/>
  <c r="J206" i="6"/>
  <c r="L206" i="6" s="1"/>
  <c r="J224" i="6"/>
  <c r="L224" i="6" s="1"/>
  <c r="J233" i="6"/>
  <c r="L233" i="6" s="1"/>
  <c r="S9" i="7"/>
  <c r="S15" i="7"/>
  <c r="S21" i="7"/>
  <c r="Q5" i="6"/>
  <c r="Q8" i="6" s="1"/>
  <c r="Q6" i="6"/>
  <c r="J42" i="6"/>
  <c r="L42" i="6" s="1"/>
  <c r="J172" i="6"/>
  <c r="L172" i="6" s="1"/>
  <c r="J187" i="6"/>
  <c r="L187" i="6" s="1"/>
  <c r="J196" i="6"/>
  <c r="L196" i="6" s="1"/>
  <c r="J201" i="6"/>
  <c r="L201" i="6" s="1"/>
  <c r="J210" i="6"/>
  <c r="L210" i="6" s="1"/>
  <c r="S27" i="7"/>
  <c r="M37" i="7"/>
  <c r="L37" i="7"/>
  <c r="J205" i="6"/>
  <c r="L205" i="6" s="1"/>
  <c r="R6" i="7"/>
  <c r="M151" i="7"/>
  <c r="M161" i="7"/>
  <c r="L161" i="7"/>
  <c r="H207" i="7"/>
  <c r="L146" i="7"/>
  <c r="L151" i="7"/>
  <c r="M156" i="7"/>
  <c r="L156" i="7"/>
  <c r="M165" i="7"/>
  <c r="L165" i="7"/>
  <c r="U6" i="8"/>
  <c r="I207" i="7"/>
  <c r="R7" i="7"/>
  <c r="R9" i="7" s="1"/>
  <c r="L38" i="7"/>
  <c r="M150" i="7"/>
  <c r="L150" i="7"/>
  <c r="M145" i="7"/>
  <c r="L145" i="7"/>
  <c r="M173" i="7"/>
  <c r="L173" i="7"/>
  <c r="M177" i="7"/>
  <c r="L177" i="7"/>
  <c r="M149" i="7"/>
  <c r="L149" i="7"/>
  <c r="M147" i="7"/>
  <c r="L147" i="7"/>
  <c r="Q5" i="7"/>
  <c r="M36" i="7"/>
  <c r="M42" i="7"/>
  <c r="M48" i="7"/>
  <c r="M54" i="7"/>
  <c r="M144" i="7"/>
  <c r="L144" i="7"/>
  <c r="M159" i="7"/>
  <c r="L159" i="7"/>
  <c r="M185" i="7"/>
  <c r="L185" i="7"/>
  <c r="M189" i="7"/>
  <c r="L189" i="7"/>
  <c r="L36" i="7"/>
  <c r="L42" i="7"/>
  <c r="L48" i="7"/>
  <c r="L54" i="7"/>
  <c r="L60" i="7"/>
  <c r="L66" i="7"/>
  <c r="L72" i="7"/>
  <c r="L78" i="7"/>
  <c r="L84" i="7"/>
  <c r="L90" i="7"/>
  <c r="L96" i="7"/>
  <c r="L102" i="7"/>
  <c r="L108" i="7"/>
  <c r="L114" i="7"/>
  <c r="L120" i="7"/>
  <c r="L126" i="7"/>
  <c r="M154" i="7"/>
  <c r="L154" i="7"/>
  <c r="Q11" i="6"/>
  <c r="Q14" i="6"/>
  <c r="Q17" i="6"/>
  <c r="Q20" i="6"/>
  <c r="Q23" i="6"/>
  <c r="Q26" i="6"/>
  <c r="Q8" i="7"/>
  <c r="M9" i="7"/>
  <c r="M17" i="7"/>
  <c r="M23" i="7"/>
  <c r="M29" i="7"/>
  <c r="M35" i="7"/>
  <c r="M41" i="7"/>
  <c r="M47" i="7"/>
  <c r="M53" i="7"/>
  <c r="M59" i="7"/>
  <c r="M65" i="7"/>
  <c r="M71" i="7"/>
  <c r="M77" i="7"/>
  <c r="R14" i="6"/>
  <c r="T14" i="6" s="1"/>
  <c r="R17" i="6"/>
  <c r="T17" i="6" s="1"/>
  <c r="J229" i="6"/>
  <c r="L229" i="6" s="1"/>
  <c r="T5" i="7"/>
  <c r="R8" i="7"/>
  <c r="L9" i="7"/>
  <c r="L17" i="7"/>
  <c r="L23" i="7"/>
  <c r="M153" i="7"/>
  <c r="L153" i="7"/>
  <c r="M167" i="7"/>
  <c r="L167" i="7"/>
  <c r="M171" i="7"/>
  <c r="L171" i="7"/>
  <c r="J217" i="6"/>
  <c r="L217" i="6" s="1"/>
  <c r="M179" i="7"/>
  <c r="L179" i="7"/>
  <c r="M183" i="7"/>
  <c r="L183" i="7"/>
  <c r="M7" i="7"/>
  <c r="M15" i="7"/>
  <c r="M21" i="7"/>
  <c r="M27" i="7"/>
  <c r="M33" i="7"/>
  <c r="M39" i="7"/>
  <c r="M45" i="7"/>
  <c r="M51" i="7"/>
  <c r="M57" i="7"/>
  <c r="M63" i="7"/>
  <c r="M69" i="7"/>
  <c r="M75" i="7"/>
  <c r="L152" i="7"/>
  <c r="K160" i="7"/>
  <c r="K166" i="7"/>
  <c r="T28" i="7" s="1"/>
  <c r="K172" i="7"/>
  <c r="K178" i="7"/>
  <c r="K184" i="7"/>
  <c r="T29" i="7" s="1"/>
  <c r="K190" i="7"/>
  <c r="T5" i="8"/>
  <c r="T6" i="8"/>
  <c r="M11" i="8"/>
  <c r="O11" i="8" s="1"/>
  <c r="M12" i="8"/>
  <c r="O12" i="8" s="1"/>
  <c r="L15" i="8"/>
  <c r="N15" i="8" s="1"/>
  <c r="L67" i="8"/>
  <c r="N67" i="8" s="1"/>
  <c r="L70" i="8"/>
  <c r="N70" i="8" s="1"/>
  <c r="L83" i="8"/>
  <c r="N83" i="8" s="1"/>
  <c r="L92" i="8"/>
  <c r="N92" i="8" s="1"/>
  <c r="M105" i="8"/>
  <c r="O105" i="8" s="1"/>
  <c r="L17" i="8"/>
  <c r="N17" i="8" s="1"/>
  <c r="M29" i="8"/>
  <c r="O29" i="8" s="1"/>
  <c r="L32" i="8"/>
  <c r="N32" i="8" s="1"/>
  <c r="M42" i="8"/>
  <c r="O42" i="8" s="1"/>
  <c r="L73" i="8"/>
  <c r="N73" i="8" s="1"/>
  <c r="L76" i="8"/>
  <c r="N76" i="8" s="1"/>
  <c r="L89" i="8"/>
  <c r="N89" i="8" s="1"/>
  <c r="M92" i="8"/>
  <c r="O92" i="8" s="1"/>
  <c r="M8" i="8"/>
  <c r="O8" i="8" s="1"/>
  <c r="L16" i="8"/>
  <c r="N16" i="8" s="1"/>
  <c r="M22" i="8"/>
  <c r="O22" i="8" s="1"/>
  <c r="M28" i="8"/>
  <c r="O28" i="8" s="1"/>
  <c r="L35" i="8"/>
  <c r="N35" i="8" s="1"/>
  <c r="L38" i="8"/>
  <c r="N38" i="8" s="1"/>
  <c r="L85" i="8"/>
  <c r="N85" i="8" s="1"/>
  <c r="L88" i="8"/>
  <c r="N88" i="8" s="1"/>
  <c r="L104" i="8"/>
  <c r="N104" i="8" s="1"/>
  <c r="K148" i="7"/>
  <c r="K158" i="7"/>
  <c r="K164" i="7"/>
  <c r="K170" i="7"/>
  <c r="K176" i="7"/>
  <c r="T27" i="7" s="1"/>
  <c r="K182" i="7"/>
  <c r="K188" i="7"/>
  <c r="S6" i="8"/>
  <c r="L20" i="8"/>
  <c r="N20" i="8" s="1"/>
  <c r="L28" i="8"/>
  <c r="N28" i="8" s="1"/>
  <c r="L31" i="8"/>
  <c r="N31" i="8" s="1"/>
  <c r="L44" i="8"/>
  <c r="N44" i="8" s="1"/>
  <c r="L91" i="8"/>
  <c r="N91" i="8" s="1"/>
  <c r="M18" i="8"/>
  <c r="O18" i="8" s="1"/>
  <c r="L19" i="8"/>
  <c r="N19" i="8" s="1"/>
  <c r="M20" i="8"/>
  <c r="O20" i="8" s="1"/>
  <c r="L21" i="8"/>
  <c r="N21" i="8" s="1"/>
  <c r="L34" i="8"/>
  <c r="N34" i="8" s="1"/>
  <c r="L41" i="8"/>
  <c r="N41" i="8" s="1"/>
  <c r="L50" i="8"/>
  <c r="N50" i="8" s="1"/>
  <c r="L103" i="8"/>
  <c r="N103" i="8" s="1"/>
  <c r="K157" i="7"/>
  <c r="T17" i="7" s="1"/>
  <c r="K163" i="7"/>
  <c r="T7" i="7" s="1"/>
  <c r="K169" i="7"/>
  <c r="K175" i="7"/>
  <c r="K181" i="7"/>
  <c r="T19" i="7" s="1"/>
  <c r="K187" i="7"/>
  <c r="J132" i="8"/>
  <c r="L132" i="8" s="1"/>
  <c r="N132" i="8" s="1"/>
  <c r="M21" i="8"/>
  <c r="O21" i="8" s="1"/>
  <c r="L27" i="8"/>
  <c r="N27" i="8" s="1"/>
  <c r="L37" i="8"/>
  <c r="N37" i="8" s="1"/>
  <c r="L47" i="8"/>
  <c r="N47" i="8" s="1"/>
  <c r="L56" i="8"/>
  <c r="N56" i="8" s="1"/>
  <c r="M100" i="8"/>
  <c r="O100" i="8" s="1"/>
  <c r="M103" i="8"/>
  <c r="O103" i="8" s="1"/>
  <c r="K132" i="8"/>
  <c r="M132" i="8" s="1"/>
  <c r="O132" i="8" s="1"/>
  <c r="L10" i="8"/>
  <c r="N10" i="8" s="1"/>
  <c r="M27" i="8"/>
  <c r="O27" i="8" s="1"/>
  <c r="L40" i="8"/>
  <c r="N40" i="8" s="1"/>
  <c r="L53" i="8"/>
  <c r="N53" i="8" s="1"/>
  <c r="L62" i="8"/>
  <c r="N62" i="8" s="1"/>
  <c r="K162" i="7"/>
  <c r="K168" i="7"/>
  <c r="K174" i="7"/>
  <c r="K180" i="7"/>
  <c r="K186" i="7"/>
  <c r="L5" i="8"/>
  <c r="N5" i="8" s="1"/>
  <c r="M10" i="8"/>
  <c r="O10" i="8" s="1"/>
  <c r="L43" i="8"/>
  <c r="N43" i="8" s="1"/>
  <c r="L46" i="8"/>
  <c r="N46" i="8" s="1"/>
  <c r="L59" i="8"/>
  <c r="N59" i="8" s="1"/>
  <c r="L68" i="8"/>
  <c r="N68" i="8" s="1"/>
  <c r="L96" i="8"/>
  <c r="N96" i="8" s="1"/>
  <c r="M106" i="8"/>
  <c r="O106" i="8" s="1"/>
  <c r="M115" i="8"/>
  <c r="O115" i="8" s="1"/>
  <c r="L130" i="8"/>
  <c r="N130" i="8" s="1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30" i="7"/>
  <c r="T13" i="7" s="1"/>
  <c r="K131" i="7"/>
  <c r="T6" i="7" s="1"/>
  <c r="K132" i="7"/>
  <c r="T21" i="7" s="1"/>
  <c r="K133" i="7"/>
  <c r="T15" i="7" s="1"/>
  <c r="K134" i="7"/>
  <c r="K135" i="7"/>
  <c r="T8" i="7" s="1"/>
  <c r="K136" i="7"/>
  <c r="T26" i="7" s="1"/>
  <c r="K137" i="7"/>
  <c r="K138" i="7"/>
  <c r="K139" i="7"/>
  <c r="K140" i="7"/>
  <c r="K141" i="7"/>
  <c r="K142" i="7"/>
  <c r="K143" i="7"/>
  <c r="K155" i="7"/>
  <c r="T22" i="7" s="1"/>
  <c r="M5" i="8"/>
  <c r="O5" i="8" s="1"/>
  <c r="L6" i="8"/>
  <c r="N6" i="8" s="1"/>
  <c r="M30" i="8"/>
  <c r="O30" i="8" s="1"/>
  <c r="L33" i="8"/>
  <c r="N33" i="8" s="1"/>
  <c r="L49" i="8"/>
  <c r="N49" i="8" s="1"/>
  <c r="L52" i="8"/>
  <c r="N52" i="8" s="1"/>
  <c r="L74" i="8"/>
  <c r="N74" i="8" s="1"/>
  <c r="M93" i="8"/>
  <c r="O93" i="8" s="1"/>
  <c r="M121" i="8"/>
  <c r="O121" i="8" s="1"/>
  <c r="M130" i="8"/>
  <c r="O130" i="8" s="1"/>
  <c r="M122" i="8"/>
  <c r="O122" i="8" s="1"/>
  <c r="L121" i="8"/>
  <c r="N121" i="8" s="1"/>
  <c r="M110" i="8"/>
  <c r="O110" i="8" s="1"/>
  <c r="L109" i="8"/>
  <c r="N109" i="8" s="1"/>
  <c r="M98" i="8"/>
  <c r="O98" i="8" s="1"/>
  <c r="L97" i="8"/>
  <c r="N97" i="8" s="1"/>
  <c r="M123" i="8"/>
  <c r="O123" i="8" s="1"/>
  <c r="L131" i="8"/>
  <c r="N131" i="8" s="1"/>
  <c r="M124" i="8"/>
  <c r="O124" i="8" s="1"/>
  <c r="M125" i="8"/>
  <c r="O125" i="8" s="1"/>
  <c r="M126" i="8"/>
  <c r="O126" i="8" s="1"/>
  <c r="L126" i="8"/>
  <c r="N126" i="8" s="1"/>
  <c r="M127" i="8"/>
  <c r="O127" i="8" s="1"/>
  <c r="L128" i="8"/>
  <c r="N128" i="8" s="1"/>
  <c r="M119" i="8"/>
  <c r="O119" i="8" s="1"/>
  <c r="L118" i="8"/>
  <c r="N118" i="8" s="1"/>
  <c r="M107" i="8"/>
  <c r="O107" i="8" s="1"/>
  <c r="L106" i="8"/>
  <c r="N106" i="8" s="1"/>
  <c r="M129" i="8"/>
  <c r="O129" i="8" s="1"/>
  <c r="M120" i="8"/>
  <c r="O120" i="8" s="1"/>
  <c r="L119" i="8"/>
  <c r="N119" i="8" s="1"/>
  <c r="L116" i="8"/>
  <c r="N116" i="8" s="1"/>
  <c r="L95" i="8"/>
  <c r="N95" i="8" s="1"/>
  <c r="M117" i="8"/>
  <c r="O117" i="8" s="1"/>
  <c r="M96" i="8"/>
  <c r="O96" i="8" s="1"/>
  <c r="M104" i="8"/>
  <c r="O104" i="8" s="1"/>
  <c r="L90" i="8"/>
  <c r="N90" i="8" s="1"/>
  <c r="L84" i="8"/>
  <c r="N84" i="8" s="1"/>
  <c r="L78" i="8"/>
  <c r="N78" i="8" s="1"/>
  <c r="L72" i="8"/>
  <c r="N72" i="8" s="1"/>
  <c r="L66" i="8"/>
  <c r="N66" i="8" s="1"/>
  <c r="L60" i="8"/>
  <c r="N60" i="8" s="1"/>
  <c r="L54" i="8"/>
  <c r="N54" i="8" s="1"/>
  <c r="L48" i="8"/>
  <c r="N48" i="8" s="1"/>
  <c r="L42" i="8"/>
  <c r="N42" i="8" s="1"/>
  <c r="L36" i="8"/>
  <c r="N36" i="8" s="1"/>
  <c r="L30" i="8"/>
  <c r="N30" i="8" s="1"/>
  <c r="M19" i="8"/>
  <c r="O19" i="8" s="1"/>
  <c r="L14" i="8"/>
  <c r="N14" i="8" s="1"/>
  <c r="M91" i="8"/>
  <c r="O91" i="8" s="1"/>
  <c r="L107" i="8"/>
  <c r="N107" i="8" s="1"/>
  <c r="M108" i="8"/>
  <c r="O108" i="8" s="1"/>
  <c r="M15" i="8"/>
  <c r="O15" i="8" s="1"/>
  <c r="L115" i="8"/>
  <c r="N115" i="8" s="1"/>
  <c r="L102" i="8"/>
  <c r="N102" i="8" s="1"/>
  <c r="M94" i="8"/>
  <c r="O94" i="8" s="1"/>
  <c r="L93" i="8"/>
  <c r="N93" i="8" s="1"/>
  <c r="M24" i="8"/>
  <c r="O24" i="8" s="1"/>
  <c r="L23" i="8"/>
  <c r="N23" i="8" s="1"/>
  <c r="M116" i="8"/>
  <c r="O116" i="8" s="1"/>
  <c r="M95" i="8"/>
  <c r="O95" i="8" s="1"/>
  <c r="L94" i="8"/>
  <c r="N94" i="8" s="1"/>
  <c r="L87" i="8"/>
  <c r="N87" i="8" s="1"/>
  <c r="L81" i="8"/>
  <c r="N81" i="8" s="1"/>
  <c r="L75" i="8"/>
  <c r="N75" i="8" s="1"/>
  <c r="L69" i="8"/>
  <c r="N69" i="8" s="1"/>
  <c r="L63" i="8"/>
  <c r="N63" i="8" s="1"/>
  <c r="L57" i="8"/>
  <c r="N57" i="8" s="1"/>
  <c r="L51" i="8"/>
  <c r="N51" i="8" s="1"/>
  <c r="L45" i="8"/>
  <c r="N45" i="8" s="1"/>
  <c r="L39" i="8"/>
  <c r="N39" i="8" s="1"/>
  <c r="M25" i="8"/>
  <c r="O25" i="8" s="1"/>
  <c r="L24" i="8"/>
  <c r="N24" i="8" s="1"/>
  <c r="M6" i="8"/>
  <c r="O6" i="8" s="1"/>
  <c r="L9" i="8"/>
  <c r="N9" i="8" s="1"/>
  <c r="L12" i="8"/>
  <c r="N12" i="8" s="1"/>
  <c r="L26" i="8"/>
  <c r="N26" i="8" s="1"/>
  <c r="L55" i="8"/>
  <c r="N55" i="8" s="1"/>
  <c r="L58" i="8"/>
  <c r="N58" i="8" s="1"/>
  <c r="L71" i="8"/>
  <c r="N71" i="8" s="1"/>
  <c r="L80" i="8"/>
  <c r="N80" i="8" s="1"/>
  <c r="L105" i="8"/>
  <c r="N105" i="8" s="1"/>
  <c r="A3" i="8"/>
  <c r="R3" i="8" s="1"/>
  <c r="S5" i="8"/>
  <c r="M9" i="8"/>
  <c r="O9" i="8" s="1"/>
  <c r="M23" i="8"/>
  <c r="O23" i="8" s="1"/>
  <c r="M26" i="8"/>
  <c r="O26" i="8" s="1"/>
  <c r="L29" i="8"/>
  <c r="N29" i="8" s="1"/>
  <c r="M36" i="8"/>
  <c r="O36" i="8" s="1"/>
  <c r="L61" i="8"/>
  <c r="N61" i="8" s="1"/>
  <c r="L64" i="8"/>
  <c r="N64" i="8" s="1"/>
  <c r="L77" i="8"/>
  <c r="N77" i="8" s="1"/>
  <c r="L86" i="8"/>
  <c r="N86" i="8" s="1"/>
  <c r="L114" i="8"/>
  <c r="N114" i="8" s="1"/>
  <c r="L117" i="8"/>
  <c r="N117" i="8" s="1"/>
  <c r="V6" i="8"/>
  <c r="V7" i="8" s="1"/>
  <c r="U5" i="8"/>
  <c r="U7" i="8" s="1"/>
  <c r="M99" i="8"/>
  <c r="O99" i="8" s="1"/>
  <c r="M102" i="8"/>
  <c r="O102" i="8" s="1"/>
  <c r="L108" i="8"/>
  <c r="N108" i="8" s="1"/>
  <c r="L129" i="8"/>
  <c r="N129" i="8" s="1"/>
  <c r="M32" i="8"/>
  <c r="O32" i="8" s="1"/>
  <c r="M38" i="8"/>
  <c r="O38" i="8" s="1"/>
  <c r="M44" i="8"/>
  <c r="O44" i="8" s="1"/>
  <c r="M50" i="8"/>
  <c r="O50" i="8" s="1"/>
  <c r="M56" i="8"/>
  <c r="O56" i="8" s="1"/>
  <c r="M62" i="8"/>
  <c r="O62" i="8" s="1"/>
  <c r="M68" i="8"/>
  <c r="O68" i="8" s="1"/>
  <c r="M74" i="8"/>
  <c r="O74" i="8" s="1"/>
  <c r="M80" i="8"/>
  <c r="O80" i="8" s="1"/>
  <c r="M86" i="8"/>
  <c r="O86" i="8" s="1"/>
  <c r="L111" i="8"/>
  <c r="N111" i="8" s="1"/>
  <c r="X5" i="8"/>
  <c r="M31" i="8"/>
  <c r="O31" i="8" s="1"/>
  <c r="M37" i="8"/>
  <c r="O37" i="8" s="1"/>
  <c r="M43" i="8"/>
  <c r="O43" i="8" s="1"/>
  <c r="M49" i="8"/>
  <c r="O49" i="8" s="1"/>
  <c r="M55" i="8"/>
  <c r="O55" i="8" s="1"/>
  <c r="M61" i="8"/>
  <c r="O61" i="8" s="1"/>
  <c r="M67" i="8"/>
  <c r="O67" i="8" s="1"/>
  <c r="M73" i="8"/>
  <c r="O73" i="8" s="1"/>
  <c r="M79" i="8"/>
  <c r="O79" i="8" s="1"/>
  <c r="M85" i="8"/>
  <c r="O85" i="8" s="1"/>
  <c r="L98" i="8"/>
  <c r="N98" i="8" s="1"/>
  <c r="L101" i="8"/>
  <c r="N101" i="8" s="1"/>
  <c r="M111" i="8"/>
  <c r="O111" i="8" s="1"/>
  <c r="M114" i="8"/>
  <c r="O114" i="8" s="1"/>
  <c r="L122" i="8"/>
  <c r="N122" i="8" s="1"/>
  <c r="L125" i="8"/>
  <c r="N125" i="8" s="1"/>
  <c r="M101" i="8"/>
  <c r="O101" i="8" s="1"/>
  <c r="M48" i="8"/>
  <c r="O48" i="8" s="1"/>
  <c r="M54" i="8"/>
  <c r="O54" i="8" s="1"/>
  <c r="M60" i="8"/>
  <c r="O60" i="8" s="1"/>
  <c r="M66" i="8"/>
  <c r="O66" i="8" s="1"/>
  <c r="M72" i="8"/>
  <c r="O72" i="8" s="1"/>
  <c r="M78" i="8"/>
  <c r="O78" i="8" s="1"/>
  <c r="M84" i="8"/>
  <c r="O84" i="8" s="1"/>
  <c r="M90" i="8"/>
  <c r="O90" i="8" s="1"/>
  <c r="M131" i="8"/>
  <c r="O131" i="8" s="1"/>
  <c r="L110" i="8"/>
  <c r="N110" i="8" s="1"/>
  <c r="L113" i="8"/>
  <c r="N113" i="8" s="1"/>
  <c r="M35" i="8"/>
  <c r="O35" i="8" s="1"/>
  <c r="M41" i="8"/>
  <c r="O41" i="8" s="1"/>
  <c r="M47" i="8"/>
  <c r="O47" i="8" s="1"/>
  <c r="M53" i="8"/>
  <c r="O53" i="8" s="1"/>
  <c r="M59" i="8"/>
  <c r="O59" i="8" s="1"/>
  <c r="M65" i="8"/>
  <c r="O65" i="8" s="1"/>
  <c r="M71" i="8"/>
  <c r="O71" i="8" s="1"/>
  <c r="M77" i="8"/>
  <c r="O77" i="8" s="1"/>
  <c r="M83" i="8"/>
  <c r="O83" i="8" s="1"/>
  <c r="M89" i="8"/>
  <c r="O89" i="8" s="1"/>
  <c r="M97" i="8"/>
  <c r="O97" i="8" s="1"/>
  <c r="L100" i="8"/>
  <c r="N100" i="8" s="1"/>
  <c r="M113" i="8"/>
  <c r="O113" i="8" s="1"/>
  <c r="M118" i="8"/>
  <c r="O118" i="8" s="1"/>
  <c r="L124" i="8"/>
  <c r="N124" i="8" s="1"/>
  <c r="M34" i="8"/>
  <c r="O34" i="8" s="1"/>
  <c r="M40" i="8"/>
  <c r="O40" i="8" s="1"/>
  <c r="M46" i="8"/>
  <c r="O46" i="8" s="1"/>
  <c r="M52" i="8"/>
  <c r="O52" i="8" s="1"/>
  <c r="M58" i="8"/>
  <c r="O58" i="8" s="1"/>
  <c r="M64" i="8"/>
  <c r="O64" i="8" s="1"/>
  <c r="M70" i="8"/>
  <c r="O70" i="8" s="1"/>
  <c r="M76" i="8"/>
  <c r="O76" i="8" s="1"/>
  <c r="M82" i="8"/>
  <c r="O82" i="8" s="1"/>
  <c r="M88" i="8"/>
  <c r="O88" i="8" s="1"/>
  <c r="M109" i="8"/>
  <c r="O109" i="8" s="1"/>
  <c r="L112" i="8"/>
  <c r="N112" i="8" s="1"/>
  <c r="M33" i="8"/>
  <c r="O33" i="8" s="1"/>
  <c r="M39" i="8"/>
  <c r="O39" i="8" s="1"/>
  <c r="M45" i="8"/>
  <c r="O45" i="8" s="1"/>
  <c r="M51" i="8"/>
  <c r="O51" i="8" s="1"/>
  <c r="M57" i="8"/>
  <c r="O57" i="8" s="1"/>
  <c r="M63" i="8"/>
  <c r="O63" i="8" s="1"/>
  <c r="M69" i="8"/>
  <c r="O69" i="8" s="1"/>
  <c r="M75" i="8"/>
  <c r="O75" i="8" s="1"/>
  <c r="M81" i="8"/>
  <c r="O81" i="8" s="1"/>
  <c r="M87" i="8"/>
  <c r="O87" i="8" s="1"/>
  <c r="L99" i="8"/>
  <c r="N99" i="8" s="1"/>
  <c r="M112" i="8"/>
  <c r="O112" i="8" s="1"/>
  <c r="L120" i="8"/>
  <c r="N120" i="8" s="1"/>
  <c r="L123" i="8"/>
  <c r="N123" i="8" s="1"/>
  <c r="BL8" i="9"/>
  <c r="BX5" i="9"/>
  <c r="M128" i="8"/>
  <c r="O128" i="8" s="1"/>
  <c r="AW11" i="9"/>
  <c r="BH12" i="9"/>
  <c r="AU13" i="9"/>
  <c r="AU16" i="9"/>
  <c r="L127" i="8"/>
  <c r="N127" i="8" s="1"/>
  <c r="T177" i="9"/>
  <c r="AF177" i="9" s="1"/>
  <c r="BG13" i="9"/>
  <c r="BS13" i="9" s="1"/>
  <c r="AF5" i="9"/>
  <c r="BB5" i="9"/>
  <c r="BC6" i="9"/>
  <c r="BG7" i="9"/>
  <c r="AY11" i="9"/>
  <c r="BK12" i="9"/>
  <c r="BW12" i="9" s="1"/>
  <c r="AX13" i="9"/>
  <c r="AV16" i="9"/>
  <c r="AG5" i="9"/>
  <c r="BC5" i="9"/>
  <c r="BD6" i="9"/>
  <c r="BD8" i="9" s="1"/>
  <c r="BH7" i="9"/>
  <c r="BB11" i="9"/>
  <c r="BL12" i="9"/>
  <c r="AY13" i="9"/>
  <c r="AV14" i="9"/>
  <c r="BC16" i="9"/>
  <c r="AI5" i="9"/>
  <c r="BD11" i="9"/>
  <c r="BM12" i="9"/>
  <c r="BB13" i="9"/>
  <c r="AX14" i="9"/>
  <c r="AV15" i="9"/>
  <c r="BD16" i="9"/>
  <c r="BG8" i="9"/>
  <c r="BE11" i="9"/>
  <c r="BO12" i="9"/>
  <c r="CA12" i="9" s="1"/>
  <c r="BE13" i="9"/>
  <c r="BA14" i="9"/>
  <c r="AX15" i="9"/>
  <c r="BR16" i="9"/>
  <c r="BC18" i="9"/>
  <c r="X177" i="9"/>
  <c r="AJ177" i="9" s="1"/>
  <c r="BJ6" i="9"/>
  <c r="CB7" i="9"/>
  <c r="BF11" i="9"/>
  <c r="BF13" i="9"/>
  <c r="AY15" i="9"/>
  <c r="BE18" i="9"/>
  <c r="Y177" i="9"/>
  <c r="AK177" i="9" s="1"/>
  <c r="BJ5" i="9"/>
  <c r="BL6" i="9"/>
  <c r="BR7" i="9"/>
  <c r="CD7" i="9" s="1"/>
  <c r="BG11" i="9"/>
  <c r="BH13" i="9"/>
  <c r="BC14" i="9"/>
  <c r="BB15" i="9"/>
  <c r="BN12" i="9"/>
  <c r="BN6" i="9"/>
  <c r="BZ6" i="9" s="1"/>
  <c r="BB24" i="9"/>
  <c r="BL23" i="9"/>
  <c r="AY22" i="9"/>
  <c r="BJ21" i="9"/>
  <c r="AX20" i="9"/>
  <c r="BA24" i="9"/>
  <c r="BI23" i="9"/>
  <c r="AV22" i="9"/>
  <c r="BH21" i="9"/>
  <c r="BP20" i="9"/>
  <c r="CB20" i="9" s="1"/>
  <c r="BE19" i="9"/>
  <c r="BA18" i="9"/>
  <c r="BQ17" i="9"/>
  <c r="CC17" i="9" s="1"/>
  <c r="AV17" i="9"/>
  <c r="BN16" i="9"/>
  <c r="BH20" i="9"/>
  <c r="AX19" i="9"/>
  <c r="BP18" i="9"/>
  <c r="BL17" i="9"/>
  <c r="BX17" i="9" s="1"/>
  <c r="BH16" i="9"/>
  <c r="BT16" i="9" s="1"/>
  <c r="BF16" i="9"/>
  <c r="BD15" i="9"/>
  <c r="BD14" i="9"/>
  <c r="AY12" i="9"/>
  <c r="AU21" i="9"/>
  <c r="BF20" i="9"/>
  <c r="BP19" i="9"/>
  <c r="AV19" i="9"/>
  <c r="BL18" i="9"/>
  <c r="BI17" i="9"/>
  <c r="BE16" i="9"/>
  <c r="BP21" i="9"/>
  <c r="BE20" i="9"/>
  <c r="BN19" i="9"/>
  <c r="BZ19" i="9" s="1"/>
  <c r="AX7" i="9"/>
  <c r="BJ11" i="9"/>
  <c r="AV12" i="9"/>
  <c r="BL13" i="9"/>
  <c r="BE14" i="9"/>
  <c r="BE15" i="9"/>
  <c r="AZ17" i="9"/>
  <c r="BK18" i="9"/>
  <c r="BM7" i="9"/>
  <c r="BY7" i="9" s="1"/>
  <c r="BA7" i="9"/>
  <c r="BG6" i="9"/>
  <c r="AU6" i="9"/>
  <c r="BM5" i="9"/>
  <c r="BA5" i="9"/>
  <c r="BJ7" i="9"/>
  <c r="BV7" i="9" s="1"/>
  <c r="AW7" i="9"/>
  <c r="BM6" i="9"/>
  <c r="BY6" i="9" s="1"/>
  <c r="AZ6" i="9"/>
  <c r="AZ8" i="9" s="1"/>
  <c r="BO5" i="9"/>
  <c r="BQ7" i="9"/>
  <c r="BC7" i="9"/>
  <c r="CA7" i="9" s="1"/>
  <c r="BO6" i="9"/>
  <c r="BA6" i="9"/>
  <c r="BK5" i="9"/>
  <c r="AX5" i="9"/>
  <c r="AX8" i="9" s="1"/>
  <c r="BN7" i="9"/>
  <c r="AY7" i="9"/>
  <c r="BK6" i="9"/>
  <c r="AW6" i="9"/>
  <c r="BH5" i="9"/>
  <c r="AU5" i="9"/>
  <c r="BS5" i="9" s="1"/>
  <c r="BK7" i="9"/>
  <c r="AV7" i="9"/>
  <c r="BI6" i="9"/>
  <c r="BF5" i="9"/>
  <c r="BF8" i="9" s="1"/>
  <c r="BI7" i="9"/>
  <c r="BU7" i="9" s="1"/>
  <c r="AU7" i="9"/>
  <c r="BH6" i="9"/>
  <c r="BE5" i="9"/>
  <c r="AA177" i="9"/>
  <c r="AM177" i="9" s="1"/>
  <c r="BN5" i="9"/>
  <c r="BP6" i="9"/>
  <c r="CB6" i="9" s="1"/>
  <c r="AZ7" i="9"/>
  <c r="BX7" i="9" s="1"/>
  <c r="BN11" i="9"/>
  <c r="AX12" i="9"/>
  <c r="BP13" i="9"/>
  <c r="BL14" i="9"/>
  <c r="BJ15" i="9"/>
  <c r="BV15" i="9" s="1"/>
  <c r="BA17" i="9"/>
  <c r="BD22" i="9"/>
  <c r="BP23" i="9"/>
  <c r="CB23" i="9" s="1"/>
  <c r="BR24" i="9"/>
  <c r="AV5" i="9"/>
  <c r="BP5" i="9"/>
  <c r="AV6" i="9"/>
  <c r="BQ6" i="9"/>
  <c r="CC6" i="9" s="1"/>
  <c r="BB7" i="9"/>
  <c r="BP11" i="9"/>
  <c r="AZ12" i="9"/>
  <c r="BQ13" i="9"/>
  <c r="CC13" i="9" s="1"/>
  <c r="BO14" i="9"/>
  <c r="CA14" i="9" s="1"/>
  <c r="BL15" i="9"/>
  <c r="BD17" i="9"/>
  <c r="BI19" i="9"/>
  <c r="AV20" i="9"/>
  <c r="AW5" i="9"/>
  <c r="AW8" i="9" s="1"/>
  <c r="BQ5" i="9"/>
  <c r="AX6" i="9"/>
  <c r="BR6" i="9"/>
  <c r="CD6" i="9" s="1"/>
  <c r="BR11" i="9"/>
  <c r="BD12" i="9"/>
  <c r="BP14" i="9"/>
  <c r="CB14" i="9" s="1"/>
  <c r="BN15" i="9"/>
  <c r="BE17" i="9"/>
  <c r="BK19" i="9"/>
  <c r="BW19" i="9" s="1"/>
  <c r="BC20" i="9"/>
  <c r="BM21" i="9"/>
  <c r="BG24" i="9"/>
  <c r="AD177" i="9"/>
  <c r="AP177" i="9" s="1"/>
  <c r="AP5" i="9"/>
  <c r="AY5" i="9"/>
  <c r="BR5" i="9"/>
  <c r="AY6" i="9"/>
  <c r="BE7" i="9"/>
  <c r="AU11" i="9"/>
  <c r="BF12" i="9"/>
  <c r="BR14" i="9"/>
  <c r="BR15" i="9"/>
  <c r="BM19" i="9"/>
  <c r="BE22" i="9"/>
  <c r="BR23" i="9"/>
  <c r="BJ24" i="9"/>
  <c r="BQ21" i="9"/>
  <c r="BF22" i="9"/>
  <c r="BK24" i="9"/>
  <c r="BK17" i="9"/>
  <c r="BO18" i="9"/>
  <c r="CA18" i="9" s="1"/>
  <c r="AW19" i="9"/>
  <c r="BG20" i="9"/>
  <c r="AV21" i="9"/>
  <c r="BG22" i="9"/>
  <c r="BS22" i="9" s="1"/>
  <c r="AV23" i="9"/>
  <c r="BN24" i="9"/>
  <c r="AW21" i="9"/>
  <c r="BH22" i="9"/>
  <c r="BT22" i="9" s="1"/>
  <c r="AX23" i="9"/>
  <c r="BI24" i="9"/>
  <c r="BU24" i="9" s="1"/>
  <c r="AW24" i="9"/>
  <c r="BO23" i="9"/>
  <c r="BC23" i="9"/>
  <c r="BI22" i="9"/>
  <c r="AW22" i="9"/>
  <c r="BO21" i="9"/>
  <c r="CA21" i="9" s="1"/>
  <c r="BC21" i="9"/>
  <c r="BI20" i="9"/>
  <c r="AW20" i="9"/>
  <c r="BO19" i="9"/>
  <c r="CA19" i="9" s="1"/>
  <c r="BC19" i="9"/>
  <c r="BI18" i="9"/>
  <c r="BU18" i="9" s="1"/>
  <c r="AW18" i="9"/>
  <c r="BO17" i="9"/>
  <c r="BC17" i="9"/>
  <c r="BI16" i="9"/>
  <c r="AW16" i="9"/>
  <c r="BH24" i="9"/>
  <c r="AU24" i="9"/>
  <c r="BJ23" i="9"/>
  <c r="BV23" i="9" s="1"/>
  <c r="AW23" i="9"/>
  <c r="BM22" i="9"/>
  <c r="BY22" i="9" s="1"/>
  <c r="AZ22" i="9"/>
  <c r="BN21" i="9"/>
  <c r="BZ21" i="9" s="1"/>
  <c r="BA21" i="9"/>
  <c r="BQ20" i="9"/>
  <c r="CC20" i="9" s="1"/>
  <c r="BD20" i="9"/>
  <c r="BF19" i="9"/>
  <c r="BH18" i="9"/>
  <c r="AU18" i="9"/>
  <c r="BJ17" i="9"/>
  <c r="AW17" i="9"/>
  <c r="BM16" i="9"/>
  <c r="AZ16" i="9"/>
  <c r="BO15" i="9"/>
  <c r="BC15" i="9"/>
  <c r="BI14" i="9"/>
  <c r="BU14" i="9" s="1"/>
  <c r="AW14" i="9"/>
  <c r="BO13" i="9"/>
  <c r="CA13" i="9" s="1"/>
  <c r="BC13" i="9"/>
  <c r="BI12" i="9"/>
  <c r="BU12" i="9" s="1"/>
  <c r="AW12" i="9"/>
  <c r="BO11" i="9"/>
  <c r="BC11" i="9"/>
  <c r="BF24" i="9"/>
  <c r="BH23" i="9"/>
  <c r="BT23" i="9" s="1"/>
  <c r="AU23" i="9"/>
  <c r="BK22" i="9"/>
  <c r="BW22" i="9" s="1"/>
  <c r="AX22" i="9"/>
  <c r="BL21" i="9"/>
  <c r="AY21" i="9"/>
  <c r="BO20" i="9"/>
  <c r="CA20" i="9" s="1"/>
  <c r="BB20" i="9"/>
  <c r="BQ19" i="9"/>
  <c r="CC19" i="9" s="1"/>
  <c r="BD19" i="9"/>
  <c r="BF18" i="9"/>
  <c r="BH17" i="9"/>
  <c r="BT17" i="9" s="1"/>
  <c r="AU17" i="9"/>
  <c r="BK16" i="9"/>
  <c r="AX16" i="9"/>
  <c r="BM15" i="9"/>
  <c r="BY15" i="9" s="1"/>
  <c r="BA15" i="9"/>
  <c r="BG14" i="9"/>
  <c r="BS14" i="9" s="1"/>
  <c r="AU14" i="9"/>
  <c r="BM13" i="9"/>
  <c r="BY13" i="9" s="1"/>
  <c r="BA13" i="9"/>
  <c r="BG12" i="9"/>
  <c r="AU12" i="9"/>
  <c r="BM11" i="9"/>
  <c r="BA11" i="9"/>
  <c r="BQ24" i="9"/>
  <c r="BM24" i="9"/>
  <c r="BY24" i="9" s="1"/>
  <c r="AZ24" i="9"/>
  <c r="BN23" i="9"/>
  <c r="BA23" i="9"/>
  <c r="BE24" i="9"/>
  <c r="BK23" i="9"/>
  <c r="BR22" i="9"/>
  <c r="CD22" i="9" s="1"/>
  <c r="BC22" i="9"/>
  <c r="BI21" i="9"/>
  <c r="BR20" i="9"/>
  <c r="CD20" i="9" s="1"/>
  <c r="BA20" i="9"/>
  <c r="BJ19" i="9"/>
  <c r="BV19" i="9" s="1"/>
  <c r="AU19" i="9"/>
  <c r="BD18" i="9"/>
  <c r="BN17" i="9"/>
  <c r="AY17" i="9"/>
  <c r="BG16" i="9"/>
  <c r="BS16" i="9" s="1"/>
  <c r="BP15" i="9"/>
  <c r="AZ15" i="9"/>
  <c r="BN14" i="9"/>
  <c r="BZ14" i="9" s="1"/>
  <c r="AZ14" i="9"/>
  <c r="BJ13" i="9"/>
  <c r="BV13" i="9" s="1"/>
  <c r="AV13" i="9"/>
  <c r="BC24" i="9"/>
  <c r="BG23" i="9"/>
  <c r="BS23" i="9" s="1"/>
  <c r="BP22" i="9"/>
  <c r="CB22" i="9" s="1"/>
  <c r="BA22" i="9"/>
  <c r="BG21" i="9"/>
  <c r="BS21" i="9" s="1"/>
  <c r="BN20" i="9"/>
  <c r="AY20" i="9"/>
  <c r="BH19" i="9"/>
  <c r="BT19" i="9" s="1"/>
  <c r="BP24" i="9"/>
  <c r="AY24" i="9"/>
  <c r="BD23" i="9"/>
  <c r="BL22" i="9"/>
  <c r="BX22" i="9" s="1"/>
  <c r="AU22" i="9"/>
  <c r="BD21" i="9"/>
  <c r="BK20" i="9"/>
  <c r="BW20" i="9" s="1"/>
  <c r="AU20" i="9"/>
  <c r="BB19" i="9"/>
  <c r="BN18" i="9"/>
  <c r="AY18" i="9"/>
  <c r="BG17" i="9"/>
  <c r="BS17" i="9" s="1"/>
  <c r="BQ16" i="9"/>
  <c r="CC16" i="9" s="1"/>
  <c r="BB16" i="9"/>
  <c r="BI15" i="9"/>
  <c r="BU15" i="9" s="1"/>
  <c r="AU15" i="9"/>
  <c r="BH14" i="9"/>
  <c r="BT14" i="9" s="1"/>
  <c r="BO24" i="9"/>
  <c r="CA24" i="9" s="1"/>
  <c r="AX24" i="9"/>
  <c r="BB23" i="9"/>
  <c r="BJ22" i="9"/>
  <c r="BV22" i="9" s="1"/>
  <c r="BR21" i="9"/>
  <c r="BB21" i="9"/>
  <c r="BJ20" i="9"/>
  <c r="BV20" i="9" s="1"/>
  <c r="BR19" i="9"/>
  <c r="CD19" i="9" s="1"/>
  <c r="BA19" i="9"/>
  <c r="BM18" i="9"/>
  <c r="BY18" i="9" s="1"/>
  <c r="AX18" i="9"/>
  <c r="BV18" i="9" s="1"/>
  <c r="BF17" i="9"/>
  <c r="BP16" i="9"/>
  <c r="CB16" i="9" s="1"/>
  <c r="BA16" i="9"/>
  <c r="BH15" i="9"/>
  <c r="BT15" i="9" s="1"/>
  <c r="BF14" i="9"/>
  <c r="BR13" i="9"/>
  <c r="CD13" i="9" s="1"/>
  <c r="BD13" i="9"/>
  <c r="BP12" i="9"/>
  <c r="CB12" i="9" s="1"/>
  <c r="BB12" i="9"/>
  <c r="BL11" i="9"/>
  <c r="AX11" i="9"/>
  <c r="BL24" i="9"/>
  <c r="BX24" i="9" s="1"/>
  <c r="BQ23" i="9"/>
  <c r="AB177" i="9"/>
  <c r="AN177" i="9" s="1"/>
  <c r="BH11" i="9"/>
  <c r="BA12" i="9"/>
  <c r="BQ12" i="9"/>
  <c r="CC12" i="9" s="1"/>
  <c r="BI13" i="9"/>
  <c r="BJ14" i="9"/>
  <c r="BV14" i="9" s="1"/>
  <c r="BF15" i="9"/>
  <c r="BJ16" i="9"/>
  <c r="BM17" i="9"/>
  <c r="BY17" i="9" s="1"/>
  <c r="AV18" i="9"/>
  <c r="BQ18" i="9"/>
  <c r="CC18" i="9" s="1"/>
  <c r="AY19" i="9"/>
  <c r="BL20" i="9"/>
  <c r="BX20" i="9" s="1"/>
  <c r="AX21" i="9"/>
  <c r="BN22" i="9"/>
  <c r="AY23" i="9"/>
  <c r="AC177" i="9"/>
  <c r="AO177" i="9" s="1"/>
  <c r="BI11" i="9"/>
  <c r="BC12" i="9"/>
  <c r="BR12" i="9"/>
  <c r="CD12" i="9" s="1"/>
  <c r="BK13" i="9"/>
  <c r="BK14" i="9"/>
  <c r="BG15" i="9"/>
  <c r="BS15" i="9" s="1"/>
  <c r="BL16" i="9"/>
  <c r="BP17" i="9"/>
  <c r="CB17" i="9" s="1"/>
  <c r="AZ18" i="9"/>
  <c r="BR18" i="9"/>
  <c r="CD18" i="9" s="1"/>
  <c r="AZ19" i="9"/>
  <c r="BM20" i="9"/>
  <c r="BY20" i="9" s="1"/>
  <c r="AZ21" i="9"/>
  <c r="BO22" i="9"/>
  <c r="CA22" i="9" s="1"/>
  <c r="AZ23" i="9"/>
  <c r="BE21" i="9"/>
  <c r="BQ22" i="9"/>
  <c r="CC22" i="9" s="1"/>
  <c r="BE23" i="9"/>
  <c r="AE177" i="9"/>
  <c r="AQ177" i="9" s="1"/>
  <c r="AV11" i="9"/>
  <c r="AV25" i="9" s="1"/>
  <c r="BK11" i="9"/>
  <c r="BE12" i="9"/>
  <c r="AW13" i="9"/>
  <c r="BN13" i="9"/>
  <c r="BZ13" i="9" s="1"/>
  <c r="BM14" i="9"/>
  <c r="BY14" i="9" s="1"/>
  <c r="BK15" i="9"/>
  <c r="BW15" i="9" s="1"/>
  <c r="BO16" i="9"/>
  <c r="CA16" i="9" s="1"/>
  <c r="AX17" i="9"/>
  <c r="BR17" i="9"/>
  <c r="CD17" i="9" s="1"/>
  <c r="BB18" i="9"/>
  <c r="BG19" i="9"/>
  <c r="BF21" i="9"/>
  <c r="BF23" i="9"/>
  <c r="AV24" i="9"/>
  <c r="V177" i="9"/>
  <c r="AH177" i="9" s="1"/>
  <c r="AH5" i="9"/>
  <c r="AZ11" i="9"/>
  <c r="BQ11" i="9"/>
  <c r="BJ12" i="9"/>
  <c r="BV12" i="9" s="1"/>
  <c r="AZ13" i="9"/>
  <c r="AY14" i="9"/>
  <c r="BQ14" i="9"/>
  <c r="CC14" i="9" s="1"/>
  <c r="AW15" i="9"/>
  <c r="BQ15" i="9"/>
  <c r="CC15" i="9" s="1"/>
  <c r="AY16" i="9"/>
  <c r="BB17" i="9"/>
  <c r="BG18" i="9"/>
  <c r="BS18" i="9" s="1"/>
  <c r="BL19" i="9"/>
  <c r="AZ20" i="9"/>
  <c r="BK21" i="9"/>
  <c r="BB22" i="9"/>
  <c r="BM23" i="9"/>
  <c r="BD24" i="9"/>
  <c r="K21" i="10"/>
  <c r="J21" i="10"/>
  <c r="L21" i="10" s="1"/>
  <c r="K27" i="10"/>
  <c r="J27" i="10"/>
  <c r="L27" i="10" s="1"/>
  <c r="Q18" i="10"/>
  <c r="S18" i="10" s="1"/>
  <c r="P14" i="10"/>
  <c r="K112" i="10"/>
  <c r="J112" i="10"/>
  <c r="L112" i="10" s="1"/>
  <c r="Q15" i="11"/>
  <c r="K45" i="10"/>
  <c r="J45" i="10"/>
  <c r="L45" i="10" s="1"/>
  <c r="Z177" i="9"/>
  <c r="AL177" i="9" s="1"/>
  <c r="K106" i="10"/>
  <c r="J106" i="10"/>
  <c r="L106" i="10" s="1"/>
  <c r="P7" i="10"/>
  <c r="Q6" i="10"/>
  <c r="J8" i="10"/>
  <c r="R7" i="10"/>
  <c r="T7" i="10" s="1"/>
  <c r="K63" i="10"/>
  <c r="J63" i="10"/>
  <c r="L63" i="10" s="1"/>
  <c r="Q23" i="10"/>
  <c r="S23" i="10" s="1"/>
  <c r="Q19" i="10"/>
  <c r="Q15" i="10"/>
  <c r="S15" i="10" s="1"/>
  <c r="Q11" i="10"/>
  <c r="P23" i="10"/>
  <c r="P19" i="10"/>
  <c r="P15" i="10"/>
  <c r="P11" i="10"/>
  <c r="R22" i="10"/>
  <c r="Q21" i="10"/>
  <c r="S21" i="10" s="1"/>
  <c r="Q17" i="10"/>
  <c r="Q13" i="10"/>
  <c r="S13" i="10" s="1"/>
  <c r="P21" i="10"/>
  <c r="P17" i="10"/>
  <c r="P13" i="10"/>
  <c r="Q20" i="10"/>
  <c r="Q16" i="10"/>
  <c r="Q12" i="10"/>
  <c r="S12" i="10" s="1"/>
  <c r="P20" i="10"/>
  <c r="P12" i="10"/>
  <c r="Q22" i="10"/>
  <c r="S22" i="10" s="1"/>
  <c r="R23" i="10"/>
  <c r="T23" i="10" s="1"/>
  <c r="P16" i="10"/>
  <c r="K10" i="10"/>
  <c r="J10" i="10"/>
  <c r="K13" i="10"/>
  <c r="J13" i="10"/>
  <c r="L13" i="10" s="1"/>
  <c r="Q14" i="10"/>
  <c r="P18" i="10"/>
  <c r="P22" i="10"/>
  <c r="J43" i="10"/>
  <c r="L43" i="10" s="1"/>
  <c r="K33" i="10"/>
  <c r="J33" i="10"/>
  <c r="L33" i="10" s="1"/>
  <c r="J55" i="10"/>
  <c r="L55" i="10" s="1"/>
  <c r="J58" i="10"/>
  <c r="L58" i="10" s="1"/>
  <c r="K95" i="10"/>
  <c r="J95" i="10"/>
  <c r="L95" i="10" s="1"/>
  <c r="J91" i="10"/>
  <c r="L91" i="10" s="1"/>
  <c r="J97" i="10"/>
  <c r="L97" i="10" s="1"/>
  <c r="J103" i="10"/>
  <c r="L103" i="10" s="1"/>
  <c r="J109" i="10"/>
  <c r="L109" i="10" s="1"/>
  <c r="J124" i="10"/>
  <c r="L124" i="10" s="1"/>
  <c r="J115" i="10"/>
  <c r="L115" i="10" s="1"/>
  <c r="J125" i="10"/>
  <c r="L125" i="10" s="1"/>
  <c r="J88" i="10"/>
  <c r="L88" i="10" s="1"/>
  <c r="J77" i="10"/>
  <c r="L77" i="10" s="1"/>
  <c r="J71" i="10"/>
  <c r="L71" i="10" s="1"/>
  <c r="J65" i="10"/>
  <c r="L65" i="10" s="1"/>
  <c r="J59" i="10"/>
  <c r="L59" i="10" s="1"/>
  <c r="J53" i="10"/>
  <c r="L53" i="10" s="1"/>
  <c r="J130" i="10"/>
  <c r="L130" i="10" s="1"/>
  <c r="J105" i="10"/>
  <c r="L105" i="10" s="1"/>
  <c r="J94" i="10"/>
  <c r="L94" i="10" s="1"/>
  <c r="J83" i="10"/>
  <c r="L83" i="10" s="1"/>
  <c r="J22" i="10"/>
  <c r="L22" i="10" s="1"/>
  <c r="J18" i="10"/>
  <c r="L18" i="10" s="1"/>
  <c r="J14" i="10"/>
  <c r="L14" i="10" s="1"/>
  <c r="J121" i="10"/>
  <c r="L121" i="10" s="1"/>
  <c r="J116" i="10"/>
  <c r="L116" i="10" s="1"/>
  <c r="J111" i="10"/>
  <c r="L111" i="10" s="1"/>
  <c r="J100" i="10"/>
  <c r="L100" i="10" s="1"/>
  <c r="J89" i="10"/>
  <c r="L89" i="10" s="1"/>
  <c r="J78" i="10"/>
  <c r="L78" i="10" s="1"/>
  <c r="J72" i="10"/>
  <c r="L72" i="10" s="1"/>
  <c r="J66" i="10"/>
  <c r="L66" i="10" s="1"/>
  <c r="J60" i="10"/>
  <c r="L60" i="10" s="1"/>
  <c r="J54" i="10"/>
  <c r="L54" i="10" s="1"/>
  <c r="J48" i="10"/>
  <c r="L48" i="10" s="1"/>
  <c r="J42" i="10"/>
  <c r="L42" i="10" s="1"/>
  <c r="J36" i="10"/>
  <c r="L36" i="10" s="1"/>
  <c r="J30" i="10"/>
  <c r="L30" i="10" s="1"/>
  <c r="K39" i="10"/>
  <c r="J39" i="10"/>
  <c r="L39" i="10" s="1"/>
  <c r="J61" i="10"/>
  <c r="L61" i="10" s="1"/>
  <c r="J64" i="10"/>
  <c r="L64" i="10" s="1"/>
  <c r="K98" i="10"/>
  <c r="J98" i="10"/>
  <c r="L98" i="10" s="1"/>
  <c r="J101" i="10"/>
  <c r="L101" i="10" s="1"/>
  <c r="J107" i="10"/>
  <c r="L107" i="10" s="1"/>
  <c r="J113" i="10"/>
  <c r="L113" i="10" s="1"/>
  <c r="J104" i="10"/>
  <c r="L104" i="10" s="1"/>
  <c r="J32" i="10"/>
  <c r="L32" i="10" s="1"/>
  <c r="K51" i="10"/>
  <c r="J51" i="10"/>
  <c r="L51" i="10" s="1"/>
  <c r="J73" i="10"/>
  <c r="L73" i="10" s="1"/>
  <c r="J76" i="10"/>
  <c r="L76" i="10" s="1"/>
  <c r="J82" i="10"/>
  <c r="L82" i="10" s="1"/>
  <c r="J127" i="10"/>
  <c r="L127" i="10" s="1"/>
  <c r="K57" i="10"/>
  <c r="J57" i="10"/>
  <c r="L57" i="10" s="1"/>
  <c r="J79" i="10"/>
  <c r="L79" i="10" s="1"/>
  <c r="J85" i="10"/>
  <c r="L85" i="10" s="1"/>
  <c r="J50" i="10"/>
  <c r="L50" i="10" s="1"/>
  <c r="K69" i="10"/>
  <c r="J69" i="10"/>
  <c r="L69" i="10" s="1"/>
  <c r="J129" i="10"/>
  <c r="L129" i="10" s="1"/>
  <c r="K6" i="10"/>
  <c r="J6" i="10"/>
  <c r="L6" i="10" s="1"/>
  <c r="J11" i="10"/>
  <c r="L11" i="10" s="1"/>
  <c r="J19" i="10"/>
  <c r="L19" i="10" s="1"/>
  <c r="J25" i="10"/>
  <c r="L25" i="10" s="1"/>
  <c r="J28" i="10"/>
  <c r="L28" i="10" s="1"/>
  <c r="J56" i="10"/>
  <c r="L56" i="10" s="1"/>
  <c r="K75" i="10"/>
  <c r="J75" i="10"/>
  <c r="L75" i="10" s="1"/>
  <c r="J31" i="10"/>
  <c r="L31" i="10" s="1"/>
  <c r="J34" i="10"/>
  <c r="L34" i="10" s="1"/>
  <c r="J62" i="10"/>
  <c r="L62" i="10" s="1"/>
  <c r="J81" i="10"/>
  <c r="L81" i="10" s="1"/>
  <c r="K84" i="10"/>
  <c r="J84" i="10"/>
  <c r="L84" i="10" s="1"/>
  <c r="J87" i="10"/>
  <c r="L87" i="10" s="1"/>
  <c r="J93" i="10"/>
  <c r="L93" i="10" s="1"/>
  <c r="J96" i="10"/>
  <c r="L96" i="10" s="1"/>
  <c r="J102" i="10"/>
  <c r="L102" i="10" s="1"/>
  <c r="J74" i="10"/>
  <c r="L74" i="10" s="1"/>
  <c r="M5" i="11"/>
  <c r="R15" i="11"/>
  <c r="R9" i="11"/>
  <c r="R17" i="11"/>
  <c r="Q13" i="11"/>
  <c r="Q10" i="11"/>
  <c r="R16" i="11"/>
  <c r="R11" i="11"/>
  <c r="Q16" i="11"/>
  <c r="Q11" i="11"/>
  <c r="R12" i="11"/>
  <c r="R5" i="11"/>
  <c r="R18" i="11" s="1"/>
  <c r="Q17" i="11"/>
  <c r="Q12" i="11"/>
  <c r="R6" i="11"/>
  <c r="Q5" i="11"/>
  <c r="R7" i="11"/>
  <c r="Q6" i="11"/>
  <c r="R13" i="11"/>
  <c r="R8" i="11"/>
  <c r="Q7" i="11"/>
  <c r="Q8" i="11"/>
  <c r="R14" i="11"/>
  <c r="Q14" i="11"/>
  <c r="Q9" i="11"/>
  <c r="AD11" i="12"/>
  <c r="AC14" i="12"/>
  <c r="AC17" i="12"/>
  <c r="AC20" i="12"/>
  <c r="AG6" i="12"/>
  <c r="AE5" i="12"/>
  <c r="AE8" i="12" s="1"/>
  <c r="AD5" i="12"/>
  <c r="AH6" i="12"/>
  <c r="AC5" i="12"/>
  <c r="AF6" i="12"/>
  <c r="AB5" i="12"/>
  <c r="AB8" i="12" s="1"/>
  <c r="AH7" i="12"/>
  <c r="AD6" i="12"/>
  <c r="AD7" i="12"/>
  <c r="AC7" i="12"/>
  <c r="AH5" i="12"/>
  <c r="AH8" i="12" s="1"/>
  <c r="AB7" i="12"/>
  <c r="AG5" i="12"/>
  <c r="AG8" i="12" s="1"/>
  <c r="AA7" i="12"/>
  <c r="AF5" i="12"/>
  <c r="AA5" i="12"/>
  <c r="AA8" i="12" s="1"/>
  <c r="AF7" i="12"/>
  <c r="AF11" i="12"/>
  <c r="AF14" i="12"/>
  <c r="AF17" i="12"/>
  <c r="AF20" i="12"/>
  <c r="P5" i="10"/>
  <c r="J126" i="10"/>
  <c r="L126" i="10" s="1"/>
  <c r="J131" i="10"/>
  <c r="L131" i="10" s="1"/>
  <c r="AC24" i="12"/>
  <c r="AA23" i="12"/>
  <c r="AG20" i="12"/>
  <c r="AE19" i="12"/>
  <c r="AC18" i="12"/>
  <c r="AA17" i="12"/>
  <c r="AG14" i="12"/>
  <c r="AE13" i="12"/>
  <c r="AC12" i="12"/>
  <c r="AA11" i="12"/>
  <c r="AH24" i="12"/>
  <c r="AD23" i="12"/>
  <c r="AH21" i="12"/>
  <c r="AF24" i="12"/>
  <c r="AB23" i="12"/>
  <c r="AC23" i="12"/>
  <c r="AH22" i="12"/>
  <c r="AB21" i="12"/>
  <c r="AF19" i="12"/>
  <c r="AE16" i="12"/>
  <c r="AA15" i="12"/>
  <c r="AF13" i="12"/>
  <c r="AG22" i="12"/>
  <c r="AA21" i="12"/>
  <c r="AD19" i="12"/>
  <c r="AH17" i="12"/>
  <c r="AD16" i="12"/>
  <c r="AD13" i="12"/>
  <c r="AH11" i="12"/>
  <c r="AF22" i="12"/>
  <c r="AH20" i="12"/>
  <c r="AC19" i="12"/>
  <c r="AG17" i="12"/>
  <c r="AC16" i="12"/>
  <c r="AH14" i="12"/>
  <c r="AC13" i="12"/>
  <c r="AG11" i="12"/>
  <c r="AL23" i="12"/>
  <c r="AP23" i="12" s="1"/>
  <c r="AD22" i="12"/>
  <c r="AE20" i="12"/>
  <c r="AA19" i="12"/>
  <c r="AE17" i="12"/>
  <c r="AA16" i="12"/>
  <c r="AE14" i="12"/>
  <c r="AA13" i="12"/>
  <c r="AE11" i="12"/>
  <c r="AE25" i="12" s="1"/>
  <c r="AG24" i="12"/>
  <c r="AC22" i="12"/>
  <c r="AD20" i="12"/>
  <c r="AH18" i="12"/>
  <c r="AD17" i="12"/>
  <c r="AH15" i="12"/>
  <c r="AD14" i="12"/>
  <c r="AH12" i="12"/>
  <c r="AB24" i="12"/>
  <c r="AH23" i="12"/>
  <c r="AF21" i="12"/>
  <c r="AA20" i="12"/>
  <c r="AE18" i="12"/>
  <c r="AE15" i="12"/>
  <c r="AA14" i="12"/>
  <c r="AE12" i="12"/>
  <c r="AA24" i="12"/>
  <c r="AG23" i="12"/>
  <c r="AE21" i="12"/>
  <c r="AD18" i="12"/>
  <c r="AH16" i="12"/>
  <c r="AD15" i="12"/>
  <c r="AD12" i="12"/>
  <c r="AF23" i="12"/>
  <c r="AD21" i="12"/>
  <c r="AH19" i="12"/>
  <c r="AB18" i="12"/>
  <c r="AG16" i="12"/>
  <c r="AC15" i="12"/>
  <c r="AH13" i="12"/>
  <c r="AB12" i="12"/>
  <c r="AE23" i="12"/>
  <c r="AC21" i="12"/>
  <c r="AG19" i="12"/>
  <c r="AA18" i="12"/>
  <c r="AF16" i="12"/>
  <c r="AB15" i="12"/>
  <c r="AG13" i="12"/>
  <c r="AA12" i="12"/>
  <c r="AE24" i="12"/>
  <c r="Q5" i="10"/>
  <c r="I133" i="10"/>
  <c r="K133" i="10" s="1"/>
  <c r="H138" i="11"/>
  <c r="M7" i="11"/>
  <c r="P6" i="10"/>
  <c r="J29" i="10"/>
  <c r="L29" i="10" s="1"/>
  <c r="J35" i="10"/>
  <c r="L35" i="10" s="1"/>
  <c r="J41" i="10"/>
  <c r="L41" i="10" s="1"/>
  <c r="J47" i="10"/>
  <c r="L47" i="10" s="1"/>
  <c r="J99" i="10"/>
  <c r="L99" i="10" s="1"/>
  <c r="J120" i="10"/>
  <c r="L120" i="10" s="1"/>
  <c r="I138" i="11"/>
  <c r="M6" i="11"/>
  <c r="AB6" i="12"/>
  <c r="AF12" i="12"/>
  <c r="AF15" i="12"/>
  <c r="AF18" i="12"/>
  <c r="AG21" i="12"/>
  <c r="J110" i="10"/>
  <c r="L110" i="10" s="1"/>
  <c r="K120" i="10"/>
  <c r="AC6" i="12"/>
  <c r="AG12" i="12"/>
  <c r="AG15" i="12"/>
  <c r="AG18" i="12"/>
  <c r="AA22" i="12"/>
  <c r="AB22" i="12"/>
  <c r="J114" i="10"/>
  <c r="L114" i="10" s="1"/>
  <c r="J119" i="10"/>
  <c r="L119" i="10" s="1"/>
  <c r="L3" i="11"/>
  <c r="AB13" i="12"/>
  <c r="AB16" i="12"/>
  <c r="AB19" i="12"/>
  <c r="AE22" i="12"/>
  <c r="Q7" i="10"/>
  <c r="S7" i="10" s="1"/>
  <c r="J92" i="10"/>
  <c r="L92" i="10" s="1"/>
  <c r="K114" i="10"/>
  <c r="J123" i="10"/>
  <c r="L123" i="10" s="1"/>
  <c r="J128" i="10"/>
  <c r="L128" i="10" s="1"/>
  <c r="J12" i="10"/>
  <c r="L12" i="10" s="1"/>
  <c r="J16" i="10"/>
  <c r="L16" i="10" s="1"/>
  <c r="J20" i="10"/>
  <c r="L20" i="10" s="1"/>
  <c r="J24" i="10"/>
  <c r="L24" i="10" s="1"/>
  <c r="J86" i="10"/>
  <c r="L86" i="10" s="1"/>
  <c r="J108" i="10"/>
  <c r="L108" i="10" s="1"/>
  <c r="J118" i="10"/>
  <c r="L118" i="10" s="1"/>
  <c r="AB11" i="12"/>
  <c r="J80" i="10"/>
  <c r="L80" i="10" s="1"/>
  <c r="J132" i="10"/>
  <c r="L132" i="10" s="1"/>
  <c r="N7" i="11"/>
  <c r="N6" i="11"/>
  <c r="N5" i="11"/>
  <c r="AC11" i="12"/>
  <c r="AC25" i="12" s="1"/>
  <c r="AB14" i="12"/>
  <c r="AB17" i="12"/>
  <c r="AB20" i="12"/>
  <c r="O158" i="12"/>
  <c r="Q13" i="12"/>
  <c r="U13" i="12" s="1"/>
  <c r="Q19" i="12"/>
  <c r="U19" i="12" s="1"/>
  <c r="Q25" i="12"/>
  <c r="U25" i="12" s="1"/>
  <c r="Q30" i="12"/>
  <c r="U30" i="12" s="1"/>
  <c r="Q31" i="12"/>
  <c r="U31" i="12" s="1"/>
  <c r="S35" i="12"/>
  <c r="W35" i="12" s="1"/>
  <c r="Q36" i="12"/>
  <c r="U36" i="12" s="1"/>
  <c r="Q39" i="12"/>
  <c r="U39" i="12" s="1"/>
  <c r="R40" i="12"/>
  <c r="V40" i="12" s="1"/>
  <c r="S45" i="12"/>
  <c r="W45" i="12" s="1"/>
  <c r="Q51" i="12"/>
  <c r="U51" i="12" s="1"/>
  <c r="P55" i="12"/>
  <c r="T55" i="12" s="1"/>
  <c r="Q67" i="12"/>
  <c r="U67" i="12" s="1"/>
  <c r="Q68" i="12"/>
  <c r="U68" i="12" s="1"/>
  <c r="P73" i="12"/>
  <c r="T73" i="12" s="1"/>
  <c r="R80" i="12"/>
  <c r="V80" i="12" s="1"/>
  <c r="S88" i="12"/>
  <c r="W88" i="12" s="1"/>
  <c r="Q90" i="12"/>
  <c r="U90" i="12" s="1"/>
  <c r="Q92" i="12"/>
  <c r="U92" i="12" s="1"/>
  <c r="P101" i="12"/>
  <c r="T101" i="12" s="1"/>
  <c r="P107" i="12"/>
  <c r="T107" i="12" s="1"/>
  <c r="P110" i="12"/>
  <c r="T110" i="12" s="1"/>
  <c r="R118" i="12"/>
  <c r="V118" i="12" s="1"/>
  <c r="R119" i="12"/>
  <c r="V119" i="12" s="1"/>
  <c r="Q6" i="13"/>
  <c r="S150" i="12"/>
  <c r="W150" i="12" s="1"/>
  <c r="S138" i="12"/>
  <c r="W138" i="12" s="1"/>
  <c r="S155" i="12"/>
  <c r="W155" i="12" s="1"/>
  <c r="R153" i="12"/>
  <c r="V153" i="12" s="1"/>
  <c r="Q151" i="12"/>
  <c r="U151" i="12" s="1"/>
  <c r="P149" i="12"/>
  <c r="T149" i="12" s="1"/>
  <c r="S142" i="12"/>
  <c r="W142" i="12" s="1"/>
  <c r="R140" i="12"/>
  <c r="V140" i="12" s="1"/>
  <c r="Q138" i="12"/>
  <c r="U138" i="12" s="1"/>
  <c r="P136" i="12"/>
  <c r="T136" i="12" s="1"/>
  <c r="S131" i="12"/>
  <c r="W131" i="12" s="1"/>
  <c r="S129" i="12"/>
  <c r="W129" i="12" s="1"/>
  <c r="S127" i="12"/>
  <c r="W127" i="12" s="1"/>
  <c r="S125" i="12"/>
  <c r="W125" i="12" s="1"/>
  <c r="S123" i="12"/>
  <c r="W123" i="12" s="1"/>
  <c r="S121" i="12"/>
  <c r="W121" i="12" s="1"/>
  <c r="S119" i="12"/>
  <c r="W119" i="12" s="1"/>
  <c r="S117" i="12"/>
  <c r="W117" i="12" s="1"/>
  <c r="R156" i="12"/>
  <c r="V156" i="12" s="1"/>
  <c r="S146" i="12"/>
  <c r="W146" i="12" s="1"/>
  <c r="S124" i="12"/>
  <c r="W124" i="12" s="1"/>
  <c r="S116" i="12"/>
  <c r="W116" i="12" s="1"/>
  <c r="S105" i="12"/>
  <c r="W105" i="12" s="1"/>
  <c r="S152" i="12"/>
  <c r="W152" i="12" s="1"/>
  <c r="S136" i="12"/>
  <c r="W136" i="12" s="1"/>
  <c r="S132" i="12"/>
  <c r="W132" i="12" s="1"/>
  <c r="Q124" i="12"/>
  <c r="U124" i="12" s="1"/>
  <c r="Q116" i="12"/>
  <c r="U116" i="12" s="1"/>
  <c r="S109" i="12"/>
  <c r="W109" i="12" s="1"/>
  <c r="P152" i="12"/>
  <c r="T152" i="12" s="1"/>
  <c r="S148" i="12"/>
  <c r="W148" i="12" s="1"/>
  <c r="S141" i="12"/>
  <c r="W141" i="12" s="1"/>
  <c r="S154" i="12"/>
  <c r="W154" i="12" s="1"/>
  <c r="S144" i="12"/>
  <c r="W144" i="12" s="1"/>
  <c r="R141" i="12"/>
  <c r="V141" i="12" s="1"/>
  <c r="Q157" i="12"/>
  <c r="U157" i="12" s="1"/>
  <c r="S147" i="12"/>
  <c r="W147" i="12" s="1"/>
  <c r="S143" i="12"/>
  <c r="W143" i="12" s="1"/>
  <c r="S137" i="12"/>
  <c r="W137" i="12" s="1"/>
  <c r="R134" i="12"/>
  <c r="V134" i="12" s="1"/>
  <c r="S130" i="12"/>
  <c r="W130" i="12" s="1"/>
  <c r="S122" i="12"/>
  <c r="W122" i="12" s="1"/>
  <c r="S99" i="12"/>
  <c r="W99" i="12" s="1"/>
  <c r="R147" i="12"/>
  <c r="V147" i="12" s="1"/>
  <c r="S145" i="12"/>
  <c r="W145" i="12" s="1"/>
  <c r="R131" i="12"/>
  <c r="V131" i="12" s="1"/>
  <c r="Q126" i="12"/>
  <c r="U126" i="12" s="1"/>
  <c r="Q122" i="12"/>
  <c r="U122" i="12" s="1"/>
  <c r="S113" i="12"/>
  <c r="W113" i="12" s="1"/>
  <c r="S110" i="12"/>
  <c r="W110" i="12" s="1"/>
  <c r="P104" i="12"/>
  <c r="T104" i="12" s="1"/>
  <c r="S97" i="12"/>
  <c r="W97" i="12" s="1"/>
  <c r="P49" i="12"/>
  <c r="T49" i="12" s="1"/>
  <c r="R145" i="12"/>
  <c r="V145" i="12" s="1"/>
  <c r="R117" i="12"/>
  <c r="V117" i="12" s="1"/>
  <c r="R113" i="12"/>
  <c r="V113" i="12" s="1"/>
  <c r="Q110" i="12"/>
  <c r="U110" i="12" s="1"/>
  <c r="Q100" i="12"/>
  <c r="U100" i="12" s="1"/>
  <c r="Q97" i="12"/>
  <c r="U97" i="12" s="1"/>
  <c r="R91" i="12"/>
  <c r="V91" i="12" s="1"/>
  <c r="P51" i="12"/>
  <c r="T51" i="12" s="1"/>
  <c r="P27" i="12"/>
  <c r="T27" i="12" s="1"/>
  <c r="R157" i="12"/>
  <c r="V157" i="12" s="1"/>
  <c r="P138" i="12"/>
  <c r="T138" i="12" s="1"/>
  <c r="P117" i="12"/>
  <c r="T117" i="12" s="1"/>
  <c r="S103" i="12"/>
  <c r="W103" i="12" s="1"/>
  <c r="P91" i="12"/>
  <c r="T91" i="12" s="1"/>
  <c r="P83" i="12"/>
  <c r="T83" i="12" s="1"/>
  <c r="P75" i="12"/>
  <c r="T75" i="12" s="1"/>
  <c r="P67" i="12"/>
  <c r="T67" i="12" s="1"/>
  <c r="P53" i="12"/>
  <c r="T53" i="12" s="1"/>
  <c r="P29" i="12"/>
  <c r="T29" i="12" s="1"/>
  <c r="Q143" i="12"/>
  <c r="U143" i="12" s="1"/>
  <c r="P137" i="12"/>
  <c r="T137" i="12" s="1"/>
  <c r="R130" i="12"/>
  <c r="V130" i="12" s="1"/>
  <c r="P125" i="12"/>
  <c r="T125" i="12" s="1"/>
  <c r="S120" i="12"/>
  <c r="W120" i="12" s="1"/>
  <c r="P116" i="12"/>
  <c r="T116" i="12" s="1"/>
  <c r="R109" i="12"/>
  <c r="V109" i="12" s="1"/>
  <c r="S102" i="12"/>
  <c r="W102" i="12" s="1"/>
  <c r="Q154" i="12"/>
  <c r="U154" i="12" s="1"/>
  <c r="S153" i="12"/>
  <c r="W153" i="12" s="1"/>
  <c r="Q136" i="12"/>
  <c r="U136" i="12" s="1"/>
  <c r="S135" i="12"/>
  <c r="W135" i="12" s="1"/>
  <c r="Q130" i="12"/>
  <c r="U130" i="12" s="1"/>
  <c r="R124" i="12"/>
  <c r="V124" i="12" s="1"/>
  <c r="R120" i="12"/>
  <c r="V120" i="12" s="1"/>
  <c r="S115" i="12"/>
  <c r="W115" i="12" s="1"/>
  <c r="R112" i="12"/>
  <c r="V112" i="12" s="1"/>
  <c r="Q106" i="12"/>
  <c r="U106" i="12" s="1"/>
  <c r="R102" i="12"/>
  <c r="V102" i="12" s="1"/>
  <c r="R99" i="12"/>
  <c r="V99" i="12" s="1"/>
  <c r="R93" i="12"/>
  <c r="V93" i="12" s="1"/>
  <c r="P85" i="12"/>
  <c r="T85" i="12" s="1"/>
  <c r="Q153" i="12"/>
  <c r="U153" i="12" s="1"/>
  <c r="R152" i="12"/>
  <c r="V152" i="12" s="1"/>
  <c r="Q141" i="12"/>
  <c r="U141" i="12" s="1"/>
  <c r="Q120" i="12"/>
  <c r="U120" i="12" s="1"/>
  <c r="P151" i="12"/>
  <c r="T151" i="12" s="1"/>
  <c r="S140" i="12"/>
  <c r="W140" i="12" s="1"/>
  <c r="S128" i="12"/>
  <c r="W128" i="12" s="1"/>
  <c r="S118" i="12"/>
  <c r="W118" i="12" s="1"/>
  <c r="P115" i="12"/>
  <c r="T115" i="12" s="1"/>
  <c r="P87" i="12"/>
  <c r="T87" i="12" s="1"/>
  <c r="P79" i="12"/>
  <c r="T79" i="12" s="1"/>
  <c r="P71" i="12"/>
  <c r="T71" i="12" s="1"/>
  <c r="P63" i="12"/>
  <c r="T63" i="12" s="1"/>
  <c r="P41" i="12"/>
  <c r="T41" i="12" s="1"/>
  <c r="R24" i="12"/>
  <c r="V24" i="12" s="1"/>
  <c r="R150" i="12"/>
  <c r="V150" i="12" s="1"/>
  <c r="Q150" i="12"/>
  <c r="U150" i="12" s="1"/>
  <c r="Q149" i="12"/>
  <c r="U149" i="12" s="1"/>
  <c r="P139" i="12"/>
  <c r="T139" i="12" s="1"/>
  <c r="P134" i="12"/>
  <c r="T134" i="12" s="1"/>
  <c r="R133" i="12"/>
  <c r="V133" i="12" s="1"/>
  <c r="R132" i="12"/>
  <c r="V132" i="12" s="1"/>
  <c r="Q128" i="12"/>
  <c r="U128" i="12" s="1"/>
  <c r="S126" i="12"/>
  <c r="W126" i="12" s="1"/>
  <c r="Q118" i="12"/>
  <c r="U118" i="12" s="1"/>
  <c r="R114" i="12"/>
  <c r="V114" i="12" s="1"/>
  <c r="P111" i="12"/>
  <c r="T111" i="12" s="1"/>
  <c r="P108" i="12"/>
  <c r="T108" i="12" s="1"/>
  <c r="R104" i="12"/>
  <c r="V104" i="12" s="1"/>
  <c r="R101" i="12"/>
  <c r="V101" i="12" s="1"/>
  <c r="P95" i="12"/>
  <c r="T95" i="12" s="1"/>
  <c r="R89" i="12"/>
  <c r="V89" i="12" s="1"/>
  <c r="S86" i="12"/>
  <c r="W86" i="12" s="1"/>
  <c r="R81" i="12"/>
  <c r="V81" i="12" s="1"/>
  <c r="S78" i="12"/>
  <c r="W78" i="12" s="1"/>
  <c r="R73" i="12"/>
  <c r="V73" i="12" s="1"/>
  <c r="S70" i="12"/>
  <c r="W70" i="12" s="1"/>
  <c r="R65" i="12"/>
  <c r="V65" i="12" s="1"/>
  <c r="S62" i="12"/>
  <c r="W62" i="12" s="1"/>
  <c r="P45" i="12"/>
  <c r="T45" i="12" s="1"/>
  <c r="P148" i="12"/>
  <c r="T148" i="12" s="1"/>
  <c r="Q132" i="12"/>
  <c r="U132" i="12" s="1"/>
  <c r="R127" i="12"/>
  <c r="V127" i="12" s="1"/>
  <c r="R122" i="12"/>
  <c r="V122" i="12" s="1"/>
  <c r="S107" i="12"/>
  <c r="W107" i="12" s="1"/>
  <c r="S94" i="12"/>
  <c r="W94" i="12" s="1"/>
  <c r="Q5" i="12"/>
  <c r="AJ21" i="12" s="1"/>
  <c r="AN21" i="12" s="1"/>
  <c r="P8" i="12"/>
  <c r="T8" i="12" s="1"/>
  <c r="R10" i="12"/>
  <c r="V10" i="12" s="1"/>
  <c r="R13" i="12"/>
  <c r="V13" i="12" s="1"/>
  <c r="Q16" i="12"/>
  <c r="U16" i="12" s="1"/>
  <c r="R19" i="12"/>
  <c r="V19" i="12" s="1"/>
  <c r="S30" i="12"/>
  <c r="W30" i="12" s="1"/>
  <c r="R31" i="12"/>
  <c r="V31" i="12" s="1"/>
  <c r="Q32" i="12"/>
  <c r="U32" i="12" s="1"/>
  <c r="P35" i="12"/>
  <c r="T35" i="12" s="1"/>
  <c r="R46" i="12"/>
  <c r="V46" i="12" s="1"/>
  <c r="Q47" i="12"/>
  <c r="U47" i="12" s="1"/>
  <c r="P50" i="12"/>
  <c r="T50" i="12" s="1"/>
  <c r="P56" i="12"/>
  <c r="T56" i="12" s="1"/>
  <c r="S60" i="12"/>
  <c r="W60" i="12" s="1"/>
  <c r="P66" i="12"/>
  <c r="T66" i="12" s="1"/>
  <c r="R67" i="12"/>
  <c r="V67" i="12" s="1"/>
  <c r="R68" i="12"/>
  <c r="V68" i="12" s="1"/>
  <c r="S73" i="12"/>
  <c r="W73" i="12" s="1"/>
  <c r="S80" i="12"/>
  <c r="W80" i="12" s="1"/>
  <c r="P89" i="12"/>
  <c r="T89" i="12" s="1"/>
  <c r="Q93" i="12"/>
  <c r="U93" i="12" s="1"/>
  <c r="P94" i="12"/>
  <c r="T94" i="12" s="1"/>
  <c r="P105" i="12"/>
  <c r="T105" i="12" s="1"/>
  <c r="P106" i="12"/>
  <c r="T106" i="12" s="1"/>
  <c r="Q107" i="12"/>
  <c r="U107" i="12" s="1"/>
  <c r="Q109" i="12"/>
  <c r="U109" i="12" s="1"/>
  <c r="R111" i="12"/>
  <c r="V111" i="12" s="1"/>
  <c r="Q113" i="12"/>
  <c r="U113" i="12" s="1"/>
  <c r="R115" i="12"/>
  <c r="V115" i="12" s="1"/>
  <c r="P126" i="12"/>
  <c r="T126" i="12" s="1"/>
  <c r="P147" i="12"/>
  <c r="T147" i="12" s="1"/>
  <c r="R5" i="12"/>
  <c r="AK6" i="12" s="1"/>
  <c r="AO6" i="12" s="1"/>
  <c r="Q8" i="12"/>
  <c r="U8" i="12" s="1"/>
  <c r="S13" i="12"/>
  <c r="W13" i="12" s="1"/>
  <c r="R16" i="12"/>
  <c r="V16" i="12" s="1"/>
  <c r="S19" i="12"/>
  <c r="W19" i="12" s="1"/>
  <c r="R21" i="12"/>
  <c r="V21" i="12" s="1"/>
  <c r="S25" i="12"/>
  <c r="W25" i="12" s="1"/>
  <c r="S31" i="12"/>
  <c r="W31" i="12" s="1"/>
  <c r="R32" i="12"/>
  <c r="V32" i="12" s="1"/>
  <c r="Q35" i="12"/>
  <c r="U35" i="12" s="1"/>
  <c r="S39" i="12"/>
  <c r="W39" i="12" s="1"/>
  <c r="S40" i="12"/>
  <c r="W40" i="12" s="1"/>
  <c r="P42" i="12"/>
  <c r="T42" i="12" s="1"/>
  <c r="S46" i="12"/>
  <c r="W46" i="12" s="1"/>
  <c r="S51" i="12"/>
  <c r="W51" i="12" s="1"/>
  <c r="S56" i="12"/>
  <c r="W56" i="12" s="1"/>
  <c r="P62" i="12"/>
  <c r="T62" i="12" s="1"/>
  <c r="S67" i="12"/>
  <c r="W67" i="12" s="1"/>
  <c r="Q75" i="12"/>
  <c r="U75" i="12" s="1"/>
  <c r="Q76" i="12"/>
  <c r="U76" i="12" s="1"/>
  <c r="P81" i="12"/>
  <c r="T81" i="12" s="1"/>
  <c r="S89" i="12"/>
  <c r="W89" i="12" s="1"/>
  <c r="Q94" i="12"/>
  <c r="U94" i="12" s="1"/>
  <c r="P96" i="12"/>
  <c r="T96" i="12" s="1"/>
  <c r="P97" i="12"/>
  <c r="T97" i="12" s="1"/>
  <c r="Q98" i="12"/>
  <c r="U98" i="12" s="1"/>
  <c r="P100" i="12"/>
  <c r="T100" i="12" s="1"/>
  <c r="P103" i="12"/>
  <c r="T103" i="12" s="1"/>
  <c r="Q104" i="12"/>
  <c r="U104" i="12" s="1"/>
  <c r="R107" i="12"/>
  <c r="V107" i="12" s="1"/>
  <c r="S108" i="12"/>
  <c r="W108" i="12" s="1"/>
  <c r="R128" i="12"/>
  <c r="V128" i="12" s="1"/>
  <c r="R138" i="12"/>
  <c r="V138" i="12" s="1"/>
  <c r="Q140" i="12"/>
  <c r="U140" i="12" s="1"/>
  <c r="P141" i="12"/>
  <c r="T141" i="12" s="1"/>
  <c r="Q155" i="12"/>
  <c r="U155" i="12" s="1"/>
  <c r="S157" i="12"/>
  <c r="W157" i="12" s="1"/>
  <c r="S5" i="12"/>
  <c r="R8" i="12"/>
  <c r="P10" i="12"/>
  <c r="T10" i="12" s="1"/>
  <c r="S16" i="12"/>
  <c r="W16" i="12" s="1"/>
  <c r="P23" i="12"/>
  <c r="T23" i="12" s="1"/>
  <c r="Q27" i="12"/>
  <c r="U27" i="12" s="1"/>
  <c r="P31" i="12"/>
  <c r="T31" i="12" s="1"/>
  <c r="R35" i="12"/>
  <c r="V35" i="12" s="1"/>
  <c r="P36" i="12"/>
  <c r="T36" i="12" s="1"/>
  <c r="Q42" i="12"/>
  <c r="U42" i="12" s="1"/>
  <c r="Q43" i="12"/>
  <c r="U43" i="12" s="1"/>
  <c r="P46" i="12"/>
  <c r="T46" i="12" s="1"/>
  <c r="S47" i="12"/>
  <c r="W47" i="12" s="1"/>
  <c r="R52" i="12"/>
  <c r="V52" i="12" s="1"/>
  <c r="R57" i="12"/>
  <c r="V57" i="12" s="1"/>
  <c r="P58" i="12"/>
  <c r="T58" i="12" s="1"/>
  <c r="P61" i="12"/>
  <c r="T61" i="12" s="1"/>
  <c r="P68" i="12"/>
  <c r="T68" i="12" s="1"/>
  <c r="P74" i="12"/>
  <c r="T74" i="12" s="1"/>
  <c r="R75" i="12"/>
  <c r="V75" i="12" s="1"/>
  <c r="R76" i="12"/>
  <c r="V76" i="12" s="1"/>
  <c r="S81" i="12"/>
  <c r="W81" i="12" s="1"/>
  <c r="P90" i="12"/>
  <c r="T90" i="12" s="1"/>
  <c r="S91" i="12"/>
  <c r="W91" i="12" s="1"/>
  <c r="P92" i="12"/>
  <c r="T92" i="12" s="1"/>
  <c r="R94" i="12"/>
  <c r="V94" i="12" s="1"/>
  <c r="S95" i="12"/>
  <c r="W95" i="12" s="1"/>
  <c r="R106" i="12"/>
  <c r="V106" i="12" s="1"/>
  <c r="R108" i="12"/>
  <c r="V108" i="12" s="1"/>
  <c r="Q111" i="12"/>
  <c r="U111" i="12" s="1"/>
  <c r="S112" i="12"/>
  <c r="W112" i="12" s="1"/>
  <c r="S114" i="12"/>
  <c r="W114" i="12" s="1"/>
  <c r="Q115" i="12"/>
  <c r="U115" i="12" s="1"/>
  <c r="R116" i="12"/>
  <c r="V116" i="12" s="1"/>
  <c r="P124" i="12"/>
  <c r="T124" i="12" s="1"/>
  <c r="Q125" i="12"/>
  <c r="U125" i="12" s="1"/>
  <c r="R126" i="12"/>
  <c r="V126" i="12" s="1"/>
  <c r="Q139" i="12"/>
  <c r="U139" i="12" s="1"/>
  <c r="P32" i="12"/>
  <c r="T32" i="12" s="1"/>
  <c r="S36" i="12"/>
  <c r="W36" i="12" s="1"/>
  <c r="R41" i="12"/>
  <c r="V41" i="12" s="1"/>
  <c r="R42" i="12"/>
  <c r="V42" i="12" s="1"/>
  <c r="P47" i="12"/>
  <c r="T47" i="12" s="1"/>
  <c r="S57" i="12"/>
  <c r="W57" i="12" s="1"/>
  <c r="Q61" i="12"/>
  <c r="U61" i="12" s="1"/>
  <c r="Q63" i="12"/>
  <c r="U63" i="12" s="1"/>
  <c r="S68" i="12"/>
  <c r="W68" i="12" s="1"/>
  <c r="P70" i="12"/>
  <c r="T70" i="12" s="1"/>
  <c r="Q74" i="12"/>
  <c r="U74" i="12" s="1"/>
  <c r="S75" i="12"/>
  <c r="W75" i="12" s="1"/>
  <c r="Q83" i="12"/>
  <c r="U83" i="12" s="1"/>
  <c r="Q84" i="12"/>
  <c r="U84" i="12" s="1"/>
  <c r="S90" i="12"/>
  <c r="W90" i="12" s="1"/>
  <c r="S92" i="12"/>
  <c r="W92" i="12" s="1"/>
  <c r="P93" i="12"/>
  <c r="T93" i="12" s="1"/>
  <c r="R95" i="12"/>
  <c r="V95" i="12" s="1"/>
  <c r="R96" i="12"/>
  <c r="V96" i="12" s="1"/>
  <c r="R97" i="12"/>
  <c r="V97" i="12" s="1"/>
  <c r="R100" i="12"/>
  <c r="V100" i="12" s="1"/>
  <c r="S101" i="12"/>
  <c r="W101" i="12" s="1"/>
  <c r="P109" i="12"/>
  <c r="T109" i="12" s="1"/>
  <c r="S111" i="12"/>
  <c r="W111" i="12" s="1"/>
  <c r="Q112" i="12"/>
  <c r="U112" i="12" s="1"/>
  <c r="P113" i="12"/>
  <c r="T113" i="12" s="1"/>
  <c r="Q123" i="12"/>
  <c r="U123" i="12" s="1"/>
  <c r="R136" i="12"/>
  <c r="V136" i="12" s="1"/>
  <c r="R154" i="12"/>
  <c r="V154" i="12" s="1"/>
  <c r="S156" i="12"/>
  <c r="W156" i="12" s="1"/>
  <c r="I195" i="13"/>
  <c r="K195" i="13" s="1"/>
  <c r="K5" i="13"/>
  <c r="Q7" i="13"/>
  <c r="S7" i="13" s="1"/>
  <c r="Q23" i="13"/>
  <c r="J5" i="13"/>
  <c r="R17" i="13"/>
  <c r="T17" i="13" s="1"/>
  <c r="P98" i="12"/>
  <c r="T98" i="12" s="1"/>
  <c r="S100" i="12"/>
  <c r="W100" i="12" s="1"/>
  <c r="P102" i="12"/>
  <c r="T102" i="12" s="1"/>
  <c r="S104" i="12"/>
  <c r="W104" i="12" s="1"/>
  <c r="R105" i="12"/>
  <c r="V105" i="12" s="1"/>
  <c r="P132" i="12"/>
  <c r="T132" i="12" s="1"/>
  <c r="R135" i="12"/>
  <c r="V135" i="12" s="1"/>
  <c r="Q137" i="12"/>
  <c r="U137" i="12" s="1"/>
  <c r="R146" i="12"/>
  <c r="V146" i="12" s="1"/>
  <c r="R12" i="12"/>
  <c r="V12" i="12" s="1"/>
  <c r="R14" i="12"/>
  <c r="V14" i="12" s="1"/>
  <c r="R15" i="12"/>
  <c r="V15" i="12" s="1"/>
  <c r="R18" i="12"/>
  <c r="V18" i="12" s="1"/>
  <c r="R20" i="12"/>
  <c r="V20" i="12" s="1"/>
  <c r="S21" i="12"/>
  <c r="W21" i="12" s="1"/>
  <c r="S23" i="12"/>
  <c r="W23" i="12" s="1"/>
  <c r="S26" i="12"/>
  <c r="W26" i="12" s="1"/>
  <c r="R28" i="12"/>
  <c r="V28" i="12" s="1"/>
  <c r="R33" i="12"/>
  <c r="V33" i="12" s="1"/>
  <c r="P34" i="12"/>
  <c r="T34" i="12" s="1"/>
  <c r="P37" i="12"/>
  <c r="T37" i="12" s="1"/>
  <c r="P43" i="12"/>
  <c r="T43" i="12" s="1"/>
  <c r="R48" i="12"/>
  <c r="V48" i="12" s="1"/>
  <c r="Q52" i="12"/>
  <c r="U52" i="12" s="1"/>
  <c r="R53" i="12"/>
  <c r="V53" i="12" s="1"/>
  <c r="Q57" i="12"/>
  <c r="U57" i="12" s="1"/>
  <c r="S58" i="12"/>
  <c r="W58" i="12" s="1"/>
  <c r="S61" i="12"/>
  <c r="W61" i="12" s="1"/>
  <c r="Q62" i="12"/>
  <c r="U62" i="12" s="1"/>
  <c r="P69" i="12"/>
  <c r="T69" i="12" s="1"/>
  <c r="Q71" i="12"/>
  <c r="U71" i="12" s="1"/>
  <c r="S76" i="12"/>
  <c r="W76" i="12" s="1"/>
  <c r="P78" i="12"/>
  <c r="T78" i="12" s="1"/>
  <c r="Q82" i="12"/>
  <c r="U82" i="12" s="1"/>
  <c r="S83" i="12"/>
  <c r="W83" i="12" s="1"/>
  <c r="P86" i="12"/>
  <c r="T86" i="12" s="1"/>
  <c r="Q96" i="12"/>
  <c r="U96" i="12" s="1"/>
  <c r="R98" i="12"/>
  <c r="V98" i="12" s="1"/>
  <c r="Q99" i="12"/>
  <c r="U99" i="12" s="1"/>
  <c r="Q102" i="12"/>
  <c r="U102" i="12" s="1"/>
  <c r="P121" i="12"/>
  <c r="T121" i="12" s="1"/>
  <c r="R125" i="12"/>
  <c r="V125" i="12" s="1"/>
  <c r="R6" i="12"/>
  <c r="S33" i="12"/>
  <c r="W33" i="12" s="1"/>
  <c r="Q44" i="12"/>
  <c r="U44" i="12" s="1"/>
  <c r="S52" i="12"/>
  <c r="W52" i="12" s="1"/>
  <c r="Q58" i="12"/>
  <c r="U58" i="12" s="1"/>
  <c r="R63" i="12"/>
  <c r="V63" i="12" s="1"/>
  <c r="Q64" i="12"/>
  <c r="U64" i="12" s="1"/>
  <c r="P84" i="12"/>
  <c r="T84" i="12" s="1"/>
  <c r="Q121" i="12"/>
  <c r="U121" i="12" s="1"/>
  <c r="P123" i="12"/>
  <c r="T123" i="12" s="1"/>
  <c r="P131" i="12"/>
  <c r="T131" i="12" s="1"/>
  <c r="S134" i="12"/>
  <c r="W134" i="12" s="1"/>
  <c r="P135" i="12"/>
  <c r="T135" i="12" s="1"/>
  <c r="P11" i="13"/>
  <c r="P24" i="13" s="1"/>
  <c r="L158" i="12"/>
  <c r="P5" i="12"/>
  <c r="P9" i="12"/>
  <c r="T9" i="12" s="1"/>
  <c r="S24" i="12"/>
  <c r="W24" i="12" s="1"/>
  <c r="Q28" i="12"/>
  <c r="U28" i="12" s="1"/>
  <c r="R29" i="12"/>
  <c r="V29" i="12" s="1"/>
  <c r="S34" i="12"/>
  <c r="W34" i="12" s="1"/>
  <c r="S44" i="12"/>
  <c r="W44" i="12" s="1"/>
  <c r="R45" i="12"/>
  <c r="V45" i="12" s="1"/>
  <c r="Q48" i="12"/>
  <c r="U48" i="12" s="1"/>
  <c r="Q55" i="12"/>
  <c r="U55" i="12" s="1"/>
  <c r="S59" i="12"/>
  <c r="W59" i="12" s="1"/>
  <c r="Q60" i="12"/>
  <c r="U60" i="12" s="1"/>
  <c r="S64" i="12"/>
  <c r="W64" i="12" s="1"/>
  <c r="R71" i="12"/>
  <c r="V71" i="12" s="1"/>
  <c r="Q72" i="12"/>
  <c r="U72" i="12" s="1"/>
  <c r="R85" i="12"/>
  <c r="V85" i="12" s="1"/>
  <c r="P142" i="12"/>
  <c r="T142" i="12" s="1"/>
  <c r="R144" i="12"/>
  <c r="V144" i="12" s="1"/>
  <c r="Q152" i="12"/>
  <c r="U152" i="12" s="1"/>
  <c r="P7" i="13"/>
  <c r="M158" i="12"/>
  <c r="S14" i="12"/>
  <c r="W14" i="12" s="1"/>
  <c r="S20" i="12"/>
  <c r="W20" i="12" s="1"/>
  <c r="S28" i="12"/>
  <c r="W28" i="12" s="1"/>
  <c r="Q34" i="12"/>
  <c r="U34" i="12" s="1"/>
  <c r="P40" i="12"/>
  <c r="T40" i="12" s="1"/>
  <c r="S48" i="12"/>
  <c r="W48" i="12" s="1"/>
  <c r="Q49" i="12"/>
  <c r="U49" i="12" s="1"/>
  <c r="R55" i="12"/>
  <c r="V55" i="12" s="1"/>
  <c r="Q56" i="12"/>
  <c r="U56" i="12" s="1"/>
  <c r="P59" i="12"/>
  <c r="T59" i="12" s="1"/>
  <c r="P65" i="12"/>
  <c r="T65" i="12" s="1"/>
  <c r="R72" i="12"/>
  <c r="V72" i="12" s="1"/>
  <c r="S77" i="12"/>
  <c r="Q78" i="12"/>
  <c r="Q86" i="12"/>
  <c r="U86" i="12" s="1"/>
  <c r="Q88" i="12"/>
  <c r="U88" i="12" s="1"/>
  <c r="P129" i="12"/>
  <c r="T129" i="12" s="1"/>
  <c r="Q142" i="12"/>
  <c r="U142" i="12" s="1"/>
  <c r="R151" i="12"/>
  <c r="V151" i="12" s="1"/>
  <c r="J52" i="13"/>
  <c r="L52" i="13" s="1"/>
  <c r="K52" i="13"/>
  <c r="N158" i="12"/>
  <c r="P39" i="12"/>
  <c r="T39" i="12" s="1"/>
  <c r="Q40" i="12"/>
  <c r="U40" i="12" s="1"/>
  <c r="Q45" i="12"/>
  <c r="U45" i="12" s="1"/>
  <c r="S49" i="12"/>
  <c r="W49" i="12" s="1"/>
  <c r="S55" i="12"/>
  <c r="W55" i="12" s="1"/>
  <c r="R56" i="12"/>
  <c r="V56" i="12" s="1"/>
  <c r="Q59" i="12"/>
  <c r="U59" i="12" s="1"/>
  <c r="S65" i="12"/>
  <c r="W65" i="12" s="1"/>
  <c r="S72" i="12"/>
  <c r="W72" i="12" s="1"/>
  <c r="R79" i="12"/>
  <c r="V79" i="12" s="1"/>
  <c r="Q80" i="12"/>
  <c r="U80" i="12" s="1"/>
  <c r="R87" i="12"/>
  <c r="V87" i="12" s="1"/>
  <c r="P114" i="12"/>
  <c r="T114" i="12" s="1"/>
  <c r="P127" i="12"/>
  <c r="T127" i="12" s="1"/>
  <c r="Q129" i="12"/>
  <c r="U129" i="12" s="1"/>
  <c r="R142" i="12"/>
  <c r="V142" i="12" s="1"/>
  <c r="R92" i="12"/>
  <c r="V92" i="12" s="1"/>
  <c r="Q105" i="12"/>
  <c r="U105" i="12" s="1"/>
  <c r="Q119" i="12"/>
  <c r="U119" i="12" s="1"/>
  <c r="S139" i="12"/>
  <c r="W139" i="12" s="1"/>
  <c r="S149" i="12"/>
  <c r="W149" i="12" s="1"/>
  <c r="R30" i="12"/>
  <c r="V30" i="12" s="1"/>
  <c r="R54" i="12"/>
  <c r="V54" i="12" s="1"/>
  <c r="S98" i="12"/>
  <c r="W98" i="12" s="1"/>
  <c r="P99" i="12"/>
  <c r="T99" i="12" s="1"/>
  <c r="P112" i="12"/>
  <c r="T112" i="12" s="1"/>
  <c r="P120" i="12"/>
  <c r="T120" i="12" s="1"/>
  <c r="P153" i="12"/>
  <c r="T153" i="12" s="1"/>
  <c r="Q12" i="13"/>
  <c r="P154" i="12"/>
  <c r="T154" i="12" s="1"/>
  <c r="P20" i="13"/>
  <c r="K165" i="13"/>
  <c r="J165" i="13"/>
  <c r="L165" i="13" s="1"/>
  <c r="R26" i="12"/>
  <c r="V26" i="12" s="1"/>
  <c r="R50" i="12"/>
  <c r="V50" i="12" s="1"/>
  <c r="R66" i="12"/>
  <c r="V66" i="12" s="1"/>
  <c r="Q69" i="12"/>
  <c r="U69" i="12" s="1"/>
  <c r="R74" i="12"/>
  <c r="V74" i="12" s="1"/>
  <c r="Q77" i="12"/>
  <c r="R82" i="12"/>
  <c r="V82" i="12" s="1"/>
  <c r="Q85" i="12"/>
  <c r="U85" i="12" s="1"/>
  <c r="R90" i="12"/>
  <c r="V90" i="12" s="1"/>
  <c r="R129" i="12"/>
  <c r="V129" i="12" s="1"/>
  <c r="P143" i="12"/>
  <c r="T143" i="12" s="1"/>
  <c r="J10" i="13"/>
  <c r="L10" i="13" s="1"/>
  <c r="K10" i="13"/>
  <c r="P19" i="13"/>
  <c r="Q156" i="12"/>
  <c r="U156" i="12" s="1"/>
  <c r="Q5" i="13"/>
  <c r="P18" i="13"/>
  <c r="R88" i="12"/>
  <c r="V88" i="12" s="1"/>
  <c r="Q91" i="12"/>
  <c r="U91" i="12" s="1"/>
  <c r="R103" i="12"/>
  <c r="V103" i="12" s="1"/>
  <c r="Q117" i="12"/>
  <c r="U117" i="12" s="1"/>
  <c r="P146" i="12"/>
  <c r="T146" i="12" s="1"/>
  <c r="R155" i="12"/>
  <c r="V155" i="12" s="1"/>
  <c r="K92" i="13"/>
  <c r="J92" i="13"/>
  <c r="L92" i="13" s="1"/>
  <c r="R110" i="12"/>
  <c r="V110" i="12" s="1"/>
  <c r="R121" i="12"/>
  <c r="V121" i="12" s="1"/>
  <c r="P122" i="12"/>
  <c r="T122" i="12" s="1"/>
  <c r="Q145" i="12"/>
  <c r="U145" i="12" s="1"/>
  <c r="J22" i="13"/>
  <c r="L22" i="13" s="1"/>
  <c r="J77" i="13"/>
  <c r="L77" i="13" s="1"/>
  <c r="K77" i="13"/>
  <c r="J9" i="13"/>
  <c r="L9" i="13" s="1"/>
  <c r="K9" i="13"/>
  <c r="K31" i="13"/>
  <c r="J31" i="13"/>
  <c r="L31" i="13" s="1"/>
  <c r="R38" i="12"/>
  <c r="V38" i="12" s="1"/>
  <c r="R62" i="12"/>
  <c r="V62" i="12" s="1"/>
  <c r="Q65" i="12"/>
  <c r="U65" i="12" s="1"/>
  <c r="R70" i="12"/>
  <c r="V70" i="12" s="1"/>
  <c r="Q73" i="12"/>
  <c r="U73" i="12" s="1"/>
  <c r="R78" i="12"/>
  <c r="V78" i="12" s="1"/>
  <c r="Q81" i="12"/>
  <c r="U81" i="12" s="1"/>
  <c r="R86" i="12"/>
  <c r="V86" i="12" s="1"/>
  <c r="Q89" i="12"/>
  <c r="U89" i="12" s="1"/>
  <c r="Q101" i="12"/>
  <c r="U101" i="12" s="1"/>
  <c r="Q114" i="12"/>
  <c r="U114" i="12" s="1"/>
  <c r="Q127" i="12"/>
  <c r="U127" i="12" s="1"/>
  <c r="P128" i="12"/>
  <c r="T128" i="12" s="1"/>
  <c r="P133" i="12"/>
  <c r="T133" i="12" s="1"/>
  <c r="Q148" i="12"/>
  <c r="U148" i="12" s="1"/>
  <c r="P150" i="12"/>
  <c r="T150" i="12" s="1"/>
  <c r="P22" i="13"/>
  <c r="R21" i="13"/>
  <c r="T21" i="13" s="1"/>
  <c r="P23" i="13"/>
  <c r="Q20" i="13"/>
  <c r="S20" i="13" s="1"/>
  <c r="Q18" i="13"/>
  <c r="S18" i="13" s="1"/>
  <c r="P17" i="13"/>
  <c r="P12" i="13"/>
  <c r="P16" i="13"/>
  <c r="K45" i="13"/>
  <c r="J45" i="13"/>
  <c r="L45" i="13" s="1"/>
  <c r="R36" i="12"/>
  <c r="V36" i="12" s="1"/>
  <c r="R60" i="12"/>
  <c r="V60" i="12" s="1"/>
  <c r="Q95" i="12"/>
  <c r="U95" i="12" s="1"/>
  <c r="Q108" i="12"/>
  <c r="U108" i="12" s="1"/>
  <c r="Q133" i="12"/>
  <c r="AJ23" i="12" s="1"/>
  <c r="AN23" i="12" s="1"/>
  <c r="P140" i="12"/>
  <c r="T140" i="12" s="1"/>
  <c r="P14" i="13"/>
  <c r="P15" i="13"/>
  <c r="K36" i="13"/>
  <c r="J36" i="13"/>
  <c r="L36" i="13" s="1"/>
  <c r="K79" i="13"/>
  <c r="J79" i="13"/>
  <c r="L79" i="13" s="1"/>
  <c r="R34" i="12"/>
  <c r="V34" i="12" s="1"/>
  <c r="R58" i="12"/>
  <c r="V58" i="12" s="1"/>
  <c r="R139" i="12"/>
  <c r="V139" i="12" s="1"/>
  <c r="K8" i="13"/>
  <c r="J8" i="13"/>
  <c r="L8" i="13" s="1"/>
  <c r="Q15" i="13"/>
  <c r="S15" i="13" s="1"/>
  <c r="K122" i="13"/>
  <c r="J122" i="13"/>
  <c r="L122" i="13" s="1"/>
  <c r="Q135" i="12"/>
  <c r="U135" i="12" s="1"/>
  <c r="P145" i="12"/>
  <c r="T145" i="12" s="1"/>
  <c r="R148" i="12"/>
  <c r="V148" i="12" s="1"/>
  <c r="S151" i="12"/>
  <c r="W151" i="12" s="1"/>
  <c r="K33" i="13"/>
  <c r="J33" i="13"/>
  <c r="L33" i="13" s="1"/>
  <c r="K61" i="13"/>
  <c r="J61" i="13"/>
  <c r="L61" i="13" s="1"/>
  <c r="K64" i="13"/>
  <c r="J64" i="13"/>
  <c r="L64" i="13" s="1"/>
  <c r="J95" i="13"/>
  <c r="L95" i="13" s="1"/>
  <c r="K95" i="13"/>
  <c r="K82" i="13"/>
  <c r="J82" i="13"/>
  <c r="L82" i="13" s="1"/>
  <c r="Q146" i="12"/>
  <c r="U146" i="12" s="1"/>
  <c r="R149" i="12"/>
  <c r="V149" i="12" s="1"/>
  <c r="P156" i="12"/>
  <c r="T156" i="12" s="1"/>
  <c r="K25" i="13"/>
  <c r="J35" i="13"/>
  <c r="L35" i="13" s="1"/>
  <c r="K35" i="13"/>
  <c r="K38" i="13"/>
  <c r="J38" i="13"/>
  <c r="L38" i="13" s="1"/>
  <c r="J41" i="13"/>
  <c r="L41" i="13" s="1"/>
  <c r="K41" i="13"/>
  <c r="K51" i="13"/>
  <c r="K97" i="13"/>
  <c r="J97" i="13"/>
  <c r="L97" i="13" s="1"/>
  <c r="K100" i="13"/>
  <c r="J100" i="13"/>
  <c r="L100" i="13" s="1"/>
  <c r="K133" i="13"/>
  <c r="J133" i="13"/>
  <c r="L133" i="13" s="1"/>
  <c r="K28" i="13"/>
  <c r="J28" i="13"/>
  <c r="L28" i="13" s="1"/>
  <c r="K69" i="13"/>
  <c r="J69" i="13"/>
  <c r="L69" i="13" s="1"/>
  <c r="K151" i="13"/>
  <c r="J151" i="13"/>
  <c r="L151" i="13" s="1"/>
  <c r="K192" i="13"/>
  <c r="J192" i="13"/>
  <c r="L192" i="13" s="1"/>
  <c r="J72" i="13"/>
  <c r="L72" i="13" s="1"/>
  <c r="K183" i="13"/>
  <c r="J183" i="13"/>
  <c r="L183" i="13" s="1"/>
  <c r="Q147" i="12"/>
  <c r="U147" i="12" s="1"/>
  <c r="K50" i="13"/>
  <c r="J50" i="13"/>
  <c r="L50" i="13" s="1"/>
  <c r="K117" i="13"/>
  <c r="J117" i="13"/>
  <c r="L117" i="13" s="1"/>
  <c r="Q134" i="12"/>
  <c r="U134" i="12" s="1"/>
  <c r="R137" i="12"/>
  <c r="V137" i="12" s="1"/>
  <c r="P157" i="12"/>
  <c r="T157" i="12" s="1"/>
  <c r="P6" i="13"/>
  <c r="P5" i="13"/>
  <c r="K40" i="13"/>
  <c r="J40" i="13"/>
  <c r="L40" i="13" s="1"/>
  <c r="K87" i="13"/>
  <c r="J87" i="13"/>
  <c r="L87" i="13" s="1"/>
  <c r="K129" i="13"/>
  <c r="J129" i="13"/>
  <c r="L129" i="13" s="1"/>
  <c r="K138" i="13"/>
  <c r="J138" i="13"/>
  <c r="L138" i="13" s="1"/>
  <c r="K171" i="13"/>
  <c r="J171" i="13"/>
  <c r="L171" i="13" s="1"/>
  <c r="K177" i="13"/>
  <c r="J177" i="13"/>
  <c r="L177" i="13" s="1"/>
  <c r="P144" i="12"/>
  <c r="T144" i="12" s="1"/>
  <c r="Q22" i="13"/>
  <c r="S22" i="13" s="1"/>
  <c r="K43" i="13"/>
  <c r="J43" i="13"/>
  <c r="L43" i="13" s="1"/>
  <c r="K56" i="13"/>
  <c r="J56" i="13"/>
  <c r="L56" i="13" s="1"/>
  <c r="J59" i="13"/>
  <c r="L59" i="13" s="1"/>
  <c r="K59" i="13"/>
  <c r="K74" i="13"/>
  <c r="J74" i="13"/>
  <c r="L74" i="13" s="1"/>
  <c r="J90" i="13"/>
  <c r="L90" i="13" s="1"/>
  <c r="K105" i="13"/>
  <c r="J105" i="13"/>
  <c r="L105" i="13" s="1"/>
  <c r="K147" i="13"/>
  <c r="J147" i="13"/>
  <c r="L147" i="13" s="1"/>
  <c r="K156" i="13"/>
  <c r="J156" i="13"/>
  <c r="L156" i="13" s="1"/>
  <c r="Q21" i="13"/>
  <c r="Q17" i="13"/>
  <c r="Q13" i="13"/>
  <c r="P21" i="13"/>
  <c r="J23" i="13"/>
  <c r="L23" i="13" s="1"/>
  <c r="J48" i="13"/>
  <c r="L48" i="13" s="1"/>
  <c r="J53" i="13"/>
  <c r="L53" i="13" s="1"/>
  <c r="J89" i="13"/>
  <c r="L89" i="13" s="1"/>
  <c r="J109" i="13"/>
  <c r="L109" i="13" s="1"/>
  <c r="J119" i="13"/>
  <c r="L119" i="13" s="1"/>
  <c r="J124" i="13"/>
  <c r="L124" i="13" s="1"/>
  <c r="J142" i="13"/>
  <c r="L142" i="13" s="1"/>
  <c r="J160" i="13"/>
  <c r="L160" i="13" s="1"/>
  <c r="J188" i="13"/>
  <c r="L188" i="13" s="1"/>
  <c r="Q11" i="13"/>
  <c r="Q16" i="13"/>
  <c r="S16" i="13" s="1"/>
  <c r="J18" i="13"/>
  <c r="L18" i="13" s="1"/>
  <c r="J58" i="13"/>
  <c r="L58" i="13" s="1"/>
  <c r="J63" i="13"/>
  <c r="L63" i="13" s="1"/>
  <c r="J68" i="13"/>
  <c r="L68" i="13" s="1"/>
  <c r="J73" i="13"/>
  <c r="L73" i="13" s="1"/>
  <c r="J94" i="13"/>
  <c r="L94" i="13" s="1"/>
  <c r="J99" i="13"/>
  <c r="L99" i="13" s="1"/>
  <c r="J104" i="13"/>
  <c r="L104" i="13" s="1"/>
  <c r="J114" i="13"/>
  <c r="L114" i="13" s="1"/>
  <c r="J128" i="13"/>
  <c r="L128" i="13" s="1"/>
  <c r="J137" i="13"/>
  <c r="L137" i="13" s="1"/>
  <c r="J146" i="13"/>
  <c r="L146" i="13" s="1"/>
  <c r="J155" i="13"/>
  <c r="L155" i="13" s="1"/>
  <c r="J164" i="13"/>
  <c r="L164" i="13" s="1"/>
  <c r="J168" i="13"/>
  <c r="L168" i="13" s="1"/>
  <c r="J172" i="13"/>
  <c r="L172" i="13" s="1"/>
  <c r="J176" i="13"/>
  <c r="L176" i="13" s="1"/>
  <c r="J180" i="13"/>
  <c r="L180" i="13" s="1"/>
  <c r="J184" i="13"/>
  <c r="L184" i="13" s="1"/>
  <c r="J83" i="13"/>
  <c r="L83" i="13" s="1"/>
  <c r="P13" i="13"/>
  <c r="R23" i="13"/>
  <c r="T23" i="13" s="1"/>
  <c r="J131" i="13"/>
  <c r="L131" i="13" s="1"/>
  <c r="J140" i="13"/>
  <c r="L140" i="13" s="1"/>
  <c r="J149" i="13"/>
  <c r="L149" i="13" s="1"/>
  <c r="J158" i="13"/>
  <c r="L158" i="13" s="1"/>
  <c r="J194" i="13"/>
  <c r="L194" i="13" s="1"/>
  <c r="J71" i="13"/>
  <c r="L71" i="13" s="1"/>
  <c r="J107" i="13"/>
  <c r="L107" i="13" s="1"/>
  <c r="J112" i="13"/>
  <c r="L112" i="13" s="1"/>
  <c r="J121" i="13"/>
  <c r="L121" i="13" s="1"/>
  <c r="J186" i="13"/>
  <c r="L186" i="13" s="1"/>
  <c r="J190" i="13"/>
  <c r="L190" i="13" s="1"/>
  <c r="J7" i="13"/>
  <c r="L7" i="13" s="1"/>
  <c r="Q14" i="13"/>
  <c r="Q19" i="13"/>
  <c r="S19" i="13" s="1"/>
  <c r="J55" i="13"/>
  <c r="L55" i="13" s="1"/>
  <c r="J76" i="13"/>
  <c r="L76" i="13" s="1"/>
  <c r="J81" i="13"/>
  <c r="L81" i="13" s="1"/>
  <c r="J86" i="13"/>
  <c r="L86" i="13" s="1"/>
  <c r="J91" i="13"/>
  <c r="L91" i="13" s="1"/>
  <c r="J126" i="13"/>
  <c r="L126" i="13" s="1"/>
  <c r="J135" i="13"/>
  <c r="L135" i="13" s="1"/>
  <c r="J144" i="13"/>
  <c r="L144" i="13" s="1"/>
  <c r="J153" i="13"/>
  <c r="L153" i="13" s="1"/>
  <c r="J162" i="13"/>
  <c r="L162" i="13" s="1"/>
  <c r="J166" i="13"/>
  <c r="L166" i="13" s="1"/>
  <c r="J170" i="13"/>
  <c r="L170" i="13" s="1"/>
  <c r="J174" i="13"/>
  <c r="L174" i="13" s="1"/>
  <c r="J178" i="13"/>
  <c r="L178" i="13" s="1"/>
  <c r="J182" i="13"/>
  <c r="L182" i="13" s="1"/>
  <c r="J193" i="13"/>
  <c r="L193" i="13" s="1"/>
  <c r="J29" i="13"/>
  <c r="L29" i="13" s="1"/>
  <c r="J65" i="13"/>
  <c r="L65" i="13" s="1"/>
  <c r="J101" i="13"/>
  <c r="L101" i="13" s="1"/>
  <c r="J130" i="13"/>
  <c r="L130" i="13" s="1"/>
  <c r="J148" i="13"/>
  <c r="L148" i="13" s="1"/>
  <c r="J115" i="13"/>
  <c r="L115" i="13" s="1"/>
  <c r="J125" i="13"/>
  <c r="L125" i="13" s="1"/>
  <c r="J134" i="13"/>
  <c r="L134" i="13" s="1"/>
  <c r="J143" i="13"/>
  <c r="L143" i="13" s="1"/>
  <c r="J152" i="13"/>
  <c r="L152" i="13" s="1"/>
  <c r="J161" i="13"/>
  <c r="L161" i="13" s="1"/>
  <c r="J169" i="13"/>
  <c r="L169" i="13" s="1"/>
  <c r="J173" i="13"/>
  <c r="L173" i="13" s="1"/>
  <c r="K189" i="13"/>
  <c r="J189" i="13"/>
  <c r="L189" i="13" s="1"/>
  <c r="J185" i="13"/>
  <c r="L185" i="13" s="1"/>
  <c r="J191" i="13"/>
  <c r="L191" i="13" s="1"/>
  <c r="V13" i="7" l="1"/>
  <c r="U13" i="7"/>
  <c r="V7" i="4"/>
  <c r="U7" i="4"/>
  <c r="V17" i="4"/>
  <c r="U17" i="4"/>
  <c r="V31" i="3"/>
  <c r="U31" i="3"/>
  <c r="V21" i="4"/>
  <c r="U21" i="4"/>
  <c r="V22" i="3"/>
  <c r="U22" i="3"/>
  <c r="V7" i="7"/>
  <c r="U7" i="7"/>
  <c r="V13" i="5"/>
  <c r="U13" i="5"/>
  <c r="V24" i="5"/>
  <c r="U24" i="5"/>
  <c r="V13" i="3"/>
  <c r="U13" i="3"/>
  <c r="AB15" i="1"/>
  <c r="AA15" i="1"/>
  <c r="V17" i="7"/>
  <c r="U17" i="7"/>
  <c r="V20" i="7"/>
  <c r="U20" i="7"/>
  <c r="U18" i="5"/>
  <c r="V18" i="5"/>
  <c r="U15" i="5"/>
  <c r="V15" i="5"/>
  <c r="U8" i="4"/>
  <c r="V8" i="4"/>
  <c r="V29" i="4"/>
  <c r="U29" i="4"/>
  <c r="V20" i="3"/>
  <c r="U20" i="3"/>
  <c r="V29" i="7"/>
  <c r="U29" i="7"/>
  <c r="U6" i="5"/>
  <c r="V6" i="5"/>
  <c r="V28" i="3"/>
  <c r="U28" i="3"/>
  <c r="V26" i="7"/>
  <c r="U26" i="7"/>
  <c r="V21" i="5"/>
  <c r="U21" i="5"/>
  <c r="V24" i="3"/>
  <c r="U24" i="3"/>
  <c r="V5" i="4"/>
  <c r="U5" i="4"/>
  <c r="AB20" i="1"/>
  <c r="AA20" i="1"/>
  <c r="V8" i="7"/>
  <c r="U8" i="7"/>
  <c r="AB6" i="1"/>
  <c r="AA6" i="1"/>
  <c r="AB5" i="1"/>
  <c r="AA5" i="1"/>
  <c r="Z7" i="1"/>
  <c r="V27" i="7"/>
  <c r="U27" i="7"/>
  <c r="V28" i="7"/>
  <c r="U28" i="7"/>
  <c r="U22" i="4"/>
  <c r="V22" i="4"/>
  <c r="V23" i="3"/>
  <c r="U23" i="3"/>
  <c r="V15" i="7"/>
  <c r="U15" i="7"/>
  <c r="U30" i="4"/>
  <c r="V30" i="4"/>
  <c r="V22" i="7"/>
  <c r="U22" i="7"/>
  <c r="V21" i="7"/>
  <c r="U21" i="7"/>
  <c r="U18" i="4"/>
  <c r="V18" i="4"/>
  <c r="V25" i="3"/>
  <c r="U25" i="3"/>
  <c r="V15" i="3"/>
  <c r="U15" i="3"/>
  <c r="AB19" i="1"/>
  <c r="AA19" i="1"/>
  <c r="V6" i="7"/>
  <c r="U6" i="7"/>
  <c r="V19" i="7"/>
  <c r="U19" i="7"/>
  <c r="U16" i="4"/>
  <c r="V16" i="4"/>
  <c r="U14" i="4"/>
  <c r="V14" i="4"/>
  <c r="R17" i="10"/>
  <c r="T17" i="10" s="1"/>
  <c r="V8" i="12"/>
  <c r="AK13" i="12"/>
  <c r="AO13" i="12" s="1"/>
  <c r="AB25" i="12"/>
  <c r="AJ20" i="12"/>
  <c r="AN20" i="12" s="1"/>
  <c r="R22" i="13"/>
  <c r="T22" i="13" s="1"/>
  <c r="S12" i="13"/>
  <c r="P158" i="12"/>
  <c r="T158" i="12" s="1"/>
  <c r="T5" i="12"/>
  <c r="J195" i="13"/>
  <c r="L195" i="13" s="1"/>
  <c r="L5" i="13"/>
  <c r="R7" i="13"/>
  <c r="T7" i="13" s="1"/>
  <c r="S158" i="12"/>
  <c r="W158" i="12" s="1"/>
  <c r="W5" i="12"/>
  <c r="AJ24" i="12"/>
  <c r="AN24" i="12" s="1"/>
  <c r="AK23" i="12"/>
  <c r="AO23" i="12" s="1"/>
  <c r="AL21" i="12"/>
  <c r="AP21" i="12" s="1"/>
  <c r="AI20" i="12"/>
  <c r="AM20" i="12" s="1"/>
  <c r="AC8" i="12"/>
  <c r="AD25" i="12"/>
  <c r="R11" i="10"/>
  <c r="BZ22" i="9"/>
  <c r="BZ17" i="9"/>
  <c r="BZ23" i="9"/>
  <c r="BX21" i="9"/>
  <c r="CA17" i="9"/>
  <c r="CA23" i="9"/>
  <c r="BX15" i="9"/>
  <c r="BT6" i="9"/>
  <c r="BZ7" i="9"/>
  <c r="BA8" i="9"/>
  <c r="BJ25" i="9"/>
  <c r="BV11" i="9"/>
  <c r="BE25" i="9"/>
  <c r="AY25" i="9"/>
  <c r="M140" i="7"/>
  <c r="L140" i="7"/>
  <c r="M192" i="7"/>
  <c r="L192" i="7"/>
  <c r="M204" i="7"/>
  <c r="L204" i="7"/>
  <c r="M175" i="7"/>
  <c r="L175" i="7"/>
  <c r="M148" i="7"/>
  <c r="L148" i="7"/>
  <c r="W16" i="8"/>
  <c r="Y16" i="8" s="1"/>
  <c r="W15" i="8"/>
  <c r="Y15" i="8" s="1"/>
  <c r="S8" i="6"/>
  <c r="L128" i="5"/>
  <c r="M128" i="5"/>
  <c r="L141" i="5"/>
  <c r="M141" i="5"/>
  <c r="L124" i="5"/>
  <c r="M124" i="5"/>
  <c r="L89" i="5"/>
  <c r="M89" i="5"/>
  <c r="L147" i="5"/>
  <c r="M147" i="5"/>
  <c r="M198" i="5"/>
  <c r="L198" i="5"/>
  <c r="M181" i="5"/>
  <c r="L181" i="5"/>
  <c r="L139" i="5"/>
  <c r="M139" i="5"/>
  <c r="L93" i="4"/>
  <c r="M93" i="4"/>
  <c r="M157" i="3"/>
  <c r="L157" i="3"/>
  <c r="L110" i="3"/>
  <c r="M110" i="3"/>
  <c r="L140" i="4"/>
  <c r="M140" i="4"/>
  <c r="M159" i="3"/>
  <c r="L159" i="3"/>
  <c r="L186" i="4"/>
  <c r="M186" i="4"/>
  <c r="R32" i="4"/>
  <c r="M172" i="3"/>
  <c r="L172" i="3"/>
  <c r="L161" i="4"/>
  <c r="M161" i="4"/>
  <c r="M137" i="3"/>
  <c r="L137" i="3"/>
  <c r="L60" i="4"/>
  <c r="M60" i="4"/>
  <c r="S9" i="4"/>
  <c r="L136" i="4"/>
  <c r="M136" i="4"/>
  <c r="M151" i="3"/>
  <c r="L151" i="3"/>
  <c r="L75" i="4"/>
  <c r="M75" i="4"/>
  <c r="M105" i="3"/>
  <c r="L105" i="3"/>
  <c r="L150" i="4"/>
  <c r="M150" i="4"/>
  <c r="L118" i="3"/>
  <c r="M118" i="3"/>
  <c r="L86" i="4"/>
  <c r="M86" i="4"/>
  <c r="M107" i="3"/>
  <c r="L107" i="3"/>
  <c r="M56" i="3"/>
  <c r="L56" i="3"/>
  <c r="M18" i="1"/>
  <c r="L18" i="1"/>
  <c r="M26" i="3"/>
  <c r="L26" i="3"/>
  <c r="M60" i="3"/>
  <c r="L60" i="3"/>
  <c r="M14" i="1"/>
  <c r="L14" i="1"/>
  <c r="M25" i="3"/>
  <c r="L25" i="3"/>
  <c r="M164" i="3"/>
  <c r="L164" i="3"/>
  <c r="M12" i="3"/>
  <c r="L12" i="3"/>
  <c r="M9" i="3"/>
  <c r="T18" i="3"/>
  <c r="L9" i="3"/>
  <c r="M92" i="3"/>
  <c r="L92" i="3"/>
  <c r="AL7" i="12"/>
  <c r="AP7" i="12" s="1"/>
  <c r="BK8" i="9"/>
  <c r="BW5" i="9"/>
  <c r="AK17" i="12"/>
  <c r="AO17" i="12" s="1"/>
  <c r="AJ19" i="12"/>
  <c r="AN19" i="12" s="1"/>
  <c r="R11" i="13"/>
  <c r="S23" i="13"/>
  <c r="R158" i="12"/>
  <c r="V158" i="12" s="1"/>
  <c r="V5" i="12"/>
  <c r="AK20" i="12"/>
  <c r="AO20" i="12" s="1"/>
  <c r="AI19" i="12"/>
  <c r="AM19" i="12" s="1"/>
  <c r="AI15" i="12"/>
  <c r="AM15" i="12" s="1"/>
  <c r="P8" i="10"/>
  <c r="M8" i="11"/>
  <c r="R15" i="10"/>
  <c r="T15" i="10" s="1"/>
  <c r="Q24" i="10"/>
  <c r="S11" i="10"/>
  <c r="BW11" i="9"/>
  <c r="BK25" i="9"/>
  <c r="BW25" i="9" s="1"/>
  <c r="BH25" i="9"/>
  <c r="BT25" i="9" s="1"/>
  <c r="BT11" i="9"/>
  <c r="BW17" i="9"/>
  <c r="AU25" i="9"/>
  <c r="BZ15" i="9"/>
  <c r="BY5" i="9"/>
  <c r="BM8" i="9"/>
  <c r="BY8" i="9" s="1"/>
  <c r="BZ12" i="9"/>
  <c r="BF25" i="9"/>
  <c r="BS7" i="9"/>
  <c r="M139" i="7"/>
  <c r="L139" i="7"/>
  <c r="M193" i="7"/>
  <c r="L193" i="7"/>
  <c r="M205" i="7"/>
  <c r="L205" i="7"/>
  <c r="M169" i="7"/>
  <c r="L169" i="7"/>
  <c r="Q9" i="7"/>
  <c r="W6" i="8"/>
  <c r="Y6" i="8" s="1"/>
  <c r="X11" i="8"/>
  <c r="Z11" i="8" s="1"/>
  <c r="W20" i="8"/>
  <c r="Y20" i="8" s="1"/>
  <c r="X12" i="8"/>
  <c r="Z12" i="8" s="1"/>
  <c r="M5" i="7"/>
  <c r="K207" i="7"/>
  <c r="L5" i="7"/>
  <c r="L122" i="5"/>
  <c r="M122" i="5"/>
  <c r="L135" i="5"/>
  <c r="M135" i="5"/>
  <c r="M185" i="5"/>
  <c r="L185" i="5"/>
  <c r="L83" i="5"/>
  <c r="M83" i="5"/>
  <c r="L148" i="5"/>
  <c r="M148" i="5"/>
  <c r="M164" i="5"/>
  <c r="L164" i="5"/>
  <c r="M156" i="5"/>
  <c r="L156" i="5"/>
  <c r="L133" i="5"/>
  <c r="M133" i="5"/>
  <c r="M191" i="5"/>
  <c r="L191" i="5"/>
  <c r="Q9" i="5"/>
  <c r="L80" i="4"/>
  <c r="M80" i="4"/>
  <c r="M145" i="3"/>
  <c r="L145" i="3"/>
  <c r="S32" i="5"/>
  <c r="L98" i="3"/>
  <c r="M98" i="3"/>
  <c r="L134" i="4"/>
  <c r="M134" i="4"/>
  <c r="M147" i="3"/>
  <c r="L147" i="3"/>
  <c r="L180" i="4"/>
  <c r="M180" i="4"/>
  <c r="M160" i="3"/>
  <c r="L160" i="3"/>
  <c r="L148" i="4"/>
  <c r="M148" i="4"/>
  <c r="T13" i="4"/>
  <c r="M125" i="3"/>
  <c r="L125" i="3"/>
  <c r="L48" i="4"/>
  <c r="M48" i="4"/>
  <c r="M186" i="3"/>
  <c r="L186" i="3"/>
  <c r="L129" i="4"/>
  <c r="M129" i="4"/>
  <c r="M139" i="3"/>
  <c r="L139" i="3"/>
  <c r="L162" i="4"/>
  <c r="M162" i="4"/>
  <c r="L87" i="4"/>
  <c r="M87" i="4"/>
  <c r="L196" i="4"/>
  <c r="M196" i="4"/>
  <c r="M93" i="3"/>
  <c r="L93" i="3"/>
  <c r="L144" i="4"/>
  <c r="M144" i="4"/>
  <c r="L106" i="3"/>
  <c r="M106" i="3"/>
  <c r="M95" i="3"/>
  <c r="L95" i="3"/>
  <c r="M192" i="3"/>
  <c r="L192" i="3"/>
  <c r="M44" i="3"/>
  <c r="L44" i="3"/>
  <c r="Q9" i="3"/>
  <c r="M48" i="3"/>
  <c r="L48" i="3"/>
  <c r="V11" i="2"/>
  <c r="U11" i="2"/>
  <c r="L91" i="3"/>
  <c r="M91" i="3"/>
  <c r="M64" i="3"/>
  <c r="L64" i="3"/>
  <c r="M140" i="3"/>
  <c r="L140" i="3"/>
  <c r="M206" i="7"/>
  <c r="L206" i="7"/>
  <c r="R7" i="6"/>
  <c r="T7" i="6" s="1"/>
  <c r="T24" i="7"/>
  <c r="M197" i="5"/>
  <c r="L197" i="5"/>
  <c r="L116" i="5"/>
  <c r="M116" i="5"/>
  <c r="L129" i="5"/>
  <c r="M129" i="5"/>
  <c r="M172" i="5"/>
  <c r="L172" i="5"/>
  <c r="L27" i="5"/>
  <c r="M27" i="5"/>
  <c r="L149" i="5"/>
  <c r="M149" i="5"/>
  <c r="M176" i="5"/>
  <c r="L176" i="5"/>
  <c r="M168" i="5"/>
  <c r="L168" i="5"/>
  <c r="L127" i="5"/>
  <c r="M127" i="5"/>
  <c r="M31" i="5"/>
  <c r="L31" i="5"/>
  <c r="U28" i="5"/>
  <c r="V28" i="5"/>
  <c r="T20" i="5"/>
  <c r="L74" i="4"/>
  <c r="M74" i="4"/>
  <c r="M133" i="3"/>
  <c r="L133" i="3"/>
  <c r="L198" i="4"/>
  <c r="M198" i="4"/>
  <c r="L101" i="4"/>
  <c r="M101" i="4"/>
  <c r="M135" i="3"/>
  <c r="L135" i="3"/>
  <c r="L167" i="4"/>
  <c r="M167" i="4"/>
  <c r="M148" i="3"/>
  <c r="L148" i="3"/>
  <c r="L141" i="4"/>
  <c r="M141" i="4"/>
  <c r="M113" i="3"/>
  <c r="L113" i="3"/>
  <c r="L36" i="4"/>
  <c r="M36" i="4"/>
  <c r="M174" i="3"/>
  <c r="L174" i="3"/>
  <c r="L116" i="4"/>
  <c r="M116" i="4"/>
  <c r="M127" i="3"/>
  <c r="L127" i="3"/>
  <c r="L156" i="4"/>
  <c r="M156" i="4"/>
  <c r="L99" i="4"/>
  <c r="M99" i="4"/>
  <c r="L189" i="4"/>
  <c r="M189" i="4"/>
  <c r="V15" i="4"/>
  <c r="U15" i="4"/>
  <c r="M81" i="3"/>
  <c r="L81" i="3"/>
  <c r="L131" i="4"/>
  <c r="M131" i="4"/>
  <c r="L94" i="3"/>
  <c r="M94" i="3"/>
  <c r="M83" i="3"/>
  <c r="L83" i="3"/>
  <c r="L191" i="4"/>
  <c r="M191" i="4"/>
  <c r="M180" i="3"/>
  <c r="L180" i="3"/>
  <c r="M73" i="3"/>
  <c r="L73" i="3"/>
  <c r="V26" i="3"/>
  <c r="U26" i="3"/>
  <c r="M89" i="3"/>
  <c r="L89" i="3"/>
  <c r="M20" i="3"/>
  <c r="L20" i="3"/>
  <c r="AB13" i="1"/>
  <c r="AA13" i="1"/>
  <c r="M36" i="3"/>
  <c r="L36" i="3"/>
  <c r="M19" i="3"/>
  <c r="L19" i="3"/>
  <c r="T12" i="3"/>
  <c r="L86" i="3"/>
  <c r="M86" i="3"/>
  <c r="M52" i="3"/>
  <c r="L52" i="3"/>
  <c r="M66" i="3"/>
  <c r="L66" i="3"/>
  <c r="S5" i="10"/>
  <c r="Q8" i="10"/>
  <c r="S8" i="10" s="1"/>
  <c r="M138" i="7"/>
  <c r="L138" i="7"/>
  <c r="M194" i="7"/>
  <c r="L194" i="7"/>
  <c r="V5" i="7"/>
  <c r="T9" i="7"/>
  <c r="U5" i="7"/>
  <c r="X10" i="8"/>
  <c r="W11" i="8"/>
  <c r="Y11" i="8" s="1"/>
  <c r="V23" i="7"/>
  <c r="U23" i="7"/>
  <c r="S14" i="13"/>
  <c r="P8" i="13"/>
  <c r="W77" i="12"/>
  <c r="AL5" i="12"/>
  <c r="R13" i="13"/>
  <c r="T13" i="13" s="1"/>
  <c r="N8" i="11"/>
  <c r="AI22" i="12"/>
  <c r="AM22" i="12" s="1"/>
  <c r="AI12" i="12"/>
  <c r="AM12" i="12" s="1"/>
  <c r="AI24" i="12"/>
  <c r="AM24" i="12" s="1"/>
  <c r="AK24" i="12"/>
  <c r="AO24" i="12" s="1"/>
  <c r="AL24" i="12"/>
  <c r="AP24" i="12" s="1"/>
  <c r="AJ22" i="12"/>
  <c r="AN22" i="12" s="1"/>
  <c r="AL6" i="12"/>
  <c r="AP6" i="12" s="1"/>
  <c r="AD8" i="12"/>
  <c r="S17" i="10"/>
  <c r="S19" i="10"/>
  <c r="BS19" i="9"/>
  <c r="BX16" i="9"/>
  <c r="CC23" i="9"/>
  <c r="CC24" i="9"/>
  <c r="BW16" i="9"/>
  <c r="CA15" i="9"/>
  <c r="BW24" i="9"/>
  <c r="BX14" i="9"/>
  <c r="BS6" i="9"/>
  <c r="BT21" i="9"/>
  <c r="BV6" i="9"/>
  <c r="BX12" i="9"/>
  <c r="BB8" i="9"/>
  <c r="BU5" i="9"/>
  <c r="M137" i="7"/>
  <c r="L137" i="7"/>
  <c r="M195" i="7"/>
  <c r="L195" i="7"/>
  <c r="M186" i="7"/>
  <c r="L186" i="7"/>
  <c r="M157" i="7"/>
  <c r="L157" i="7"/>
  <c r="T7" i="8"/>
  <c r="X20" i="8"/>
  <c r="Z20" i="8" s="1"/>
  <c r="Q32" i="7"/>
  <c r="L110" i="5"/>
  <c r="M110" i="5"/>
  <c r="M167" i="5"/>
  <c r="L167" i="5"/>
  <c r="M159" i="5"/>
  <c r="L159" i="5"/>
  <c r="L150" i="5"/>
  <c r="M150" i="5"/>
  <c r="M187" i="5"/>
  <c r="L187" i="5"/>
  <c r="M180" i="5"/>
  <c r="L180" i="5"/>
  <c r="L121" i="5"/>
  <c r="M121" i="5"/>
  <c r="L19" i="5"/>
  <c r="M19" i="5"/>
  <c r="R32" i="5"/>
  <c r="T31" i="5"/>
  <c r="M121" i="3"/>
  <c r="L121" i="3"/>
  <c r="T7" i="3"/>
  <c r="L192" i="4"/>
  <c r="M192" i="4"/>
  <c r="L88" i="4"/>
  <c r="M88" i="4"/>
  <c r="M123" i="3"/>
  <c r="L123" i="3"/>
  <c r="L154" i="4"/>
  <c r="M154" i="4"/>
  <c r="M136" i="3"/>
  <c r="L136" i="3"/>
  <c r="L128" i="4"/>
  <c r="M128" i="4"/>
  <c r="L32" i="4"/>
  <c r="M32" i="4"/>
  <c r="M162" i="3"/>
  <c r="L162" i="3"/>
  <c r="L110" i="4"/>
  <c r="M110" i="4"/>
  <c r="M115" i="3"/>
  <c r="L115" i="3"/>
  <c r="L143" i="4"/>
  <c r="M143" i="4"/>
  <c r="L111" i="4"/>
  <c r="M111" i="4"/>
  <c r="L170" i="4"/>
  <c r="M170" i="4"/>
  <c r="S32" i="4"/>
  <c r="M69" i="3"/>
  <c r="L69" i="3"/>
  <c r="L118" i="4"/>
  <c r="M118" i="4"/>
  <c r="Q32" i="4"/>
  <c r="L82" i="3"/>
  <c r="M82" i="3"/>
  <c r="L197" i="4"/>
  <c r="M197" i="4"/>
  <c r="M71" i="3"/>
  <c r="L71" i="3"/>
  <c r="L178" i="4"/>
  <c r="M178" i="4"/>
  <c r="M168" i="3"/>
  <c r="L168" i="3"/>
  <c r="M55" i="3"/>
  <c r="L55" i="3"/>
  <c r="M57" i="3"/>
  <c r="L57" i="3"/>
  <c r="M188" i="3"/>
  <c r="L188" i="3"/>
  <c r="M5" i="3"/>
  <c r="K197" i="3"/>
  <c r="L5" i="3"/>
  <c r="T6" i="3"/>
  <c r="AB12" i="1"/>
  <c r="AA12" i="1"/>
  <c r="T17" i="3"/>
  <c r="M62" i="3"/>
  <c r="L62" i="3"/>
  <c r="M40" i="3"/>
  <c r="L40" i="3"/>
  <c r="M77" i="3"/>
  <c r="L77" i="3"/>
  <c r="M54" i="3"/>
  <c r="L54" i="3"/>
  <c r="AK16" i="12"/>
  <c r="AO16" i="12" s="1"/>
  <c r="S5" i="13"/>
  <c r="Q8" i="13"/>
  <c r="S8" i="13" s="1"/>
  <c r="V6" i="12"/>
  <c r="AK5" i="12"/>
  <c r="AJ11" i="12"/>
  <c r="AL22" i="12"/>
  <c r="AP22" i="12" s="1"/>
  <c r="AG25" i="12"/>
  <c r="AH25" i="12"/>
  <c r="AI11" i="12"/>
  <c r="AI6" i="12"/>
  <c r="AM6" i="12" s="1"/>
  <c r="BA25" i="9"/>
  <c r="BR8" i="9"/>
  <c r="CD8" i="9" s="1"/>
  <c r="CD5" i="9"/>
  <c r="BR25" i="9"/>
  <c r="CD25" i="9" s="1"/>
  <c r="CD11" i="9"/>
  <c r="BP25" i="9"/>
  <c r="CB11" i="9"/>
  <c r="CB13" i="9"/>
  <c r="BU6" i="9"/>
  <c r="CA6" i="9"/>
  <c r="CB21" i="9"/>
  <c r="BT13" i="9"/>
  <c r="BI8" i="9"/>
  <c r="BU8" i="9" s="1"/>
  <c r="BB25" i="9"/>
  <c r="W5" i="8"/>
  <c r="M136" i="7"/>
  <c r="L136" i="7"/>
  <c r="M196" i="7"/>
  <c r="L196" i="7"/>
  <c r="M180" i="7"/>
  <c r="L180" i="7"/>
  <c r="M190" i="7"/>
  <c r="L190" i="7"/>
  <c r="X15" i="8"/>
  <c r="Z15" i="8" s="1"/>
  <c r="S21" i="8"/>
  <c r="X19" i="8"/>
  <c r="Z19" i="8" s="1"/>
  <c r="X16" i="8"/>
  <c r="Z16" i="8" s="1"/>
  <c r="J240" i="6"/>
  <c r="L240" i="6" s="1"/>
  <c r="L5" i="6"/>
  <c r="L104" i="5"/>
  <c r="M104" i="5"/>
  <c r="M163" i="5"/>
  <c r="L163" i="5"/>
  <c r="L137" i="5"/>
  <c r="M137" i="5"/>
  <c r="M155" i="5"/>
  <c r="L155" i="5"/>
  <c r="L151" i="5"/>
  <c r="M151" i="5"/>
  <c r="M162" i="5"/>
  <c r="L162" i="5"/>
  <c r="M179" i="5"/>
  <c r="L179" i="5"/>
  <c r="L115" i="5"/>
  <c r="M115" i="5"/>
  <c r="M109" i="3"/>
  <c r="L109" i="3"/>
  <c r="L179" i="4"/>
  <c r="M179" i="4"/>
  <c r="L81" i="4"/>
  <c r="M81" i="4"/>
  <c r="M111" i="3"/>
  <c r="L111" i="3"/>
  <c r="L114" i="4"/>
  <c r="M114" i="4"/>
  <c r="M124" i="3"/>
  <c r="L124" i="3"/>
  <c r="L122" i="4"/>
  <c r="M122" i="4"/>
  <c r="Q9" i="4"/>
  <c r="L174" i="4"/>
  <c r="M174" i="4"/>
  <c r="M150" i="3"/>
  <c r="L150" i="3"/>
  <c r="L77" i="4"/>
  <c r="M77" i="4"/>
  <c r="M103" i="3"/>
  <c r="L103" i="3"/>
  <c r="L90" i="4"/>
  <c r="M90" i="4"/>
  <c r="L123" i="4"/>
  <c r="M123" i="4"/>
  <c r="L137" i="4"/>
  <c r="M137" i="4"/>
  <c r="K203" i="4"/>
  <c r="L5" i="4"/>
  <c r="M5" i="4"/>
  <c r="T26" i="4"/>
  <c r="L78" i="4"/>
  <c r="M78" i="4"/>
  <c r="L70" i="3"/>
  <c r="M70" i="3"/>
  <c r="L184" i="4"/>
  <c r="M184" i="4"/>
  <c r="L138" i="4"/>
  <c r="M138" i="4"/>
  <c r="M156" i="3"/>
  <c r="L156" i="3"/>
  <c r="M43" i="3"/>
  <c r="L43" i="3"/>
  <c r="V15" i="2"/>
  <c r="U15" i="2"/>
  <c r="T14" i="3"/>
  <c r="M45" i="3"/>
  <c r="L45" i="3"/>
  <c r="M116" i="3"/>
  <c r="L116" i="3"/>
  <c r="M14" i="3"/>
  <c r="L14" i="3"/>
  <c r="AB11" i="1"/>
  <c r="AA11" i="1"/>
  <c r="M10" i="3"/>
  <c r="L10" i="3"/>
  <c r="T8" i="3"/>
  <c r="Y21" i="1"/>
  <c r="T6" i="4"/>
  <c r="M13" i="3"/>
  <c r="L13" i="3"/>
  <c r="M50" i="3"/>
  <c r="L50" i="3"/>
  <c r="M65" i="3"/>
  <c r="L65" i="3"/>
  <c r="M42" i="3"/>
  <c r="L42" i="3"/>
  <c r="R21" i="2"/>
  <c r="J133" i="10"/>
  <c r="L133" i="10" s="1"/>
  <c r="Z5" i="8"/>
  <c r="R18" i="13"/>
  <c r="T18" i="13" s="1"/>
  <c r="R20" i="13"/>
  <c r="T20" i="13" s="1"/>
  <c r="AK11" i="12"/>
  <c r="AK12" i="12"/>
  <c r="AO12" i="12" s="1"/>
  <c r="AL12" i="12"/>
  <c r="AP12" i="12" s="1"/>
  <c r="AF25" i="12"/>
  <c r="AI5" i="12"/>
  <c r="R21" i="10"/>
  <c r="T21" i="10" s="1"/>
  <c r="BW14" i="9"/>
  <c r="AX25" i="9"/>
  <c r="BY11" i="9"/>
  <c r="BM25" i="9"/>
  <c r="BY25" i="9" s="1"/>
  <c r="BY16" i="9"/>
  <c r="CC21" i="9"/>
  <c r="AY8" i="9"/>
  <c r="BU23" i="9"/>
  <c r="BG25" i="9"/>
  <c r="BS25" i="9" s="1"/>
  <c r="BS11" i="9"/>
  <c r="BT7" i="9"/>
  <c r="M135" i="7"/>
  <c r="L135" i="7"/>
  <c r="M197" i="7"/>
  <c r="L197" i="7"/>
  <c r="M174" i="7"/>
  <c r="L174" i="7"/>
  <c r="M184" i="7"/>
  <c r="L184" i="7"/>
  <c r="Q27" i="6"/>
  <c r="W10" i="8"/>
  <c r="T30" i="7"/>
  <c r="R26" i="6"/>
  <c r="T26" i="6" s="1"/>
  <c r="L98" i="5"/>
  <c r="M98" i="5"/>
  <c r="M158" i="5"/>
  <c r="L158" i="5"/>
  <c r="L131" i="5"/>
  <c r="M131" i="5"/>
  <c r="T8" i="5"/>
  <c r="L152" i="5"/>
  <c r="M152" i="5"/>
  <c r="M174" i="5"/>
  <c r="L174" i="5"/>
  <c r="M189" i="5"/>
  <c r="L189" i="5"/>
  <c r="L109" i="5"/>
  <c r="M109" i="5"/>
  <c r="T12" i="5"/>
  <c r="U16" i="5"/>
  <c r="V16" i="5"/>
  <c r="L185" i="4"/>
  <c r="M185" i="4"/>
  <c r="T23" i="4"/>
  <c r="M97" i="3"/>
  <c r="L97" i="3"/>
  <c r="L166" i="4"/>
  <c r="M166" i="4"/>
  <c r="L194" i="3"/>
  <c r="M194" i="3"/>
  <c r="L68" i="4"/>
  <c r="M68" i="4"/>
  <c r="M99" i="3"/>
  <c r="L99" i="3"/>
  <c r="L108" i="4"/>
  <c r="M108" i="4"/>
  <c r="M112" i="3"/>
  <c r="L112" i="3"/>
  <c r="L89" i="4"/>
  <c r="M89" i="4"/>
  <c r="L168" i="4"/>
  <c r="M168" i="4"/>
  <c r="M138" i="3"/>
  <c r="L138" i="3"/>
  <c r="L84" i="4"/>
  <c r="M84" i="4"/>
  <c r="L135" i="4"/>
  <c r="M135" i="4"/>
  <c r="L124" i="4"/>
  <c r="M124" i="4"/>
  <c r="M189" i="3"/>
  <c r="L189" i="3"/>
  <c r="L72" i="4"/>
  <c r="M72" i="4"/>
  <c r="L177" i="4"/>
  <c r="M177" i="4"/>
  <c r="M191" i="3"/>
  <c r="L191" i="3"/>
  <c r="L132" i="4"/>
  <c r="M132" i="4"/>
  <c r="M144" i="3"/>
  <c r="L144" i="3"/>
  <c r="Q21" i="2"/>
  <c r="M6" i="3"/>
  <c r="L6" i="3"/>
  <c r="M33" i="3"/>
  <c r="L33" i="3"/>
  <c r="L79" i="3"/>
  <c r="M79" i="3"/>
  <c r="AB10" i="1"/>
  <c r="AA10" i="1"/>
  <c r="AB14" i="1"/>
  <c r="AA14" i="1"/>
  <c r="M38" i="3"/>
  <c r="L38" i="3"/>
  <c r="M32" i="1"/>
  <c r="L32" i="1"/>
  <c r="M101" i="3"/>
  <c r="L101" i="3"/>
  <c r="V13" i="2"/>
  <c r="U13" i="2"/>
  <c r="M53" i="3"/>
  <c r="L53" i="3"/>
  <c r="M28" i="3"/>
  <c r="L28" i="3"/>
  <c r="T30" i="3"/>
  <c r="R15" i="13"/>
  <c r="T15" i="13" s="1"/>
  <c r="S6" i="13"/>
  <c r="AL11" i="12"/>
  <c r="AJ13" i="12"/>
  <c r="AN13" i="12" s="1"/>
  <c r="AJ15" i="12"/>
  <c r="AN15" i="12" s="1"/>
  <c r="AJ14" i="12"/>
  <c r="AN14" i="12" s="1"/>
  <c r="S14" i="10"/>
  <c r="S16" i="10"/>
  <c r="R14" i="10"/>
  <c r="T14" i="10" s="1"/>
  <c r="BY23" i="9"/>
  <c r="BW13" i="9"/>
  <c r="BL25" i="9"/>
  <c r="BX11" i="9"/>
  <c r="BU21" i="9"/>
  <c r="BC25" i="9"/>
  <c r="BU20" i="9"/>
  <c r="BZ24" i="9"/>
  <c r="BV24" i="9"/>
  <c r="BN25" i="9"/>
  <c r="BZ25" i="9" s="1"/>
  <c r="BZ11" i="9"/>
  <c r="BW7" i="9"/>
  <c r="CC7" i="9"/>
  <c r="BW18" i="9"/>
  <c r="BU17" i="9"/>
  <c r="CB18" i="9"/>
  <c r="M134" i="7"/>
  <c r="L134" i="7"/>
  <c r="M198" i="7"/>
  <c r="L198" i="7"/>
  <c r="M168" i="7"/>
  <c r="L168" i="7"/>
  <c r="M188" i="7"/>
  <c r="L188" i="7"/>
  <c r="M178" i="7"/>
  <c r="L178" i="7"/>
  <c r="R23" i="6"/>
  <c r="T23" i="6" s="1"/>
  <c r="X6" i="8"/>
  <c r="Z6" i="8" s="1"/>
  <c r="U21" i="8"/>
  <c r="P8" i="6"/>
  <c r="L92" i="5"/>
  <c r="M92" i="5"/>
  <c r="M81" i="5"/>
  <c r="L81" i="5"/>
  <c r="L125" i="5"/>
  <c r="M125" i="5"/>
  <c r="L153" i="5"/>
  <c r="M153" i="5"/>
  <c r="M186" i="5"/>
  <c r="L186" i="5"/>
  <c r="M199" i="5"/>
  <c r="L199" i="5"/>
  <c r="L103" i="5"/>
  <c r="M103" i="5"/>
  <c r="T19" i="5"/>
  <c r="T26" i="5"/>
  <c r="L172" i="4"/>
  <c r="M172" i="4"/>
  <c r="M85" i="3"/>
  <c r="L85" i="3"/>
  <c r="L126" i="4"/>
  <c r="M126" i="4"/>
  <c r="L182" i="3"/>
  <c r="M182" i="3"/>
  <c r="M87" i="3"/>
  <c r="L87" i="3"/>
  <c r="L95" i="4"/>
  <c r="M95" i="4"/>
  <c r="M100" i="3"/>
  <c r="L100" i="3"/>
  <c r="L76" i="4"/>
  <c r="M76" i="4"/>
  <c r="L155" i="4"/>
  <c r="M155" i="4"/>
  <c r="M126" i="3"/>
  <c r="L126" i="3"/>
  <c r="K200" i="5"/>
  <c r="L5" i="5"/>
  <c r="T17" i="5"/>
  <c r="M5" i="5"/>
  <c r="L71" i="4"/>
  <c r="M71" i="4"/>
  <c r="L147" i="4"/>
  <c r="M147" i="4"/>
  <c r="L117" i="4"/>
  <c r="M117" i="4"/>
  <c r="M177" i="3"/>
  <c r="L177" i="3"/>
  <c r="T29" i="5"/>
  <c r="L64" i="4"/>
  <c r="M64" i="4"/>
  <c r="L190" i="3"/>
  <c r="M190" i="3"/>
  <c r="L164" i="4"/>
  <c r="M164" i="4"/>
  <c r="M179" i="3"/>
  <c r="L179" i="3"/>
  <c r="V20" i="2"/>
  <c r="U20" i="2"/>
  <c r="L119" i="4"/>
  <c r="M119" i="4"/>
  <c r="M132" i="3"/>
  <c r="L132" i="3"/>
  <c r="T7" i="2"/>
  <c r="V5" i="2"/>
  <c r="U5" i="2"/>
  <c r="L74" i="3"/>
  <c r="M74" i="3"/>
  <c r="M30" i="3"/>
  <c r="L30" i="3"/>
  <c r="M21" i="1"/>
  <c r="L21" i="1"/>
  <c r="M63" i="3"/>
  <c r="L63" i="3"/>
  <c r="T16" i="3"/>
  <c r="M22" i="1"/>
  <c r="L22" i="1"/>
  <c r="M41" i="3"/>
  <c r="L41" i="3"/>
  <c r="M36" i="1"/>
  <c r="L36" i="1"/>
  <c r="U78" i="12"/>
  <c r="AJ16" i="12"/>
  <c r="AN16" i="12" s="1"/>
  <c r="M163" i="7"/>
  <c r="L163" i="7"/>
  <c r="Q24" i="13"/>
  <c r="S24" i="13" s="1"/>
  <c r="S11" i="13"/>
  <c r="R12" i="13"/>
  <c r="T12" i="13" s="1"/>
  <c r="S13" i="13"/>
  <c r="R16" i="13"/>
  <c r="T16" i="13" s="1"/>
  <c r="R5" i="13"/>
  <c r="AK19" i="12"/>
  <c r="AO19" i="12" s="1"/>
  <c r="AK14" i="12"/>
  <c r="AO14" i="12" s="1"/>
  <c r="AI14" i="12"/>
  <c r="AM14" i="12" s="1"/>
  <c r="AI21" i="12"/>
  <c r="AM21" i="12" s="1"/>
  <c r="AI7" i="12"/>
  <c r="AM7" i="12" s="1"/>
  <c r="S20" i="10"/>
  <c r="R18" i="10"/>
  <c r="T18" i="10" s="1"/>
  <c r="BV16" i="9"/>
  <c r="CB24" i="9"/>
  <c r="BS12" i="9"/>
  <c r="BO25" i="9"/>
  <c r="CA25" i="9" s="1"/>
  <c r="CA11" i="9"/>
  <c r="BV17" i="9"/>
  <c r="CD23" i="9"/>
  <c r="CC5" i="9"/>
  <c r="BQ8" i="9"/>
  <c r="AU8" i="9"/>
  <c r="BS8" i="9" s="1"/>
  <c r="BO8" i="9"/>
  <c r="CA5" i="9"/>
  <c r="BX18" i="9"/>
  <c r="BX6" i="9"/>
  <c r="CD16" i="9"/>
  <c r="BY12" i="9"/>
  <c r="BC8" i="9"/>
  <c r="M133" i="7"/>
  <c r="L133" i="7"/>
  <c r="M199" i="7"/>
  <c r="L199" i="7"/>
  <c r="M162" i="7"/>
  <c r="L162" i="7"/>
  <c r="M182" i="7"/>
  <c r="L182" i="7"/>
  <c r="M172" i="7"/>
  <c r="L172" i="7"/>
  <c r="R20" i="6"/>
  <c r="T20" i="6" s="1"/>
  <c r="W17" i="8"/>
  <c r="Y17" i="8" s="1"/>
  <c r="V21" i="8"/>
  <c r="X14" i="8"/>
  <c r="Z14" i="8" s="1"/>
  <c r="T21" i="8"/>
  <c r="M188" i="5"/>
  <c r="L188" i="5"/>
  <c r="L86" i="5"/>
  <c r="M86" i="5"/>
  <c r="M25" i="5"/>
  <c r="L25" i="5"/>
  <c r="L119" i="5"/>
  <c r="M119" i="5"/>
  <c r="L142" i="5"/>
  <c r="M142" i="5"/>
  <c r="M154" i="5"/>
  <c r="L154" i="5"/>
  <c r="M184" i="5"/>
  <c r="L184" i="5"/>
  <c r="M195" i="5"/>
  <c r="L195" i="5"/>
  <c r="L97" i="5"/>
  <c r="M97" i="5"/>
  <c r="T14" i="5"/>
  <c r="T25" i="5"/>
  <c r="L165" i="4"/>
  <c r="M165" i="4"/>
  <c r="L120" i="4"/>
  <c r="M120" i="4"/>
  <c r="L170" i="3"/>
  <c r="M170" i="3"/>
  <c r="M75" i="3"/>
  <c r="L75" i="3"/>
  <c r="L82" i="4"/>
  <c r="M82" i="4"/>
  <c r="L88" i="3"/>
  <c r="M88" i="3"/>
  <c r="L69" i="4"/>
  <c r="M69" i="4"/>
  <c r="L142" i="4"/>
  <c r="M142" i="4"/>
  <c r="M114" i="3"/>
  <c r="L114" i="3"/>
  <c r="L159" i="4"/>
  <c r="M159" i="4"/>
  <c r="L104" i="4"/>
  <c r="M104" i="4"/>
  <c r="M165" i="3"/>
  <c r="L165" i="3"/>
  <c r="L52" i="4"/>
  <c r="M52" i="4"/>
  <c r="L178" i="3"/>
  <c r="M178" i="3"/>
  <c r="L158" i="4"/>
  <c r="M158" i="4"/>
  <c r="M167" i="3"/>
  <c r="L167" i="3"/>
  <c r="V18" i="2"/>
  <c r="U18" i="2"/>
  <c r="L106" i="4"/>
  <c r="M106" i="4"/>
  <c r="M120" i="3"/>
  <c r="L120" i="3"/>
  <c r="V6" i="2"/>
  <c r="U6" i="2"/>
  <c r="M27" i="3"/>
  <c r="L27" i="3"/>
  <c r="M58" i="3"/>
  <c r="L58" i="3"/>
  <c r="K37" i="1"/>
  <c r="M5" i="1"/>
  <c r="L5" i="1"/>
  <c r="K64" i="2"/>
  <c r="M5" i="2"/>
  <c r="L5" i="2"/>
  <c r="M61" i="3"/>
  <c r="L61" i="3"/>
  <c r="M51" i="3"/>
  <c r="L51" i="3"/>
  <c r="M29" i="3"/>
  <c r="L29" i="3"/>
  <c r="S21" i="2"/>
  <c r="M22" i="3"/>
  <c r="L22" i="3"/>
  <c r="S32" i="3"/>
  <c r="U77" i="12"/>
  <c r="AJ5" i="12"/>
  <c r="BX8" i="9"/>
  <c r="S17" i="13"/>
  <c r="R14" i="13"/>
  <c r="T14" i="13" s="1"/>
  <c r="R6" i="13"/>
  <c r="T6" i="13" s="1"/>
  <c r="AL19" i="12"/>
  <c r="AP19" i="12" s="1"/>
  <c r="AL14" i="12"/>
  <c r="AP14" i="12" s="1"/>
  <c r="AI13" i="12"/>
  <c r="AM13" i="12" s="1"/>
  <c r="AL15" i="12"/>
  <c r="AP15" i="12" s="1"/>
  <c r="AK22" i="12"/>
  <c r="AO22" i="12" s="1"/>
  <c r="AF8" i="12"/>
  <c r="R12" i="10"/>
  <c r="T12" i="10" s="1"/>
  <c r="T22" i="10"/>
  <c r="L8" i="10"/>
  <c r="R13" i="10"/>
  <c r="T13" i="10" s="1"/>
  <c r="BW21" i="9"/>
  <c r="BQ25" i="9"/>
  <c r="CC25" i="9" s="1"/>
  <c r="CC11" i="9"/>
  <c r="BT24" i="9"/>
  <c r="BS24" i="9"/>
  <c r="CB5" i="9"/>
  <c r="BP8" i="9"/>
  <c r="CB8" i="9" s="1"/>
  <c r="BT5" i="9"/>
  <c r="BH8" i="9"/>
  <c r="BT20" i="9"/>
  <c r="BV21" i="9"/>
  <c r="BV5" i="9"/>
  <c r="BJ8" i="9"/>
  <c r="BV8" i="9" s="1"/>
  <c r="BD25" i="9"/>
  <c r="S7" i="8"/>
  <c r="M155" i="7"/>
  <c r="L155" i="7"/>
  <c r="M132" i="7"/>
  <c r="L132" i="7"/>
  <c r="M200" i="7"/>
  <c r="L200" i="7"/>
  <c r="M176" i="7"/>
  <c r="L176" i="7"/>
  <c r="M166" i="7"/>
  <c r="L166" i="7"/>
  <c r="R24" i="6"/>
  <c r="T24" i="6" s="1"/>
  <c r="W12" i="8"/>
  <c r="Y12" i="8" s="1"/>
  <c r="W13" i="8"/>
  <c r="Y13" i="8" s="1"/>
  <c r="T25" i="7"/>
  <c r="T12" i="7"/>
  <c r="M175" i="5"/>
  <c r="L175" i="5"/>
  <c r="L113" i="5"/>
  <c r="M113" i="5"/>
  <c r="L143" i="5"/>
  <c r="M143" i="5"/>
  <c r="M178" i="5"/>
  <c r="L178" i="5"/>
  <c r="M171" i="5"/>
  <c r="L171" i="5"/>
  <c r="M194" i="5"/>
  <c r="L194" i="5"/>
  <c r="L91" i="5"/>
  <c r="M91" i="5"/>
  <c r="T22" i="5"/>
  <c r="L152" i="4"/>
  <c r="M152" i="4"/>
  <c r="L107" i="4"/>
  <c r="M107" i="4"/>
  <c r="L158" i="3"/>
  <c r="M158" i="3"/>
  <c r="L58" i="4"/>
  <c r="M58" i="4"/>
  <c r="L76" i="3"/>
  <c r="M76" i="3"/>
  <c r="M185" i="3"/>
  <c r="L185" i="3"/>
  <c r="L102" i="4"/>
  <c r="M102" i="4"/>
  <c r="M102" i="3"/>
  <c r="L102" i="3"/>
  <c r="L201" i="4"/>
  <c r="M201" i="4"/>
  <c r="T24" i="4"/>
  <c r="L171" i="4"/>
  <c r="M171" i="4"/>
  <c r="L98" i="4"/>
  <c r="M98" i="4"/>
  <c r="M153" i="3"/>
  <c r="L153" i="3"/>
  <c r="L40" i="4"/>
  <c r="M40" i="4"/>
  <c r="L166" i="3"/>
  <c r="M166" i="3"/>
  <c r="L125" i="4"/>
  <c r="M125" i="4"/>
  <c r="M155" i="3"/>
  <c r="L155" i="3"/>
  <c r="V16" i="2"/>
  <c r="U16" i="2"/>
  <c r="L66" i="4"/>
  <c r="M66" i="4"/>
  <c r="M108" i="3"/>
  <c r="L108" i="3"/>
  <c r="M7" i="3"/>
  <c r="L7" i="3"/>
  <c r="M46" i="3"/>
  <c r="L46" i="3"/>
  <c r="M59" i="3"/>
  <c r="L59" i="3"/>
  <c r="T23" i="5"/>
  <c r="M30" i="1"/>
  <c r="L30" i="1"/>
  <c r="M49" i="3"/>
  <c r="L49" i="3"/>
  <c r="M24" i="3"/>
  <c r="L24" i="3"/>
  <c r="M39" i="3"/>
  <c r="L39" i="3"/>
  <c r="U19" i="2"/>
  <c r="V19" i="2"/>
  <c r="M16" i="1"/>
  <c r="L16" i="1"/>
  <c r="T27" i="3"/>
  <c r="R19" i="13"/>
  <c r="T19" i="13" s="1"/>
  <c r="S21" i="13"/>
  <c r="Q158" i="12"/>
  <c r="U158" i="12" s="1"/>
  <c r="U5" i="12"/>
  <c r="AL16" i="12"/>
  <c r="AP16" i="12" s="1"/>
  <c r="AJ18" i="12"/>
  <c r="AN18" i="12" s="1"/>
  <c r="AI16" i="12"/>
  <c r="AM16" i="12" s="1"/>
  <c r="AI18" i="12"/>
  <c r="AM18" i="12" s="1"/>
  <c r="AI17" i="12"/>
  <c r="AM17" i="12" s="1"/>
  <c r="AA25" i="12"/>
  <c r="AJ6" i="12"/>
  <c r="AN6" i="12" s="1"/>
  <c r="L10" i="10"/>
  <c r="R19" i="10"/>
  <c r="T19" i="10" s="1"/>
  <c r="R16" i="10"/>
  <c r="T16" i="10" s="1"/>
  <c r="P24" i="10"/>
  <c r="S6" i="10"/>
  <c r="AZ25" i="9"/>
  <c r="BI25" i="9"/>
  <c r="BU11" i="9"/>
  <c r="CB15" i="9"/>
  <c r="BW23" i="9"/>
  <c r="BT18" i="9"/>
  <c r="BY19" i="9"/>
  <c r="BY21" i="9"/>
  <c r="AV8" i="9"/>
  <c r="BZ5" i="9"/>
  <c r="BN8" i="9"/>
  <c r="BZ8" i="9" s="1"/>
  <c r="CB19" i="9"/>
  <c r="BZ16" i="9"/>
  <c r="M143" i="7"/>
  <c r="L143" i="7"/>
  <c r="M131" i="7"/>
  <c r="L131" i="7"/>
  <c r="M201" i="7"/>
  <c r="L201" i="7"/>
  <c r="M170" i="7"/>
  <c r="L170" i="7"/>
  <c r="M160" i="7"/>
  <c r="L160" i="7"/>
  <c r="R21" i="6"/>
  <c r="T21" i="6" s="1"/>
  <c r="S32" i="7"/>
  <c r="T14" i="7"/>
  <c r="R6" i="6"/>
  <c r="T6" i="6" s="1"/>
  <c r="M190" i="5"/>
  <c r="L190" i="5"/>
  <c r="R19" i="6"/>
  <c r="T19" i="6" s="1"/>
  <c r="R16" i="6"/>
  <c r="T16" i="6" s="1"/>
  <c r="M166" i="5"/>
  <c r="L166" i="5"/>
  <c r="M157" i="5"/>
  <c r="L157" i="5"/>
  <c r="L107" i="5"/>
  <c r="M107" i="5"/>
  <c r="L144" i="5"/>
  <c r="M144" i="5"/>
  <c r="M165" i="5"/>
  <c r="L165" i="5"/>
  <c r="M183" i="5"/>
  <c r="L183" i="5"/>
  <c r="R22" i="6"/>
  <c r="T22" i="6" s="1"/>
  <c r="L85" i="5"/>
  <c r="M85" i="5"/>
  <c r="Q32" i="5"/>
  <c r="T30" i="5"/>
  <c r="T27" i="5"/>
  <c r="L146" i="4"/>
  <c r="M146" i="4"/>
  <c r="M193" i="3"/>
  <c r="L193" i="3"/>
  <c r="L94" i="4"/>
  <c r="M94" i="4"/>
  <c r="L146" i="3"/>
  <c r="M146" i="3"/>
  <c r="L173" i="4"/>
  <c r="M173" i="4"/>
  <c r="M195" i="3"/>
  <c r="L195" i="3"/>
  <c r="L46" i="4"/>
  <c r="M46" i="4"/>
  <c r="V25" i="4"/>
  <c r="U25" i="4"/>
  <c r="M173" i="3"/>
  <c r="L173" i="3"/>
  <c r="L96" i="4"/>
  <c r="M96" i="4"/>
  <c r="M90" i="3"/>
  <c r="L90" i="3"/>
  <c r="L188" i="4"/>
  <c r="M188" i="4"/>
  <c r="M187" i="3"/>
  <c r="L187" i="3"/>
  <c r="L183" i="4"/>
  <c r="M183" i="4"/>
  <c r="M141" i="3"/>
  <c r="L141" i="3"/>
  <c r="L154" i="3"/>
  <c r="M154" i="3"/>
  <c r="L112" i="4"/>
  <c r="M112" i="4"/>
  <c r="M143" i="3"/>
  <c r="L143" i="3"/>
  <c r="V14" i="2"/>
  <c r="U14" i="2"/>
  <c r="L54" i="4"/>
  <c r="M54" i="4"/>
  <c r="M96" i="3"/>
  <c r="L96" i="3"/>
  <c r="M21" i="3"/>
  <c r="L21" i="3"/>
  <c r="AB18" i="1"/>
  <c r="AA18" i="1"/>
  <c r="M34" i="3"/>
  <c r="L34" i="3"/>
  <c r="M47" i="3"/>
  <c r="L47" i="3"/>
  <c r="M176" i="3"/>
  <c r="L176" i="3"/>
  <c r="M20" i="1"/>
  <c r="L20" i="1"/>
  <c r="M37" i="3"/>
  <c r="L37" i="3"/>
  <c r="X21" i="1"/>
  <c r="M15" i="1"/>
  <c r="L15" i="1"/>
  <c r="M23" i="3"/>
  <c r="L23" i="3"/>
  <c r="M16" i="3"/>
  <c r="L16" i="3"/>
  <c r="R32" i="3"/>
  <c r="Z17" i="1"/>
  <c r="AI23" i="12"/>
  <c r="AM23" i="12" s="1"/>
  <c r="AL13" i="12"/>
  <c r="AP13" i="12" s="1"/>
  <c r="AK15" i="12"/>
  <c r="AO15" i="12" s="1"/>
  <c r="AJ17" i="12"/>
  <c r="AN17" i="12" s="1"/>
  <c r="AK21" i="12"/>
  <c r="AO21" i="12" s="1"/>
  <c r="AL18" i="12"/>
  <c r="AP18" i="12" s="1"/>
  <c r="Q18" i="11"/>
  <c r="R20" i="10"/>
  <c r="T20" i="10" s="1"/>
  <c r="R6" i="10"/>
  <c r="T6" i="10" s="1"/>
  <c r="BX19" i="9"/>
  <c r="BU13" i="9"/>
  <c r="CD21" i="9"/>
  <c r="BZ18" i="9"/>
  <c r="BZ20" i="9"/>
  <c r="BU16" i="9"/>
  <c r="BU22" i="9"/>
  <c r="BS20" i="9"/>
  <c r="CD15" i="9"/>
  <c r="BU19" i="9"/>
  <c r="CD24" i="9"/>
  <c r="BW6" i="9"/>
  <c r="BX13" i="9"/>
  <c r="BX23" i="9"/>
  <c r="BT12" i="9"/>
  <c r="M142" i="7"/>
  <c r="L142" i="7"/>
  <c r="M130" i="7"/>
  <c r="L130" i="7"/>
  <c r="M202" i="7"/>
  <c r="L202" i="7"/>
  <c r="M187" i="7"/>
  <c r="L187" i="7"/>
  <c r="M164" i="7"/>
  <c r="L164" i="7"/>
  <c r="R11" i="6"/>
  <c r="R18" i="6"/>
  <c r="T18" i="6" s="1"/>
  <c r="X13" i="8"/>
  <c r="Z13" i="8" s="1"/>
  <c r="X17" i="8"/>
  <c r="Z17" i="8" s="1"/>
  <c r="W18" i="8"/>
  <c r="Y18" i="8" s="1"/>
  <c r="M8" i="7"/>
  <c r="L8" i="7"/>
  <c r="T31" i="7"/>
  <c r="T16" i="7"/>
  <c r="R5" i="6"/>
  <c r="R13" i="6"/>
  <c r="T13" i="6" s="1"/>
  <c r="L140" i="5"/>
  <c r="M140" i="5"/>
  <c r="T5" i="5"/>
  <c r="L136" i="5"/>
  <c r="M136" i="5"/>
  <c r="L101" i="5"/>
  <c r="M101" i="5"/>
  <c r="L145" i="5"/>
  <c r="M145" i="5"/>
  <c r="M177" i="5"/>
  <c r="L177" i="5"/>
  <c r="M170" i="5"/>
  <c r="L170" i="5"/>
  <c r="M169" i="5"/>
  <c r="L169" i="5"/>
  <c r="T7" i="5"/>
  <c r="L113" i="4"/>
  <c r="M113" i="4"/>
  <c r="M181" i="3"/>
  <c r="L181" i="3"/>
  <c r="L56" i="4"/>
  <c r="M56" i="4"/>
  <c r="L134" i="3"/>
  <c r="M134" i="3"/>
  <c r="L160" i="4"/>
  <c r="M160" i="4"/>
  <c r="M183" i="3"/>
  <c r="L183" i="3"/>
  <c r="L34" i="4"/>
  <c r="M34" i="4"/>
  <c r="M196" i="3"/>
  <c r="L196" i="3"/>
  <c r="L200" i="4"/>
  <c r="M200" i="4"/>
  <c r="M161" i="3"/>
  <c r="L161" i="3"/>
  <c r="L83" i="4"/>
  <c r="M83" i="4"/>
  <c r="M78" i="3"/>
  <c r="L78" i="3"/>
  <c r="L182" i="4"/>
  <c r="M182" i="4"/>
  <c r="M175" i="3"/>
  <c r="L175" i="3"/>
  <c r="T12" i="4"/>
  <c r="L195" i="4"/>
  <c r="M195" i="4"/>
  <c r="V27" i="4"/>
  <c r="U27" i="4"/>
  <c r="M129" i="3"/>
  <c r="L129" i="3"/>
  <c r="L142" i="3"/>
  <c r="M142" i="3"/>
  <c r="L105" i="4"/>
  <c r="M105" i="4"/>
  <c r="M131" i="3"/>
  <c r="L131" i="3"/>
  <c r="U12" i="2"/>
  <c r="V12" i="2"/>
  <c r="L42" i="4"/>
  <c r="M42" i="4"/>
  <c r="M84" i="3"/>
  <c r="L84" i="3"/>
  <c r="M128" i="3"/>
  <c r="L128" i="3"/>
  <c r="T19" i="3"/>
  <c r="M32" i="3"/>
  <c r="L32" i="3"/>
  <c r="M35" i="3"/>
  <c r="L35" i="3"/>
  <c r="M104" i="3"/>
  <c r="L104" i="3"/>
  <c r="M31" i="3"/>
  <c r="L31" i="3"/>
  <c r="M18" i="3"/>
  <c r="L18" i="3"/>
  <c r="T31" i="4"/>
  <c r="T21" i="3"/>
  <c r="AL20" i="12"/>
  <c r="AP20" i="12" s="1"/>
  <c r="U133" i="12"/>
  <c r="AJ7" i="12"/>
  <c r="AN7" i="12" s="1"/>
  <c r="AJ12" i="12"/>
  <c r="AN12" i="12" s="1"/>
  <c r="AL17" i="12"/>
  <c r="AP17" i="12" s="1"/>
  <c r="AK18" i="12"/>
  <c r="AO18" i="12" s="1"/>
  <c r="AK7" i="12"/>
  <c r="AO7" i="12" s="1"/>
  <c r="R5" i="10"/>
  <c r="CD14" i="9"/>
  <c r="BE8" i="9"/>
  <c r="AW25" i="9"/>
  <c r="M141" i="7"/>
  <c r="L141" i="7"/>
  <c r="M191" i="7"/>
  <c r="L191" i="7"/>
  <c r="M203" i="7"/>
  <c r="L203" i="7"/>
  <c r="M181" i="7"/>
  <c r="L181" i="7"/>
  <c r="M158" i="7"/>
  <c r="L158" i="7"/>
  <c r="R15" i="6"/>
  <c r="T15" i="6" s="1"/>
  <c r="W19" i="8"/>
  <c r="Y19" i="8" s="1"/>
  <c r="V18" i="7"/>
  <c r="U18" i="7"/>
  <c r="M196" i="5"/>
  <c r="L196" i="5"/>
  <c r="R25" i="6"/>
  <c r="T25" i="6" s="1"/>
  <c r="L134" i="5"/>
  <c r="M134" i="5"/>
  <c r="M192" i="5"/>
  <c r="L192" i="5"/>
  <c r="L130" i="5"/>
  <c r="M130" i="5"/>
  <c r="L95" i="5"/>
  <c r="M95" i="5"/>
  <c r="L146" i="5"/>
  <c r="M146" i="5"/>
  <c r="M193" i="5"/>
  <c r="L193" i="5"/>
  <c r="M182" i="5"/>
  <c r="L182" i="5"/>
  <c r="M161" i="5"/>
  <c r="L161" i="5"/>
  <c r="L100" i="4"/>
  <c r="M100" i="4"/>
  <c r="M169" i="3"/>
  <c r="L169" i="3"/>
  <c r="L44" i="4"/>
  <c r="M44" i="4"/>
  <c r="L122" i="3"/>
  <c r="M122" i="3"/>
  <c r="L153" i="4"/>
  <c r="M153" i="4"/>
  <c r="M171" i="3"/>
  <c r="L171" i="3"/>
  <c r="U28" i="4"/>
  <c r="V28" i="4"/>
  <c r="M184" i="3"/>
  <c r="L184" i="3"/>
  <c r="L194" i="4"/>
  <c r="M194" i="4"/>
  <c r="T19" i="4"/>
  <c r="M149" i="3"/>
  <c r="L149" i="3"/>
  <c r="L70" i="4"/>
  <c r="M70" i="4"/>
  <c r="L149" i="4"/>
  <c r="M149" i="4"/>
  <c r="M163" i="3"/>
  <c r="L163" i="3"/>
  <c r="M117" i="3"/>
  <c r="L117" i="3"/>
  <c r="L190" i="4"/>
  <c r="M190" i="4"/>
  <c r="L130" i="3"/>
  <c r="M130" i="3"/>
  <c r="L92" i="4"/>
  <c r="M92" i="4"/>
  <c r="M119" i="3"/>
  <c r="L119" i="3"/>
  <c r="T21" i="2"/>
  <c r="V10" i="2"/>
  <c r="U10" i="2"/>
  <c r="T20" i="4"/>
  <c r="M72" i="3"/>
  <c r="L72" i="3"/>
  <c r="M68" i="3"/>
  <c r="L68" i="3"/>
  <c r="M15" i="3"/>
  <c r="L15" i="3"/>
  <c r="M80" i="3"/>
  <c r="L80" i="3"/>
  <c r="T29" i="3"/>
  <c r="X7" i="1"/>
  <c r="M152" i="3"/>
  <c r="L152" i="3"/>
  <c r="T5" i="3"/>
  <c r="M17" i="3"/>
  <c r="L17" i="3"/>
  <c r="Z16" i="1"/>
  <c r="Q32" i="3"/>
  <c r="AB16" i="1" l="1"/>
  <c r="AA16" i="1"/>
  <c r="T5" i="6"/>
  <c r="R8" i="6"/>
  <c r="T8" i="6" s="1"/>
  <c r="V14" i="7"/>
  <c r="U14" i="7"/>
  <c r="BU25" i="9"/>
  <c r="AL25" i="12"/>
  <c r="AP25" i="12" s="1"/>
  <c r="AP11" i="12"/>
  <c r="V8" i="3"/>
  <c r="U8" i="3"/>
  <c r="AB7" i="1"/>
  <c r="AA7" i="1"/>
  <c r="V16" i="7"/>
  <c r="U16" i="7"/>
  <c r="U27" i="5"/>
  <c r="V27" i="5"/>
  <c r="CC8" i="9"/>
  <c r="AN11" i="12"/>
  <c r="AJ25" i="12"/>
  <c r="AN25" i="12" s="1"/>
  <c r="V31" i="5"/>
  <c r="U31" i="5"/>
  <c r="V19" i="4"/>
  <c r="U19" i="4"/>
  <c r="U12" i="4"/>
  <c r="T32" i="4"/>
  <c r="V12" i="4"/>
  <c r="V31" i="7"/>
  <c r="U31" i="7"/>
  <c r="V30" i="5"/>
  <c r="U30" i="5"/>
  <c r="U26" i="4"/>
  <c r="V26" i="4"/>
  <c r="CB25" i="9"/>
  <c r="AK8" i="12"/>
  <c r="AO8" i="12" s="1"/>
  <c r="AO5" i="12"/>
  <c r="V5" i="3"/>
  <c r="T9" i="3"/>
  <c r="U5" i="3"/>
  <c r="BX25" i="9"/>
  <c r="V30" i="3"/>
  <c r="U30" i="3"/>
  <c r="AM5" i="12"/>
  <c r="AI8" i="12"/>
  <c r="AM8" i="12" s="1"/>
  <c r="V17" i="3"/>
  <c r="U17" i="3"/>
  <c r="X21" i="8"/>
  <c r="Z21" i="8" s="1"/>
  <c r="Z10" i="8"/>
  <c r="V13" i="4"/>
  <c r="U13" i="4"/>
  <c r="U20" i="4"/>
  <c r="V20" i="4"/>
  <c r="AJ8" i="12"/>
  <c r="AN8" i="12" s="1"/>
  <c r="AN5" i="12"/>
  <c r="V30" i="7"/>
  <c r="U30" i="7"/>
  <c r="V18" i="3"/>
  <c r="U18" i="3"/>
  <c r="V21" i="3"/>
  <c r="U21" i="3"/>
  <c r="V19" i="3"/>
  <c r="U19" i="3"/>
  <c r="U22" i="5"/>
  <c r="V22" i="5"/>
  <c r="BT8" i="9"/>
  <c r="T5" i="13"/>
  <c r="R8" i="13"/>
  <c r="T8" i="13" s="1"/>
  <c r="W21" i="8"/>
  <c r="Y21" i="8" s="1"/>
  <c r="Y10" i="8"/>
  <c r="M203" i="4"/>
  <c r="L203" i="4"/>
  <c r="Y5" i="8"/>
  <c r="W7" i="8"/>
  <c r="Y7" i="8" s="1"/>
  <c r="V9" i="7"/>
  <c r="U9" i="7"/>
  <c r="M207" i="7"/>
  <c r="L207" i="7"/>
  <c r="U31" i="4"/>
  <c r="V31" i="4"/>
  <c r="V27" i="3"/>
  <c r="U27" i="3"/>
  <c r="M64" i="2"/>
  <c r="L64" i="2"/>
  <c r="V25" i="5"/>
  <c r="U25" i="5"/>
  <c r="Z21" i="1"/>
  <c r="V23" i="4"/>
  <c r="U23" i="4"/>
  <c r="V6" i="3"/>
  <c r="U6" i="3"/>
  <c r="V29" i="3"/>
  <c r="U29" i="3"/>
  <c r="U21" i="2"/>
  <c r="V21" i="2"/>
  <c r="U7" i="5"/>
  <c r="V7" i="5"/>
  <c r="V23" i="5"/>
  <c r="U23" i="5"/>
  <c r="V14" i="5"/>
  <c r="U14" i="5"/>
  <c r="AK25" i="12"/>
  <c r="AO25" i="12" s="1"/>
  <c r="AO11" i="12"/>
  <c r="R24" i="13"/>
  <c r="T24" i="13" s="1"/>
  <c r="T11" i="13"/>
  <c r="R24" i="10"/>
  <c r="T24" i="10" s="1"/>
  <c r="T11" i="10"/>
  <c r="U5" i="5"/>
  <c r="V5" i="5"/>
  <c r="T9" i="5"/>
  <c r="AB17" i="1"/>
  <c r="AA17" i="1"/>
  <c r="V12" i="7"/>
  <c r="T32" i="7"/>
  <c r="U12" i="7"/>
  <c r="V7" i="2"/>
  <c r="U7" i="2"/>
  <c r="V26" i="5"/>
  <c r="U26" i="5"/>
  <c r="U8" i="5"/>
  <c r="V8" i="5"/>
  <c r="L197" i="3"/>
  <c r="M197" i="3"/>
  <c r="AP5" i="12"/>
  <c r="AL8" i="12"/>
  <c r="AP8" i="12" s="1"/>
  <c r="V12" i="3"/>
  <c r="T32" i="3"/>
  <c r="U12" i="3"/>
  <c r="V24" i="7"/>
  <c r="U24" i="7"/>
  <c r="BV25" i="9"/>
  <c r="R8" i="10"/>
  <c r="T8" i="10" s="1"/>
  <c r="T5" i="10"/>
  <c r="R27" i="6"/>
  <c r="T27" i="6" s="1"/>
  <c r="T11" i="6"/>
  <c r="V25" i="7"/>
  <c r="U25" i="7"/>
  <c r="M37" i="1"/>
  <c r="L37" i="1"/>
  <c r="V16" i="3"/>
  <c r="U16" i="3"/>
  <c r="V17" i="5"/>
  <c r="U17" i="5"/>
  <c r="U19" i="5"/>
  <c r="V19" i="5"/>
  <c r="AM11" i="12"/>
  <c r="AI25" i="12"/>
  <c r="AM25" i="12" s="1"/>
  <c r="V20" i="5"/>
  <c r="U20" i="5"/>
  <c r="S24" i="10"/>
  <c r="U24" i="4"/>
  <c r="V24" i="4"/>
  <c r="U6" i="4"/>
  <c r="V6" i="4"/>
  <c r="V7" i="3"/>
  <c r="U7" i="3"/>
  <c r="CA8" i="9"/>
  <c r="U29" i="5"/>
  <c r="V29" i="5"/>
  <c r="L200" i="5"/>
  <c r="M200" i="5"/>
  <c r="T32" i="5"/>
  <c r="V12" i="5"/>
  <c r="U12" i="5"/>
  <c r="X7" i="8"/>
  <c r="Z7" i="8" s="1"/>
  <c r="V14" i="3"/>
  <c r="U14" i="3"/>
  <c r="BW8" i="9"/>
  <c r="T9" i="4"/>
  <c r="V9" i="4" l="1"/>
  <c r="U9" i="4"/>
  <c r="V32" i="3"/>
  <c r="U32" i="3"/>
  <c r="U32" i="5"/>
  <c r="V32" i="5"/>
  <c r="V32" i="7"/>
  <c r="U32" i="7"/>
  <c r="AB21" i="1"/>
  <c r="AA21" i="1"/>
  <c r="V9" i="3"/>
  <c r="U9" i="3"/>
  <c r="U32" i="4"/>
  <c r="V32" i="4"/>
  <c r="V9" i="5"/>
  <c r="U9" i="5"/>
</calcChain>
</file>

<file path=xl/sharedStrings.xml><?xml version="1.0" encoding="utf-8"?>
<sst xmlns="http://schemas.openxmlformats.org/spreadsheetml/2006/main" count="15904" uniqueCount="710">
  <si>
    <t>Site Code</t>
  </si>
  <si>
    <t>Site Desc</t>
  </si>
  <si>
    <t>LOB</t>
  </si>
  <si>
    <t>TSH</t>
  </si>
  <si>
    <t>BU</t>
  </si>
  <si>
    <t>Status</t>
  </si>
  <si>
    <t>Territory</t>
  </si>
  <si>
    <t>Agustus</t>
  </si>
  <si>
    <t>Target</t>
  </si>
  <si>
    <t>MtD</t>
  </si>
  <si>
    <t>Est</t>
  </si>
  <si>
    <t>Est%</t>
  </si>
  <si>
    <t>MoM</t>
  </si>
  <si>
    <t>Qty 2025</t>
  </si>
  <si>
    <t>Qty 2026</t>
  </si>
  <si>
    <t>Value 2025</t>
  </si>
  <si>
    <t>Value 2026</t>
  </si>
  <si>
    <t>YtD Qty</t>
  </si>
  <si>
    <t>YtD Value</t>
  </si>
  <si>
    <t>M021</t>
  </si>
  <si>
    <t>ARIS FACHRUDIN</t>
  </si>
  <si>
    <t>E164</t>
  </si>
  <si>
    <t>MARDIANSAH</t>
  </si>
  <si>
    <t>E172</t>
  </si>
  <si>
    <t>Grand Total</t>
  </si>
  <si>
    <t>E027</t>
  </si>
  <si>
    <t>E396</t>
  </si>
  <si>
    <t>E414</t>
  </si>
  <si>
    <t>ABDILLAH</t>
  </si>
  <si>
    <t>M219</t>
  </si>
  <si>
    <t>RENDY NUR SETIAWAN</t>
  </si>
  <si>
    <t>M068</t>
  </si>
  <si>
    <t>IRMAN PERMANA</t>
  </si>
  <si>
    <t>E158</t>
  </si>
  <si>
    <t>MENSI ALEXANDER</t>
  </si>
  <si>
    <t>M048</t>
  </si>
  <si>
    <t>LUKMAN WIBOWO</t>
  </si>
  <si>
    <t>E582</t>
  </si>
  <si>
    <t>FEBRIAN TRI WIBOWO</t>
  </si>
  <si>
    <t>E941</t>
  </si>
  <si>
    <t>RENDI JANUARDI</t>
  </si>
  <si>
    <t>E201</t>
  </si>
  <si>
    <t>EKA FUJI CHAERUL ANWAR</t>
  </si>
  <si>
    <t>M019</t>
  </si>
  <si>
    <t>SANDI MAULANA</t>
  </si>
  <si>
    <t>M013</t>
  </si>
  <si>
    <t>NURUL ZAMAN</t>
  </si>
  <si>
    <t>E029</t>
  </si>
  <si>
    <t>ARENGGA</t>
  </si>
  <si>
    <t>E209</t>
  </si>
  <si>
    <t>E221</t>
  </si>
  <si>
    <t>E231</t>
  </si>
  <si>
    <t>E194</t>
  </si>
  <si>
    <t>M061</t>
  </si>
  <si>
    <t>E160</t>
  </si>
  <si>
    <t>M212</t>
  </si>
  <si>
    <t>E043</t>
  </si>
  <si>
    <t>E150</t>
  </si>
  <si>
    <t>E321</t>
  </si>
  <si>
    <t>E137</t>
  </si>
  <si>
    <t>E081</t>
  </si>
  <si>
    <t>F077</t>
  </si>
  <si>
    <t>E281</t>
  </si>
  <si>
    <t>E082</t>
  </si>
  <si>
    <t>E113</t>
  </si>
  <si>
    <t>Target ROFO</t>
  </si>
  <si>
    <t>M027</t>
  </si>
  <si>
    <t>Total</t>
  </si>
  <si>
    <t>M093</t>
  </si>
  <si>
    <t>E679</t>
  </si>
  <si>
    <t>E453</t>
  </si>
  <si>
    <t>E898</t>
  </si>
  <si>
    <t>E508</t>
  </si>
  <si>
    <t>M163</t>
  </si>
  <si>
    <t>E322</t>
  </si>
  <si>
    <t>M176</t>
  </si>
  <si>
    <t>M104</t>
  </si>
  <si>
    <t>E732</t>
  </si>
  <si>
    <t>E381</t>
  </si>
  <si>
    <t>M167</t>
  </si>
  <si>
    <t>E684</t>
  </si>
  <si>
    <t>E646</t>
  </si>
  <si>
    <t>E777</t>
  </si>
  <si>
    <t>E422</t>
  </si>
  <si>
    <t>E391</t>
  </si>
  <si>
    <t>E544</t>
  </si>
  <si>
    <t>E612</t>
  </si>
  <si>
    <t>E514</t>
  </si>
  <si>
    <t>E704</t>
  </si>
  <si>
    <t>E787</t>
  </si>
  <si>
    <t>F022</t>
  </si>
  <si>
    <t>E875</t>
  </si>
  <si>
    <t>E253</t>
  </si>
  <si>
    <t>E586</t>
  </si>
  <si>
    <t>E812</t>
  </si>
  <si>
    <t>E678</t>
  </si>
  <si>
    <t>E627</t>
  </si>
  <si>
    <t>E663</t>
  </si>
  <si>
    <t>E943</t>
  </si>
  <si>
    <t>E813</t>
  </si>
  <si>
    <t>E465</t>
  </si>
  <si>
    <t>E685</t>
  </si>
  <si>
    <t>F003</t>
  </si>
  <si>
    <t>E369</t>
  </si>
  <si>
    <t>E696</t>
  </si>
  <si>
    <t>E960</t>
  </si>
  <si>
    <t>E942</t>
  </si>
  <si>
    <t>E744</t>
  </si>
  <si>
    <t>E848</t>
  </si>
  <si>
    <t>E986</t>
  </si>
  <si>
    <t>E874</t>
  </si>
  <si>
    <t>E616</t>
  </si>
  <si>
    <t>E923</t>
  </si>
  <si>
    <t>E991</t>
  </si>
  <si>
    <t>E873</t>
  </si>
  <si>
    <t>F066</t>
  </si>
  <si>
    <t>ANDI IRAWAN</t>
  </si>
  <si>
    <t>E028</t>
  </si>
  <si>
    <t>RACHMAT</t>
  </si>
  <si>
    <t>E037</t>
  </si>
  <si>
    <t>E038</t>
  </si>
  <si>
    <t>E047</t>
  </si>
  <si>
    <t>E084</t>
  </si>
  <si>
    <t>ARI HIDAYAT</t>
  </si>
  <si>
    <t>E087</t>
  </si>
  <si>
    <t>E088</t>
  </si>
  <si>
    <t>E096</t>
  </si>
  <si>
    <t>E119</t>
  </si>
  <si>
    <t>VACANT</t>
  </si>
  <si>
    <t>ANDRY UTAMA</t>
  </si>
  <si>
    <t>E191</t>
  </si>
  <si>
    <t>JOKO SUPRASTIO</t>
  </si>
  <si>
    <t>RIZKY KURNIAWAN</t>
  </si>
  <si>
    <t>ARDILESACH</t>
  </si>
  <si>
    <t>LIM PING KIAN</t>
  </si>
  <si>
    <t>E215</t>
  </si>
  <si>
    <t>LIA ASTUTI</t>
  </si>
  <si>
    <t>E216</t>
  </si>
  <si>
    <t>SOPIYAN SAURI</t>
  </si>
  <si>
    <t>E233</t>
  </si>
  <si>
    <t>E290</t>
  </si>
  <si>
    <t>E308</t>
  </si>
  <si>
    <t>E312</t>
  </si>
  <si>
    <t>E320</t>
  </si>
  <si>
    <t>E370</t>
  </si>
  <si>
    <t>E408</t>
  </si>
  <si>
    <t>E413</t>
  </si>
  <si>
    <t>E484</t>
  </si>
  <si>
    <t>E499</t>
  </si>
  <si>
    <t>E589</t>
  </si>
  <si>
    <t>E593</t>
  </si>
  <si>
    <t>E620</t>
  </si>
  <si>
    <t>E821</t>
  </si>
  <si>
    <t>E822</t>
  </si>
  <si>
    <t>E833</t>
  </si>
  <si>
    <t>E834</t>
  </si>
  <si>
    <t>E879</t>
  </si>
  <si>
    <t>E992</t>
  </si>
  <si>
    <t>F058</t>
  </si>
  <si>
    <t>F073</t>
  </si>
  <si>
    <t>F079</t>
  </si>
  <si>
    <t>M014</t>
  </si>
  <si>
    <t>M091</t>
  </si>
  <si>
    <t>N075</t>
  </si>
  <si>
    <t>N125</t>
  </si>
  <si>
    <t>N130</t>
  </si>
  <si>
    <t>N131</t>
  </si>
  <si>
    <t>N140</t>
  </si>
  <si>
    <t>N144</t>
  </si>
  <si>
    <t>N183</t>
  </si>
  <si>
    <t>N184</t>
  </si>
  <si>
    <t>N186</t>
  </si>
  <si>
    <t>N191</t>
  </si>
  <si>
    <t>N200</t>
  </si>
  <si>
    <t>N216</t>
  </si>
  <si>
    <t>S015</t>
  </si>
  <si>
    <t>S018</t>
  </si>
  <si>
    <t>S040</t>
  </si>
  <si>
    <t>S041</t>
  </si>
  <si>
    <t>S042</t>
  </si>
  <si>
    <t>S044</t>
  </si>
  <si>
    <t>S049</t>
  </si>
  <si>
    <t>S055</t>
  </si>
  <si>
    <t>S056</t>
  </si>
  <si>
    <t>S058</t>
  </si>
  <si>
    <t>S066</t>
  </si>
  <si>
    <t>S097</t>
  </si>
  <si>
    <t>S098</t>
  </si>
  <si>
    <t>S136</t>
  </si>
  <si>
    <t>S142</t>
  </si>
  <si>
    <t>S158</t>
  </si>
  <si>
    <t>S183</t>
  </si>
  <si>
    <t>S190</t>
  </si>
  <si>
    <t>M222</t>
  </si>
  <si>
    <t>X011</t>
  </si>
  <si>
    <t>X012</t>
  </si>
  <si>
    <t>X015</t>
  </si>
  <si>
    <t>X016</t>
  </si>
  <si>
    <t>X022</t>
  </si>
  <si>
    <t>X033</t>
  </si>
  <si>
    <t>X034</t>
  </si>
  <si>
    <t>X035</t>
  </si>
  <si>
    <t>X043</t>
  </si>
  <si>
    <t>X049</t>
  </si>
  <si>
    <t>X055</t>
  </si>
  <si>
    <t>X058</t>
  </si>
  <si>
    <t>X064</t>
  </si>
  <si>
    <t>X072</t>
  </si>
  <si>
    <t>X110</t>
  </si>
  <si>
    <t>X135</t>
  </si>
  <si>
    <t>X142</t>
  </si>
  <si>
    <t>X168</t>
  </si>
  <si>
    <t>X172</t>
  </si>
  <si>
    <t>X173</t>
  </si>
  <si>
    <t>X190</t>
  </si>
  <si>
    <t>X191</t>
  </si>
  <si>
    <t>X014</t>
  </si>
  <si>
    <t>X037</t>
  </si>
  <si>
    <t>N330</t>
  </si>
  <si>
    <t>N337</t>
  </si>
  <si>
    <t>F134</t>
  </si>
  <si>
    <t>X222</t>
  </si>
  <si>
    <t>F080</t>
  </si>
  <si>
    <t>S194</t>
  </si>
  <si>
    <t>N354</t>
  </si>
  <si>
    <t>X192</t>
  </si>
  <si>
    <t>S195</t>
  </si>
  <si>
    <t>N360</t>
  </si>
  <si>
    <t>S201</t>
  </si>
  <si>
    <t>N326</t>
  </si>
  <si>
    <t>N380</t>
  </si>
  <si>
    <t>S231</t>
  </si>
  <si>
    <t>S230</t>
  </si>
  <si>
    <t>N391</t>
  </si>
  <si>
    <t>S229</t>
  </si>
  <si>
    <t>S228</t>
  </si>
  <si>
    <t>N396</t>
  </si>
  <si>
    <t>N394</t>
  </si>
  <si>
    <t>Juli</t>
  </si>
  <si>
    <t xml:space="preserve"> </t>
  </si>
  <si>
    <t>Q108</t>
  </si>
  <si>
    <t>N429</t>
  </si>
  <si>
    <t>N452</t>
  </si>
  <si>
    <t>N431</t>
  </si>
  <si>
    <t>N430</t>
  </si>
  <si>
    <t>N436</t>
  </si>
  <si>
    <t>E251</t>
  </si>
  <si>
    <t>M193</t>
  </si>
  <si>
    <t>Stock</t>
  </si>
  <si>
    <t>Q109</t>
  </si>
  <si>
    <t>G258</t>
  </si>
  <si>
    <t>Q008</t>
  </si>
  <si>
    <t>Q022</t>
  </si>
  <si>
    <t>Q129</t>
  </si>
  <si>
    <t>G401</t>
  </si>
  <si>
    <t>G403</t>
  </si>
  <si>
    <t>G404</t>
  </si>
  <si>
    <t>G402</t>
  </si>
  <si>
    <t>G405</t>
  </si>
  <si>
    <t>Q104</t>
  </si>
  <si>
    <t>G416</t>
  </si>
  <si>
    <t>G420</t>
  </si>
  <si>
    <t>Q248</t>
  </si>
  <si>
    <t>G431</t>
  </si>
  <si>
    <t>G417</t>
  </si>
  <si>
    <t>G443</t>
  </si>
  <si>
    <t>G437</t>
  </si>
  <si>
    <t>G423</t>
  </si>
  <si>
    <t>G444</t>
  </si>
  <si>
    <t>G427</t>
  </si>
  <si>
    <t>G435</t>
  </si>
  <si>
    <t>G446</t>
  </si>
  <si>
    <t>G447</t>
  </si>
  <si>
    <t>G451</t>
  </si>
  <si>
    <t>G453</t>
  </si>
  <si>
    <t>G458</t>
  </si>
  <si>
    <t>G457</t>
  </si>
  <si>
    <t>G445</t>
  </si>
  <si>
    <t>G464</t>
  </si>
  <si>
    <t>G463</t>
  </si>
  <si>
    <t>G467</t>
  </si>
  <si>
    <t>G468</t>
  </si>
  <si>
    <t>G480</t>
  </si>
  <si>
    <t>G478</t>
  </si>
  <si>
    <t>G487</t>
  </si>
  <si>
    <t>G489</t>
  </si>
  <si>
    <t>G494</t>
  </si>
  <si>
    <t>G493</t>
  </si>
  <si>
    <t>G497</t>
  </si>
  <si>
    <t>G505</t>
  </si>
  <si>
    <t>G508</t>
  </si>
  <si>
    <t>G532</t>
  </si>
  <si>
    <t>G520</t>
  </si>
  <si>
    <t>G519</t>
  </si>
  <si>
    <t>G546</t>
  </si>
  <si>
    <t>G569</t>
  </si>
  <si>
    <t>G584</t>
  </si>
  <si>
    <t>G586</t>
  </si>
  <si>
    <t>G470</t>
  </si>
  <si>
    <t>G622</t>
  </si>
  <si>
    <t>G644</t>
  </si>
  <si>
    <t>G647</t>
  </si>
  <si>
    <t>G654</t>
  </si>
  <si>
    <t>G663</t>
  </si>
  <si>
    <t>G664</t>
  </si>
  <si>
    <t>G669</t>
  </si>
  <si>
    <t>G697</t>
  </si>
  <si>
    <t>G684</t>
  </si>
  <si>
    <t>G693</t>
  </si>
  <si>
    <t>G699</t>
  </si>
  <si>
    <t>G701</t>
  </si>
  <si>
    <t>G711</t>
  </si>
  <si>
    <t>G714</t>
  </si>
  <si>
    <t>G715</t>
  </si>
  <si>
    <t>G721</t>
  </si>
  <si>
    <t>G732</t>
  </si>
  <si>
    <t>G735</t>
  </si>
  <si>
    <t>G762</t>
  </si>
  <si>
    <t>G760</t>
  </si>
  <si>
    <t>Target All</t>
  </si>
  <si>
    <t>Target 3+</t>
  </si>
  <si>
    <t>MtD All</t>
  </si>
  <si>
    <t>MtD 3+</t>
  </si>
  <si>
    <t>Est All</t>
  </si>
  <si>
    <t>Est 3+</t>
  </si>
  <si>
    <t>Est All%</t>
  </si>
  <si>
    <t>Est 3+ %</t>
  </si>
  <si>
    <t>Target W1</t>
  </si>
  <si>
    <t>Target W2</t>
  </si>
  <si>
    <t>Target W3</t>
  </si>
  <si>
    <t>Target W4</t>
  </si>
  <si>
    <t>Target W5</t>
  </si>
  <si>
    <t>Target W6</t>
  </si>
  <si>
    <t>Target W7</t>
  </si>
  <si>
    <t>Target W8</t>
  </si>
  <si>
    <t>Target W9</t>
  </si>
  <si>
    <t>Target W10</t>
  </si>
  <si>
    <t>Target W11</t>
  </si>
  <si>
    <t>Target W12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</si>
  <si>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</si>
  <si>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</si>
  <si>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</si>
  <si>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</si>
  <si>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</si>
  <si>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</si>
  <si>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</si>
  <si>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</si>
  <si>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</si>
  <si>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</si>
  <si>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</si>
  <si>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</si>
  <si>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W1%</t>
  </si>
  <si>
    <t>W2%</t>
  </si>
  <si>
    <t>W3%</t>
  </si>
  <si>
    <t>W4%</t>
  </si>
  <si>
    <t>W5%</t>
  </si>
  <si>
    <t>W6%</t>
  </si>
  <si>
    <t>W7%</t>
  </si>
  <si>
    <t>W8%</t>
  </si>
  <si>
    <t>W9%</t>
  </si>
  <si>
    <t>W0%</t>
  </si>
  <si>
    <t>W11%</t>
  </si>
  <si>
    <t>W12%</t>
  </si>
  <si>
    <t>W10%</t>
  </si>
  <si>
    <t>E714</t>
  </si>
  <si>
    <t>E695</t>
  </si>
  <si>
    <t>E705</t>
  </si>
  <si>
    <t>E245</t>
  </si>
  <si>
    <t>E648</t>
  </si>
  <si>
    <t>E417</t>
  </si>
  <si>
    <t>E292</t>
  </si>
  <si>
    <t>E299</t>
  </si>
  <si>
    <t>G074</t>
  </si>
  <si>
    <t>S137</t>
  </si>
  <si>
    <t>G210</t>
  </si>
  <si>
    <t>E682</t>
  </si>
  <si>
    <t>E697</t>
  </si>
  <si>
    <t>E664</t>
  </si>
  <si>
    <t>E420</t>
  </si>
  <si>
    <t>M132</t>
  </si>
  <si>
    <t>Q002</t>
  </si>
  <si>
    <t>Q012</t>
  </si>
  <si>
    <t>14 SEP - 31 OKT 2026</t>
  </si>
  <si>
    <t>MtD%</t>
  </si>
  <si>
    <t>HUAWEI MATEPAD AIR 8/256GB</t>
  </si>
  <si>
    <t>HWE M Pen Pro Bund MPad Pro</t>
  </si>
  <si>
    <t>Target A17</t>
  </si>
  <si>
    <t>Target A27 5G</t>
  </si>
  <si>
    <t>Target A57 5G</t>
  </si>
  <si>
    <t>Target S26 Series</t>
  </si>
  <si>
    <t>MtD A17</t>
  </si>
  <si>
    <t>MtD A27 5G</t>
  </si>
  <si>
    <t>MtD A57 5G</t>
  </si>
  <si>
    <t>MtD S26 Series</t>
  </si>
  <si>
    <t>Est A17</t>
  </si>
  <si>
    <t>Est A27 5G</t>
  </si>
  <si>
    <t>Est A57 5G</t>
  </si>
  <si>
    <t>Est S26 Series</t>
  </si>
  <si>
    <t>Est A17%</t>
  </si>
  <si>
    <t>Est A27 5G%</t>
  </si>
  <si>
    <t>Est A57 5G%</t>
  </si>
  <si>
    <t>Est S26 Series%</t>
  </si>
  <si>
    <t>N166</t>
  </si>
  <si>
    <t/>
  </si>
  <si>
    <t>ERAFONE &amp; MORE RUKO CILEDUG</t>
  </si>
  <si>
    <t>ERAFONE MAL TAMAN ANGGREK</t>
  </si>
  <si>
    <t>ERAFONE RUKO KEBON JERUK BINUS</t>
  </si>
  <si>
    <t>ERAFONE DAAN MOGOT MALL</t>
  </si>
  <si>
    <t>ERAFONE &amp; MORE RUKO ITC ROXY MAS</t>
  </si>
  <si>
    <t>ERAFONE RUKO PERCETAKAN NEGARA</t>
  </si>
  <si>
    <t>ERAFONE &amp; MORE PURI INDAH MALL 2</t>
  </si>
  <si>
    <t>ERAFONE &amp; MORE RUKO KAMAL CENGKAREN</t>
  </si>
  <si>
    <t>ERAFONE MAL CIPUTRA JAKARTA</t>
  </si>
  <si>
    <t>MEGASTORE RUKO CIKUPA</t>
  </si>
  <si>
    <t>ERAFONE RUKO SRENGSENG</t>
  </si>
  <si>
    <t>ERAFONE MB RAYA SERPONG</t>
  </si>
  <si>
    <t>ERAFONE RUKO KRESEK BALARAJA</t>
  </si>
  <si>
    <t>MEGASTORE SUMMARECON MALL SERPONG</t>
  </si>
  <si>
    <t>MEGASTORE SUPERMAL KARAWACI</t>
  </si>
  <si>
    <t>ERAFONE LIPPO MALL PURI</t>
  </si>
  <si>
    <t>ERAFONE RUKO AHMAD YANI SERANG</t>
  </si>
  <si>
    <t>ERAFONE AND MORE CIPUTRA CITRA RAYA</t>
  </si>
  <si>
    <t>ERAFONE RUKO HOS COKROAMINOTO</t>
  </si>
  <si>
    <t>ERAFONE RUKO RANGKASBITUNG</t>
  </si>
  <si>
    <t>ERAFONE &amp; MORE RUKO JATIUWUNG</t>
  </si>
  <si>
    <t>ERAFONE RUKO CEGER TANGERANG</t>
  </si>
  <si>
    <t>ERAFONE &amp; MORE RAWASARI</t>
  </si>
  <si>
    <t>ERAFONE PLAZA BINTARO JAYA</t>
  </si>
  <si>
    <t>ERAFONE CILEGON CENTER MALL</t>
  </si>
  <si>
    <t>ERAFONE RUKO SUDIMARA</t>
  </si>
  <si>
    <t>ERAFONE GREEN PRAMUKA SQUARE</t>
  </si>
  <si>
    <t>ERAFONE MALL OF SERANG</t>
  </si>
  <si>
    <t>ERAFONE BINTARO EXCHANGE II</t>
  </si>
  <si>
    <t>ERAFONE SENAYAN CITY 3.0</t>
  </si>
  <si>
    <t>ERAFONE LIVING WORLD ALAM SUTERA</t>
  </si>
  <si>
    <t>ERAFONE GRAND INDONESIA</t>
  </si>
  <si>
    <t>ERAFONE &amp; MORE RUKO CIPUTAT</t>
  </si>
  <si>
    <t>MEGASTORE RUKO CIPONDOH TANGERANG</t>
  </si>
  <si>
    <t>ERAFONE MB JOGLO RAYA</t>
  </si>
  <si>
    <t>ERAFONE RUKO DURI KOSAMBI</t>
  </si>
  <si>
    <t>ERAFONE MB SAMANHUDI</t>
  </si>
  <si>
    <t>ERAFONE JEMBATAN LIMA</t>
  </si>
  <si>
    <t>ERAFONE &amp; MORE SERPONG</t>
  </si>
  <si>
    <t>ERAFONE RUKO MERUYA</t>
  </si>
  <si>
    <t>ERAFONE &amp; MORE KISAMAUN</t>
  </si>
  <si>
    <t>MEGASTORE RUKO REMPOA CIPUTAT</t>
  </si>
  <si>
    <t>ERAFONE SABANG JAKPUS</t>
  </si>
  <si>
    <t>ERAFONE RUKO PETA BARAT JAKBAR</t>
  </si>
  <si>
    <t>ERAFONE &amp; MORE TELUK NAGA</t>
  </si>
  <si>
    <t>ERAFONE MB SANGIANG</t>
  </si>
  <si>
    <t>ERAFONE  BATU CEPER</t>
  </si>
  <si>
    <t>ERAFONE CIHUNI GADING SERPONG</t>
  </si>
  <si>
    <t>ERAFONE RUKO MOH TOHA TANGERANG</t>
  </si>
  <si>
    <t>ERAFONE RUKO SUPRATMAN CIPUTAT</t>
  </si>
  <si>
    <t>ERAFONE CILEGON</t>
  </si>
  <si>
    <t>ERAFONE RUKO JOMBANG</t>
  </si>
  <si>
    <t>ERAFONE MERUYA SELATAN</t>
  </si>
  <si>
    <t>ERAFONE MB  KH DEWANTARA CIPUTAT</t>
  </si>
  <si>
    <t>ERAFONE MB RUKOTIGARAKSA</t>
  </si>
  <si>
    <t>ERAFONE 2.5 PAMULANG</t>
  </si>
  <si>
    <t>ERAFONE MB POS PENGUMBEN</t>
  </si>
  <si>
    <t>ERAFONE RUKO CURUG TANGERANG</t>
  </si>
  <si>
    <t>ERAFONE RUKO GRAHA RAYA</t>
  </si>
  <si>
    <t>ERAFONE MB KUTABUMI</t>
  </si>
  <si>
    <t>ERAFONE MB BENDUNGAN HILIR</t>
  </si>
  <si>
    <t>ERAFONE RUKO CISOKA</t>
  </si>
  <si>
    <t>ERAFONE GARUDA KEMAYORAN</t>
  </si>
  <si>
    <t>ERAFONE MB TAMAN RATU</t>
  </si>
  <si>
    <t>ERAFONE MB SERPONG GARDEN CISAUK</t>
  </si>
  <si>
    <t>ERAFONE RUKO KEBAYORAN LAMA</t>
  </si>
  <si>
    <t>ERAFONE MB PONDOK BETUNG</t>
  </si>
  <si>
    <t>ERAFONE 2.5 CILEDUG RAYA</t>
  </si>
  <si>
    <t>ERAFONE RUKO BOROBUDUR</t>
  </si>
  <si>
    <t>ERAFONE MB RASUNA SAID</t>
  </si>
  <si>
    <t>ERAFONE MB MENCENG RAYA</t>
  </si>
  <si>
    <t>ERAFONE MB KEMBANGAN UTARA</t>
  </si>
  <si>
    <t>ERAFONE MB  RAJEK</t>
  </si>
  <si>
    <t>ERAFONE PASAR KEMIS</t>
  </si>
  <si>
    <t>ERAFONE MB JEMBATAN BESI</t>
  </si>
  <si>
    <t>ERAFONE MB DASANA INDAH</t>
  </si>
  <si>
    <t>ERAFONE 2.5 MERUYA ILIR</t>
  </si>
  <si>
    <t>ERAFONE MB JALAN PANJANG</t>
  </si>
  <si>
    <t>ERAFONE 2.5 KEMANGGISAN UTAMA RAYA</t>
  </si>
  <si>
    <t>ERAFONE MB LEGOK</t>
  </si>
  <si>
    <t>ERAFONE 2.5 SEPATAN</t>
  </si>
  <si>
    <t>ERAFONE MAL PURI INDAH</t>
  </si>
  <si>
    <t>ERAFONE GAJAH MADA PLAZA</t>
  </si>
  <si>
    <t>ERAFONE MALL ATRIUM SENEN</t>
  </si>
  <si>
    <t>ERAFONE 1 ITC CEMPAKA MAS</t>
  </si>
  <si>
    <t>ERAFONE 1 SUPERMALL KARAWACI</t>
  </si>
  <si>
    <t>ERAFONE ITC BSD</t>
  </si>
  <si>
    <t>ERAFONE AEON MAL BSD CITY</t>
  </si>
  <si>
    <t>ERAFONE 2 ITC ROXY MAS</t>
  </si>
  <si>
    <t>ERAFONE TANGERANG CITY MALL</t>
  </si>
  <si>
    <t>ERAFONE RUKO SURYA KENCANA PAMULANG</t>
  </si>
  <si>
    <t>ERAFONE GREEN SEDAYU MALL</t>
  </si>
  <si>
    <t>ERAFONE SENAYAN PARK MALL</t>
  </si>
  <si>
    <t>ERAFONE RUKO TAMAN SURYA JAKBAR</t>
  </si>
  <si>
    <t>ERAFONE RUKO PORIS TANGERANG</t>
  </si>
  <si>
    <t>ERAFONE RUKO MAYOR SAFEI</t>
  </si>
  <si>
    <t>ERAFONE KRESEK KOSAMBI</t>
  </si>
  <si>
    <t>ERAFONE RUKO PANDEGLANG</t>
  </si>
  <si>
    <t>ERAFONE RUKO BERINGIN</t>
  </si>
  <si>
    <t>ERAFONE RUKO SUMUR BATU</t>
  </si>
  <si>
    <t>ERAFONE RUKO KEDOYA</t>
  </si>
  <si>
    <t>ERAFONE SERPONG PARADISE WALK</t>
  </si>
  <si>
    <t>ERAFONE LABUAN</t>
  </si>
  <si>
    <t>ERAFONE RUKO PANIMBANG</t>
  </si>
  <si>
    <t>ERAFONE RUKO MANGGA BESAR</t>
  </si>
  <si>
    <t>ERAFONE 2.5 PADJAJARAN PAMULANG</t>
  </si>
  <si>
    <t>ERAFONE MB ANYER</t>
  </si>
  <si>
    <t>ERAFONE MB KRAGILAN</t>
  </si>
  <si>
    <t>ERAFONE RUKO RANGKASBITUNG 2</t>
  </si>
  <si>
    <t>ERAFONE KEDAUNG TANGSEL</t>
  </si>
  <si>
    <t>ERAFONE MB CIPARE</t>
  </si>
  <si>
    <t>ERAFONE 2.5 KAPUK CENGKARENG</t>
  </si>
  <si>
    <t>ERAFONE 2.5 TELAGA BESTARI</t>
  </si>
  <si>
    <t>ERAFONE AGORA MALL</t>
  </si>
  <si>
    <t>ERAFONE 2.5 GRAND BATAVIA</t>
  </si>
  <si>
    <t>ERAFONE AND MORE BINTARO X-CHANGE</t>
  </si>
  <si>
    <t>MEGASTORE CENTRAL PARK 3.0</t>
  </si>
  <si>
    <t>HUAWEI EXP SHOP MALL TAMAN ANGGREK</t>
  </si>
  <si>
    <t>HUAWEI EXP SHOP SUMMARECON MALL SER</t>
  </si>
  <si>
    <t>XIAOMI STORE E-CENTER SUPERMAL KARA</t>
  </si>
  <si>
    <t>XIAOMI STORE AEON MAL BSD CITY</t>
  </si>
  <si>
    <t>XIAOMI STORE CILEGON CENTER MALL</t>
  </si>
  <si>
    <t>MI STORE LIPPO MALL PURI</t>
  </si>
  <si>
    <t>XIAOMI STORE BINTARO XCHANGE</t>
  </si>
  <si>
    <t>XIAOMI STORE CENTRAL PARK</t>
  </si>
  <si>
    <t>XIAOMI STORE LIVING WORLD ALAM SUTE</t>
  </si>
  <si>
    <t>XIAOMI STORE TANG CITY</t>
  </si>
  <si>
    <t>XIAOMI STORE 1 SUMMARECON MAL</t>
  </si>
  <si>
    <t>MI STORE CIPUTRA CITRARAYA</t>
  </si>
  <si>
    <t>SAMSUNG LIPPO MALL PURI</t>
  </si>
  <si>
    <t>SES SENAYAN CITY</t>
  </si>
  <si>
    <t>SES TANGERANG CITY MALL</t>
  </si>
  <si>
    <t>SES BINTARO X CHANGE</t>
  </si>
  <si>
    <t>SES AEON MAL BSD CITY</t>
  </si>
  <si>
    <t>SES 2 ITC ROXY MAS</t>
  </si>
  <si>
    <t>SPS ITC CEMPAKA MAS</t>
  </si>
  <si>
    <t>SES PLAZA SENAYAN</t>
  </si>
  <si>
    <t>SES SUMMARECON MAL SERPONG</t>
  </si>
  <si>
    <t>SES GREEN PRAMUKA SQUARE</t>
  </si>
  <si>
    <t>SES CILEGON CENTER MALL</t>
  </si>
  <si>
    <t>SES MALL CIPUTRA CITRA RAYA TANGERA</t>
  </si>
  <si>
    <t>SES SENAYAN PARK MALL</t>
  </si>
  <si>
    <t>SPS LABUAN PANDEGLANG</t>
  </si>
  <si>
    <t>SES CENTRAL PARK</t>
  </si>
  <si>
    <t>SAMSUNG (SEP) SERPONG PARADISE WALK</t>
  </si>
  <si>
    <t>SAMSUNG EDC</t>
  </si>
  <si>
    <t>SAMSUNG BINTARO XCHANGE MALL II</t>
  </si>
  <si>
    <t>ERAFONE &amp; MORE EASTVARA MALL</t>
  </si>
  <si>
    <t>IBOX LIPPO MALL PURI</t>
  </si>
  <si>
    <t>IBOX FLAGSHIP CENTRAL PARK</t>
  </si>
  <si>
    <t>IBOX PLAZA INDONESIA</t>
  </si>
  <si>
    <t>IBOX MALL ATRIUM SENEN</t>
  </si>
  <si>
    <t>IBOX FLAGSHIP SENAYAN CITY</t>
  </si>
  <si>
    <t>IBOX BINTARO PLAZA</t>
  </si>
  <si>
    <t>IBOX - SDC SERPONG</t>
  </si>
  <si>
    <t>IBOX FLAGSHIP SUMMARECON MALL SERPO</t>
  </si>
  <si>
    <t>IBOX ITC ROXY</t>
  </si>
  <si>
    <t>IBOX CILEGON CENTRE</t>
  </si>
  <si>
    <t>IBOX MAL CIPUTRA JAKARTA</t>
  </si>
  <si>
    <t>IBOX TANGERANG CITY MALL</t>
  </si>
  <si>
    <t>IBOX MALL CITRARAYA</t>
  </si>
  <si>
    <t>IBOX LIVING WORLD ALAM SUTRA</t>
  </si>
  <si>
    <t>IBOX GAJAH MADA MALL</t>
  </si>
  <si>
    <t>IBOX EDC</t>
  </si>
  <si>
    <t>IBOX A YANI SERANG</t>
  </si>
  <si>
    <t>IBOX BINTARO XCHANGE MALL II</t>
  </si>
  <si>
    <t>IBOX SENAYAN PARK</t>
  </si>
  <si>
    <t>IBOX MALL ALAM SUTERA</t>
  </si>
  <si>
    <t>IBOX GREENLAKE</t>
  </si>
  <si>
    <t>IBOX PARAMOUNT BSD</t>
  </si>
  <si>
    <t>IBOX MENTENG CENTRAL</t>
  </si>
  <si>
    <t>IBOX MANGGA DUA</t>
  </si>
  <si>
    <t>HUAWEI PURI INDAH MALL</t>
  </si>
  <si>
    <t>HONOR BINTARO XCHANGE MALL</t>
  </si>
  <si>
    <t>ERAFONE MALL CIPUTRA 2.5 JAKARTA</t>
  </si>
  <si>
    <t>IBOX PAMULANG</t>
  </si>
  <si>
    <t>ERAFONE MENARA JAKARTA</t>
  </si>
  <si>
    <t>SAMSUNG AGORA MALL</t>
  </si>
  <si>
    <t>MI-STORE MENARA JAKARTA</t>
  </si>
  <si>
    <t>IBOX MENARA JAKARTA</t>
  </si>
  <si>
    <t>SES MENARA JAKARTA</t>
  </si>
  <si>
    <t>HUAWEI MENARA JAKARTA</t>
  </si>
  <si>
    <t>SAMSUNG HAMPTON SQUARE SERPONG</t>
  </si>
  <si>
    <t>MI STORE MALL MATAHARI DAAN MOGOT</t>
  </si>
  <si>
    <t>MI-STORE PLAZA BINTARO JAYA</t>
  </si>
  <si>
    <t>SES PLAZA INDONESIA</t>
  </si>
  <si>
    <t>SES MALL TAMAN ANGGREK</t>
  </si>
  <si>
    <t>HUAWEI CENTRAL PARK MALL</t>
  </si>
  <si>
    <t>SES GRAND INDONESIA EAST MALL</t>
  </si>
  <si>
    <t>SES CIPUTRA MALL JKT</t>
  </si>
  <si>
    <t>XIAOMI STORE PARAMOUNT BSD</t>
  </si>
  <si>
    <t>XIAOMI STORE GRAND INDONESIA</t>
  </si>
  <si>
    <t>GERAI ISAT OOREDOO LIPPO MALL PURI</t>
  </si>
  <si>
    <t>XIAOMI STORE KUTABUMI</t>
  </si>
  <si>
    <t>MI-STORE GREEN SEDAYU</t>
  </si>
  <si>
    <t>XIAOMI STORE GREENLAKE</t>
  </si>
  <si>
    <t>XIAOMI STORE GRAHA RAYA</t>
  </si>
  <si>
    <t>XIAOMI STORE PORIS</t>
  </si>
  <si>
    <t>ERAFONE RUKO CIMONE TANGERANG</t>
  </si>
  <si>
    <t>ERAFONE &amp; MORE EDC</t>
  </si>
  <si>
    <t>XLC HYBRID BINTARO JAYA XCHANGE</t>
  </si>
  <si>
    <t>LOTTEMART GREEN PRAMUKA CITY</t>
  </si>
  <si>
    <t>XLC CENTRAL PARK</t>
  </si>
  <si>
    <t>XLC MAL PURI INDAH</t>
  </si>
  <si>
    <t>XLC TANGERANG CITY MALL</t>
  </si>
  <si>
    <t>ERABLUE RADEN SALEH CILEDUG</t>
  </si>
  <si>
    <t>ERABLUE DEWI SARTIKA CIPUTAT</t>
  </si>
  <si>
    <t>ERABLUE RAWA BUNTU SERPONG</t>
  </si>
  <si>
    <t>ERABLUE HOS COKROAMINOTO CILEDUG</t>
  </si>
  <si>
    <t>ERABLUE SILIWANGI PAMULANG</t>
  </si>
  <si>
    <t>XLC GRAND INDONESIA</t>
  </si>
  <si>
    <t>ERABLUE RADEN FATAH CILEDUG</t>
  </si>
  <si>
    <t>ERABLUE KUTABUMI TANGERANG</t>
  </si>
  <si>
    <t>XLC ITC ROXY MAS</t>
  </si>
  <si>
    <t>ERABLUE LEGOK TANGERANG</t>
  </si>
  <si>
    <t>ERABLUE MERUYA SELATAN</t>
  </si>
  <si>
    <t>ERABLUE SETIA BUDI PAMULANG</t>
  </si>
  <si>
    <t>ERABLUE SATU MARET JAKBAR</t>
  </si>
  <si>
    <t>ERABLUE PARUNG CIPUTAT</t>
  </si>
  <si>
    <t>ERABLUE MOH. TOHA TANGERANG</t>
  </si>
  <si>
    <t>ERABLUE CIRENDEU TANGERANG SELATAN</t>
  </si>
  <si>
    <t>ERABLUE DURI KOSAMBI JAKBAR</t>
  </si>
  <si>
    <t>ERABLUE CIKUPA PEUSAR</t>
  </si>
  <si>
    <t>ERABLUE CURUG RAYA TANGERANG</t>
  </si>
  <si>
    <t>ERABLUE CISOKA TIGARAKSA TANGERANG</t>
  </si>
  <si>
    <t>ERABLUE SYEH MUBAROK TANGERANG</t>
  </si>
  <si>
    <t>ERABLUE KH HASYIM ASHARI TANGERANG</t>
  </si>
  <si>
    <t>ERABLUE CEGER RAYA TANGERANG</t>
  </si>
  <si>
    <t>ERABLUE PUSPITEK SERPONG</t>
  </si>
  <si>
    <t>ERABLUE MAUK TANGERANG</t>
  </si>
  <si>
    <t>ERABLUE KANO RAYA TANGERANG</t>
  </si>
  <si>
    <t>ERABLUE KRESEK BALARAJA</t>
  </si>
  <si>
    <t>ERABLUE LEGOK KARAWACI</t>
  </si>
  <si>
    <t>ERABLUE BENDA PERMAI PAMULANG</t>
  </si>
  <si>
    <t>ERABLUE PASAR KEMIS TANGERANG</t>
  </si>
  <si>
    <t>ERABLUE MAULANA HASANUDIN TANGERANG</t>
  </si>
  <si>
    <t>ERABLUE KAMPUNG MELAYU TANGERANG</t>
  </si>
  <si>
    <t>ERABLUE KRONJO TANGERANG</t>
  </si>
  <si>
    <t>AGRES MANGGA DUA SQUARE</t>
  </si>
  <si>
    <t>ERABLUE KRESEK SUKAMULYA</t>
  </si>
  <si>
    <t>ERABLUE MAUK JATIWARINGIN TGR</t>
  </si>
  <si>
    <t>ERABLUE TAMAN CIBODAS TANGERANG</t>
  </si>
  <si>
    <t>ERABLUE KAMPUNG KECIL JAKBAR</t>
  </si>
  <si>
    <t>ERABLUE PAHLAWAN REMPOA</t>
  </si>
  <si>
    <t>ERABLUE RAWA BELONG JAKBAR</t>
  </si>
  <si>
    <t>ERABLUE CILEDUG RAYA TANGERANG</t>
  </si>
  <si>
    <t>ERABLUE MAUK SUKAMANAH TGR</t>
  </si>
  <si>
    <t>ERABLUE WR SUPRATMAN TANGSEL</t>
  </si>
  <si>
    <t>ERABLUE MALIOBORO KALIDERES</t>
  </si>
  <si>
    <t>ERABLUE LINGKAR SELATAN SERANG</t>
  </si>
  <si>
    <t>ERABLUE WARUNG JAUD SERANG</t>
  </si>
  <si>
    <t>ERABLUE PERIUK TANGERANG</t>
  </si>
  <si>
    <t>ERABLUE KARANG TANJUNG PANDEGLANG</t>
  </si>
  <si>
    <t>ERABLUE DI PANJAITAN CILEGON</t>
  </si>
  <si>
    <t>ERABLUE JL RAYA ANYAR SERANG</t>
  </si>
  <si>
    <t>ERABLUE CIKANDE SERANG</t>
  </si>
  <si>
    <t>ERABLUE SUMUR BATU KEMAYORAN</t>
  </si>
  <si>
    <t>ERABLUE SOLEAR TANGERANG</t>
  </si>
  <si>
    <t>ERABLUE CIJORO PASIR LEBAK</t>
  </si>
  <si>
    <t>ERABLUE BERINGIN KARAWACI TGR</t>
  </si>
  <si>
    <t>ERABLUE PASAR MAJA PANDEGLANG</t>
  </si>
  <si>
    <t>ERABLUE JOMBANG TANGERANG</t>
  </si>
  <si>
    <t>ERABLUE PORISGAGA TANGERANG</t>
  </si>
  <si>
    <t>ERABLUE GREEN VILLE KEBON JERUK</t>
  </si>
  <si>
    <t>ERABLUE AHMAD YANI SERANG</t>
  </si>
  <si>
    <t>ERABLUE LINK ACING CILEGON</t>
  </si>
  <si>
    <t>ERABLUE CEMPAKA PUTIH JAKARTA</t>
  </si>
  <si>
    <t>ERABLUE SERPONG TANGSEL</t>
  </si>
  <si>
    <t>ERABLUE KEMBANGAN JAKARTA BARAT</t>
  </si>
  <si>
    <t>ERABLUE CIBODAS TANGERANG</t>
  </si>
  <si>
    <t>ERAFONE MB  JATAKE</t>
  </si>
  <si>
    <t>ERAFONE MB BINONG</t>
  </si>
  <si>
    <t>ERAFONE MB CIATER TANGSEL</t>
  </si>
  <si>
    <t>ERAFONE RUKO BENDA RAYA PAMULANG</t>
  </si>
  <si>
    <t>ERAFONE RADEN SALEH CILEDUG 2</t>
  </si>
  <si>
    <t>ERAFONE RUKO HASYIM ASYARI CILEDUG</t>
  </si>
  <si>
    <t>ERAFONE RUKO RAWA BOKOR</t>
  </si>
  <si>
    <t>ERAFONE RUKO CIRENDEU</t>
  </si>
  <si>
    <t>LOTTEMART BINTARO</t>
  </si>
  <si>
    <t>SPS A YANI CILEGON</t>
  </si>
  <si>
    <t>CARREFOUR CEMPAKA PUTIH</t>
  </si>
  <si>
    <t>ERAFONE MB KH MANSYUR TANAH ABANG</t>
  </si>
  <si>
    <t>ERAFONE MB PALMERAH UTARA</t>
  </si>
  <si>
    <t>ERAFONE TANJUNG DUREN</t>
  </si>
  <si>
    <t>ERAFONE RUKO CEMPAKA PUTIH</t>
  </si>
  <si>
    <t>MEGASTORE GROGOL PETAMBURAN</t>
  </si>
  <si>
    <t>GALERI ISAT KPPTI</t>
  </si>
  <si>
    <t>GALERI ISAT MANGGA DUA</t>
  </si>
  <si>
    <t>XIAOMI STORE PLAZA ATRIUM</t>
  </si>
  <si>
    <t>1MULTIBRAND</t>
  </si>
  <si>
    <t>Active</t>
  </si>
  <si>
    <t>TANGERANG</t>
  </si>
  <si>
    <t>JAKARTA BARAT</t>
  </si>
  <si>
    <t>JAKARTA PUSAT</t>
  </si>
  <si>
    <t>KAB.TANGERANG</t>
  </si>
  <si>
    <t>TANGERANG SELATAN</t>
  </si>
  <si>
    <t>BANTEN</t>
  </si>
  <si>
    <t>Closed</t>
  </si>
  <si>
    <t>8HUAWEI STORE</t>
  </si>
  <si>
    <t>4Mi Store</t>
  </si>
  <si>
    <t>3NASA</t>
  </si>
  <si>
    <t>2IBOX</t>
  </si>
  <si>
    <t>9HONOR STORE</t>
  </si>
  <si>
    <t>6OS</t>
  </si>
  <si>
    <t>5JB</t>
  </si>
  <si>
    <t>7ERABLUE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</si>
</sst>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3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4B86F3A-2B71-4E45-BC46-6D4E033C2E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9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AF036B-9E48-4B40-913E-9AF5D7C5B9F0}">
  <we:reference id="wa200000018" version="24.0.0.0" store="en-US" storeType="OMEX"/>
  <we:alternateReferences>
    <we:reference id="WA200000018" version="24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C021-E653-44E2-B414-B9D186D74CB7}">
  <dimension ref="A1:AB38"/>
  <sheetViews>
    <sheetView showGridLines="0" tabSelected="1" zoomScale="70" zoomScaleNormal="70" workbookViewId="0">
      <pane ySplit="4" topLeftCell="A5" activePane="bottomLeft" state="frozen"/>
      <selection activeCell="K133" sqref="K133"/>
      <selection pane="bottomLeft" activeCell="K5" sqref="K5"/>
    </sheetView>
  </sheetViews>
  <sheetFormatPr defaultRowHeight="15.05" x14ac:dyDescent="0.3"/>
  <cols>
    <col min="1" max="1" width="10.33203125" bestFit="1" customWidth="1"/>
    <col min="2" max="2" width="41.109375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8" width="19.44140625" customWidth="1"/>
    <col min="9" max="11" width="18" customWidth="1"/>
    <col min="12" max="19" width="18" hidden="1" customWidth="1"/>
    <col min="22" max="22" width="25.88671875" customWidth="1"/>
    <col min="23" max="23" width="15.109375" customWidth="1"/>
    <col min="24" max="28" width="15.109375" hidden="1" customWidth="1"/>
    <col min="29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8" x14ac:dyDescent="0.3">
      <c r="A1" s="1">
        <v>29</v>
      </c>
      <c r="B1" s="1">
        <v>30</v>
      </c>
    </row>
    <row r="3" spans="1:28" s="4" customFormat="1" ht="23.5" customHeight="1" x14ac:dyDescent="0.3">
      <c r="A3" s="2" t="str">
        <f>"OPPO CLIMBER (01 - "&amp;A1&amp;" SEPTEMBER 2026)"</f>
        <v>OPPO CLIMBER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  <c r="V3" s="2" t="str">
        <f>A3</f>
        <v>OPPO CLIMBER (01 - 29 SEPTEMBER 2026)</v>
      </c>
      <c r="W3" s="2"/>
      <c r="X3" s="2"/>
      <c r="Y3" s="2"/>
      <c r="Z3" s="2"/>
      <c r="AA3" s="2"/>
      <c r="AB3" s="2"/>
    </row>
    <row r="4" spans="1:28" s="4" customFormat="1" ht="29.4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V4" s="8" t="s">
        <v>2</v>
      </c>
      <c r="W4" s="7" t="s">
        <v>7</v>
      </c>
      <c r="X4" s="7" t="s">
        <v>8</v>
      </c>
      <c r="Y4" s="7" t="s">
        <v>9</v>
      </c>
      <c r="Z4" s="7" t="s">
        <v>10</v>
      </c>
      <c r="AA4" s="7" t="s">
        <v>11</v>
      </c>
      <c r="AB4" s="7" t="s">
        <v>12</v>
      </c>
    </row>
    <row r="5" spans="1:28" x14ac:dyDescent="0.3">
      <c r="A5" s="9" t="s">
        <v>19</v>
      </c>
      <c r="B5" s="10" t="s">
        <v>404</v>
      </c>
      <c r="C5" s="10" t="s">
        <v>22</v>
      </c>
      <c r="D5" s="10" t="s">
        <v>28</v>
      </c>
      <c r="E5" s="10" t="s">
        <v>693</v>
      </c>
      <c r="F5" s="10" t="s">
        <v>694</v>
      </c>
      <c r="G5" s="10" t="s">
        <v>695</v>
      </c>
      <c r="H5" s="11">
        <v>433163961</v>
      </c>
      <c r="I5" s="11">
        <v>418454324.77397001</v>
      </c>
      <c r="J5" s="11">
        <v>329110801</v>
      </c>
      <c r="K5" s="11">
        <f t="shared" ref="K5:K36" si="0">IFERROR((J5/$A$1*$B$1),0)</f>
        <v>340459449.31034487</v>
      </c>
      <c r="L5" s="12">
        <f t="shared" ref="L5:L37" si="1">IFERROR((K5/I5),0)</f>
        <v>0.8136119742441319</v>
      </c>
      <c r="M5" s="12">
        <f t="shared" ref="M5:M37" si="2">IFERROR((K5-H5)/H5,0)</f>
        <v>-0.21401713908894449</v>
      </c>
      <c r="N5" s="11">
        <v>1154</v>
      </c>
      <c r="O5" s="11">
        <v>960</v>
      </c>
      <c r="P5" s="11">
        <v>3572929693</v>
      </c>
      <c r="Q5" s="11">
        <v>3866838714</v>
      </c>
      <c r="R5" s="12">
        <f>IFERROR((O5-N5)/N5,0)</f>
        <v>-0.1681109185441941</v>
      </c>
      <c r="S5" s="12">
        <f>IFERROR((Q5-P5)/P5,0)</f>
        <v>8.2259950867720588E-2</v>
      </c>
      <c r="V5" s="10" t="s">
        <v>20</v>
      </c>
      <c r="W5" s="11">
        <f t="shared" ref="W5:Z6" si="3">SUMIF($C:$C,$V5,H:H)</f>
        <v>3240146879</v>
      </c>
      <c r="X5" s="11">
        <f t="shared" si="3"/>
        <v>2997823260.0528541</v>
      </c>
      <c r="Y5" s="11">
        <f t="shared" si="3"/>
        <v>2672144117</v>
      </c>
      <c r="Z5" s="11">
        <f t="shared" si="3"/>
        <v>2764287017.5862074</v>
      </c>
      <c r="AA5" s="12">
        <f>IFERROR((Z5/X5),0)</f>
        <v>0.92209806175747355</v>
      </c>
      <c r="AB5" s="12">
        <f>IFERROR((Z5-W5)/W5,0)</f>
        <v>-0.14686366982247925</v>
      </c>
    </row>
    <row r="6" spans="1:28" x14ac:dyDescent="0.3">
      <c r="A6" s="9" t="s">
        <v>21</v>
      </c>
      <c r="B6" s="10" t="s">
        <v>405</v>
      </c>
      <c r="C6" s="10" t="s">
        <v>20</v>
      </c>
      <c r="D6" s="10" t="s">
        <v>30</v>
      </c>
      <c r="E6" s="10" t="s">
        <v>693</v>
      </c>
      <c r="F6" s="10" t="s">
        <v>694</v>
      </c>
      <c r="G6" s="10" t="s">
        <v>696</v>
      </c>
      <c r="H6" s="11">
        <v>452033334</v>
      </c>
      <c r="I6" s="11">
        <v>343801295.18068498</v>
      </c>
      <c r="J6" s="11">
        <v>251937837</v>
      </c>
      <c r="K6" s="11">
        <f t="shared" si="0"/>
        <v>260625348.62068963</v>
      </c>
      <c r="L6" s="12">
        <f t="shared" si="1"/>
        <v>0.7580697114119882</v>
      </c>
      <c r="M6" s="12">
        <f t="shared" si="2"/>
        <v>-0.42343776660353633</v>
      </c>
      <c r="N6" s="11">
        <v>574</v>
      </c>
      <c r="O6" s="11">
        <v>569</v>
      </c>
      <c r="P6" s="11">
        <v>2876602702</v>
      </c>
      <c r="Q6" s="11">
        <v>2838374803</v>
      </c>
      <c r="R6" s="12">
        <f t="shared" ref="R6:R37" si="4">IFERROR((O6-N6)/N6,0)</f>
        <v>-8.7108013937282226E-3</v>
      </c>
      <c r="S6" s="12">
        <f t="shared" ref="S6:S37" si="5">IFERROR((Q6-P6)/P6,0)</f>
        <v>-1.3289252274365693E-2</v>
      </c>
      <c r="V6" s="10" t="s">
        <v>22</v>
      </c>
      <c r="W6" s="11">
        <f t="shared" si="3"/>
        <v>3906691904</v>
      </c>
      <c r="X6" s="11">
        <f t="shared" si="3"/>
        <v>3744248186.7865591</v>
      </c>
      <c r="Y6" s="11">
        <f t="shared" si="3"/>
        <v>3572074741</v>
      </c>
      <c r="Z6" s="11">
        <f t="shared" si="3"/>
        <v>3695249732.068965</v>
      </c>
      <c r="AA6" s="12">
        <f>IFERROR((Z6/X6),0)</f>
        <v>0.98691367338027713</v>
      </c>
      <c r="AB6" s="12">
        <f>IFERROR((Z6-W6)/W6,0)</f>
        <v>-5.4123073210493707E-2</v>
      </c>
    </row>
    <row r="7" spans="1:28" x14ac:dyDescent="0.3">
      <c r="A7" s="9" t="s">
        <v>23</v>
      </c>
      <c r="B7" s="10" t="s">
        <v>406</v>
      </c>
      <c r="C7" s="10" t="s">
        <v>20</v>
      </c>
      <c r="D7" s="10" t="s">
        <v>30</v>
      </c>
      <c r="E7" s="10" t="s">
        <v>693</v>
      </c>
      <c r="F7" s="10" t="s">
        <v>694</v>
      </c>
      <c r="G7" s="10" t="s">
        <v>696</v>
      </c>
      <c r="H7" s="11">
        <v>272601802</v>
      </c>
      <c r="I7" s="11">
        <v>249249359.16629499</v>
      </c>
      <c r="J7" s="11">
        <v>243840533</v>
      </c>
      <c r="K7" s="11">
        <f t="shared" si="0"/>
        <v>252248827.24137929</v>
      </c>
      <c r="L7" s="12">
        <f t="shared" si="1"/>
        <v>1.0120340051630108</v>
      </c>
      <c r="M7" s="12">
        <f t="shared" si="2"/>
        <v>-7.4661923029476926E-2</v>
      </c>
      <c r="N7" s="11">
        <v>895</v>
      </c>
      <c r="O7" s="11">
        <v>729</v>
      </c>
      <c r="P7" s="11">
        <v>2260233304</v>
      </c>
      <c r="Q7" s="11">
        <v>2318855916</v>
      </c>
      <c r="R7" s="12">
        <f t="shared" si="4"/>
        <v>-0.18547486033519553</v>
      </c>
      <c r="S7" s="12">
        <f t="shared" si="5"/>
        <v>2.5936531373223232E-2</v>
      </c>
      <c r="V7" s="5" t="s">
        <v>24</v>
      </c>
      <c r="W7" s="13">
        <f t="shared" ref="W7:Z7" si="6">SUM(W5:W6)</f>
        <v>7146838783</v>
      </c>
      <c r="X7" s="13">
        <f t="shared" si="6"/>
        <v>6742071446.8394127</v>
      </c>
      <c r="Y7" s="13">
        <f t="shared" si="6"/>
        <v>6244218858</v>
      </c>
      <c r="Z7" s="13">
        <f t="shared" si="6"/>
        <v>6459536749.6551723</v>
      </c>
      <c r="AA7" s="14">
        <f>IFERROR((Z7/X7),0)</f>
        <v>0.95809378476451945</v>
      </c>
      <c r="AB7" s="15">
        <f>IFERROR((Z7-W7)/W7,0)</f>
        <v>-9.6168677398977456E-2</v>
      </c>
    </row>
    <row r="8" spans="1:28" x14ac:dyDescent="0.3">
      <c r="A8" s="9" t="s">
        <v>25</v>
      </c>
      <c r="B8" s="10" t="s">
        <v>407</v>
      </c>
      <c r="C8" s="10" t="s">
        <v>20</v>
      </c>
      <c r="D8" s="10" t="s">
        <v>32</v>
      </c>
      <c r="E8" s="10" t="s">
        <v>693</v>
      </c>
      <c r="F8" s="10" t="s">
        <v>694</v>
      </c>
      <c r="G8" s="10" t="s">
        <v>696</v>
      </c>
      <c r="H8" s="11">
        <v>296363963</v>
      </c>
      <c r="I8" s="11">
        <v>248310764.43786201</v>
      </c>
      <c r="J8" s="11">
        <v>256264863</v>
      </c>
      <c r="K8" s="11">
        <f t="shared" si="0"/>
        <v>265101582.41379312</v>
      </c>
      <c r="L8" s="12">
        <f t="shared" si="1"/>
        <v>1.0676201775381868</v>
      </c>
      <c r="M8" s="12">
        <f t="shared" si="2"/>
        <v>-0.10548644399861425</v>
      </c>
      <c r="N8" s="11">
        <v>648</v>
      </c>
      <c r="O8" s="11">
        <v>622</v>
      </c>
      <c r="P8" s="11">
        <v>2095686469</v>
      </c>
      <c r="Q8" s="11">
        <v>2699408143</v>
      </c>
      <c r="R8" s="12">
        <f t="shared" si="4"/>
        <v>-4.0123456790123455E-2</v>
      </c>
      <c r="S8" s="12">
        <f t="shared" si="5"/>
        <v>0.28807824210845728</v>
      </c>
    </row>
    <row r="9" spans="1:28" x14ac:dyDescent="0.3">
      <c r="A9" s="9" t="s">
        <v>26</v>
      </c>
      <c r="B9" s="10" t="s">
        <v>408</v>
      </c>
      <c r="C9" s="10" t="s">
        <v>20</v>
      </c>
      <c r="D9" s="10" t="s">
        <v>34</v>
      </c>
      <c r="E9" s="10" t="s">
        <v>693</v>
      </c>
      <c r="F9" s="10" t="s">
        <v>694</v>
      </c>
      <c r="G9" s="10" t="s">
        <v>697</v>
      </c>
      <c r="H9" s="11">
        <v>179349546</v>
      </c>
      <c r="I9" s="11">
        <v>206174290.35485199</v>
      </c>
      <c r="J9" s="11">
        <v>274209904</v>
      </c>
      <c r="K9" s="11">
        <f t="shared" si="0"/>
        <v>283665417.93103451</v>
      </c>
      <c r="L9" s="12">
        <f t="shared" si="1"/>
        <v>1.3758525247876954</v>
      </c>
      <c r="M9" s="12">
        <f t="shared" si="2"/>
        <v>0.58163443542273874</v>
      </c>
      <c r="N9" s="11">
        <v>567</v>
      </c>
      <c r="O9" s="11">
        <v>438</v>
      </c>
      <c r="P9" s="11">
        <v>1801214371</v>
      </c>
      <c r="Q9" s="11">
        <v>1772443275</v>
      </c>
      <c r="R9" s="12">
        <f t="shared" si="4"/>
        <v>-0.2275132275132275</v>
      </c>
      <c r="S9" s="12">
        <f t="shared" si="5"/>
        <v>-1.5973165916962361E-2</v>
      </c>
      <c r="V9" s="8" t="s">
        <v>3</v>
      </c>
      <c r="W9" s="7" t="s">
        <v>7</v>
      </c>
      <c r="X9" s="7" t="s">
        <v>8</v>
      </c>
      <c r="Y9" s="7" t="s">
        <v>9</v>
      </c>
      <c r="Z9" s="7" t="s">
        <v>10</v>
      </c>
      <c r="AA9" s="7" t="s">
        <v>11</v>
      </c>
      <c r="AB9" s="7" t="s">
        <v>12</v>
      </c>
    </row>
    <row r="10" spans="1:28" x14ac:dyDescent="0.3">
      <c r="A10" s="9" t="s">
        <v>27</v>
      </c>
      <c r="B10" s="10" t="s">
        <v>409</v>
      </c>
      <c r="C10" s="10" t="s">
        <v>20</v>
      </c>
      <c r="D10" s="10" t="s">
        <v>36</v>
      </c>
      <c r="E10" s="10" t="s">
        <v>693</v>
      </c>
      <c r="F10" s="10" t="s">
        <v>694</v>
      </c>
      <c r="G10" s="10" t="s">
        <v>697</v>
      </c>
      <c r="H10" s="11">
        <v>240845950</v>
      </c>
      <c r="I10" s="11">
        <v>186287900.61716399</v>
      </c>
      <c r="J10" s="11">
        <v>212824323</v>
      </c>
      <c r="K10" s="11">
        <f t="shared" si="0"/>
        <v>220163092.75862068</v>
      </c>
      <c r="L10" s="12">
        <f t="shared" si="1"/>
        <v>1.1818432223951723</v>
      </c>
      <c r="M10" s="12">
        <f t="shared" si="2"/>
        <v>-8.5875877262537814E-2</v>
      </c>
      <c r="N10" s="11">
        <v>620</v>
      </c>
      <c r="O10" s="11">
        <v>577</v>
      </c>
      <c r="P10" s="11">
        <v>1576490950</v>
      </c>
      <c r="Q10" s="11">
        <v>1957504536</v>
      </c>
      <c r="R10" s="12">
        <f t="shared" si="4"/>
        <v>-6.9354838709677416E-2</v>
      </c>
      <c r="S10" s="12">
        <f t="shared" si="5"/>
        <v>0.24168460085356025</v>
      </c>
      <c r="V10" s="10" t="s">
        <v>28</v>
      </c>
      <c r="W10" s="11">
        <f t="shared" ref="W10:Z20" si="7">SUMIF($D:$D,$V10,H:H)</f>
        <v>749670269</v>
      </c>
      <c r="X10" s="11">
        <f t="shared" si="7"/>
        <v>775599360.7585969</v>
      </c>
      <c r="Y10" s="11">
        <f t="shared" si="7"/>
        <v>720199989</v>
      </c>
      <c r="Z10" s="11">
        <f t="shared" si="7"/>
        <v>745034471.37931037</v>
      </c>
      <c r="AA10" s="12">
        <f t="shared" ref="AA10:AA21" si="8">IFERROR((Z10/X10),0)</f>
        <v>0.96059191004310307</v>
      </c>
      <c r="AB10" s="12">
        <f t="shared" ref="AB10:AB21" si="9">IFERROR((Z10-W10)/W10,0)</f>
        <v>-6.1837821404781236E-3</v>
      </c>
    </row>
    <row r="11" spans="1:28" x14ac:dyDescent="0.3">
      <c r="A11" s="9" t="s">
        <v>29</v>
      </c>
      <c r="B11" s="10" t="s">
        <v>410</v>
      </c>
      <c r="C11" s="10" t="s">
        <v>20</v>
      </c>
      <c r="D11" s="10" t="s">
        <v>38</v>
      </c>
      <c r="E11" s="10" t="s">
        <v>693</v>
      </c>
      <c r="F11" s="10" t="s">
        <v>694</v>
      </c>
      <c r="G11" s="10" t="s">
        <v>696</v>
      </c>
      <c r="H11" s="11">
        <v>329793698</v>
      </c>
      <c r="I11" s="11">
        <v>291827126.69912302</v>
      </c>
      <c r="J11" s="11">
        <v>272955856</v>
      </c>
      <c r="K11" s="11">
        <f t="shared" si="0"/>
        <v>282368126.89655173</v>
      </c>
      <c r="L11" s="12">
        <f t="shared" si="1"/>
        <v>0.96758697551676331</v>
      </c>
      <c r="M11" s="12">
        <f t="shared" si="2"/>
        <v>-0.14380375183351221</v>
      </c>
      <c r="N11" s="11">
        <v>498</v>
      </c>
      <c r="O11" s="11">
        <v>461</v>
      </c>
      <c r="P11" s="11">
        <v>2446617138</v>
      </c>
      <c r="Q11" s="11">
        <v>2763244166</v>
      </c>
      <c r="R11" s="12">
        <f t="shared" si="4"/>
        <v>-7.4297188755020074E-2</v>
      </c>
      <c r="S11" s="12">
        <f t="shared" si="5"/>
        <v>0.12941421159946112</v>
      </c>
      <c r="V11" s="10" t="s">
        <v>30</v>
      </c>
      <c r="W11" s="11">
        <f t="shared" si="7"/>
        <v>913279281</v>
      </c>
      <c r="X11" s="11">
        <f t="shared" si="7"/>
        <v>756543684.12110305</v>
      </c>
      <c r="Y11" s="11">
        <f t="shared" si="7"/>
        <v>597393684</v>
      </c>
      <c r="Z11" s="11">
        <f t="shared" si="7"/>
        <v>617993466.20689654</v>
      </c>
      <c r="AA11" s="12">
        <f t="shared" si="8"/>
        <v>0.81686421971103496</v>
      </c>
      <c r="AB11" s="12">
        <f t="shared" si="9"/>
        <v>-0.3233247714431654</v>
      </c>
    </row>
    <row r="12" spans="1:28" x14ac:dyDescent="0.3">
      <c r="A12" s="9" t="s">
        <v>31</v>
      </c>
      <c r="B12" s="10" t="s">
        <v>411</v>
      </c>
      <c r="C12" s="10" t="s">
        <v>20</v>
      </c>
      <c r="D12" s="10" t="s">
        <v>32</v>
      </c>
      <c r="E12" s="10" t="s">
        <v>693</v>
      </c>
      <c r="F12" s="10" t="s">
        <v>694</v>
      </c>
      <c r="G12" s="10" t="s">
        <v>696</v>
      </c>
      <c r="H12" s="11">
        <v>194539640</v>
      </c>
      <c r="I12" s="11">
        <v>165810481.88039899</v>
      </c>
      <c r="J12" s="11">
        <v>118102700</v>
      </c>
      <c r="K12" s="11">
        <f t="shared" si="0"/>
        <v>122175206.89655173</v>
      </c>
      <c r="L12" s="12">
        <f t="shared" si="1"/>
        <v>0.7368364503317596</v>
      </c>
      <c r="M12" s="12">
        <f t="shared" si="2"/>
        <v>-0.3719778298317416</v>
      </c>
      <c r="N12" s="11">
        <v>551</v>
      </c>
      <c r="O12" s="11">
        <v>406</v>
      </c>
      <c r="P12" s="11">
        <v>1517393683</v>
      </c>
      <c r="Q12" s="11">
        <v>1494165788</v>
      </c>
      <c r="R12" s="12">
        <f t="shared" si="4"/>
        <v>-0.26315789473684209</v>
      </c>
      <c r="S12" s="12">
        <f t="shared" si="5"/>
        <v>-1.530775780882172E-2</v>
      </c>
      <c r="V12" s="10" t="s">
        <v>32</v>
      </c>
      <c r="W12" s="11">
        <f t="shared" si="7"/>
        <v>490903603</v>
      </c>
      <c r="X12" s="11">
        <f t="shared" si="7"/>
        <v>414121246.31826103</v>
      </c>
      <c r="Y12" s="11">
        <f t="shared" si="7"/>
        <v>374367563</v>
      </c>
      <c r="Z12" s="11">
        <f t="shared" si="7"/>
        <v>387276789.31034482</v>
      </c>
      <c r="AA12" s="12">
        <f t="shared" si="8"/>
        <v>0.93517730073842753</v>
      </c>
      <c r="AB12" s="12">
        <f t="shared" si="9"/>
        <v>-0.21109401735162084</v>
      </c>
    </row>
    <row r="13" spans="1:28" x14ac:dyDescent="0.3">
      <c r="A13" s="9" t="s">
        <v>33</v>
      </c>
      <c r="B13" s="10" t="s">
        <v>412</v>
      </c>
      <c r="C13" s="10" t="s">
        <v>20</v>
      </c>
      <c r="D13" s="10" t="s">
        <v>30</v>
      </c>
      <c r="E13" s="10" t="s">
        <v>693</v>
      </c>
      <c r="F13" s="10" t="s">
        <v>694</v>
      </c>
      <c r="G13" s="10" t="s">
        <v>696</v>
      </c>
      <c r="H13" s="11">
        <v>188644145</v>
      </c>
      <c r="I13" s="11">
        <v>163493029.77412301</v>
      </c>
      <c r="J13" s="11">
        <v>101615314</v>
      </c>
      <c r="K13" s="11">
        <f t="shared" si="0"/>
        <v>105119290.34482759</v>
      </c>
      <c r="L13" s="12">
        <f t="shared" si="1"/>
        <v>0.64295884962225724</v>
      </c>
      <c r="M13" s="12">
        <f t="shared" si="2"/>
        <v>-0.44276409774166281</v>
      </c>
      <c r="N13" s="11">
        <v>441</v>
      </c>
      <c r="O13" s="11">
        <v>378</v>
      </c>
      <c r="P13" s="11">
        <v>1498882892</v>
      </c>
      <c r="Q13" s="11">
        <v>1399474812</v>
      </c>
      <c r="R13" s="12">
        <f t="shared" si="4"/>
        <v>-0.14285714285714285</v>
      </c>
      <c r="S13" s="12">
        <f t="shared" si="5"/>
        <v>-6.6321445478210186E-2</v>
      </c>
      <c r="V13" s="10" t="s">
        <v>34</v>
      </c>
      <c r="W13" s="11">
        <f t="shared" si="7"/>
        <v>660305418</v>
      </c>
      <c r="X13" s="11">
        <f t="shared" si="7"/>
        <v>662835190.07855392</v>
      </c>
      <c r="Y13" s="11">
        <f t="shared" si="7"/>
        <v>680845040</v>
      </c>
      <c r="Z13" s="11">
        <f t="shared" si="7"/>
        <v>704322455.17241383</v>
      </c>
      <c r="AA13" s="12">
        <f t="shared" si="8"/>
        <v>1.0625906193799746</v>
      </c>
      <c r="AB13" s="12">
        <f t="shared" si="9"/>
        <v>6.6661632590774567E-2</v>
      </c>
    </row>
    <row r="14" spans="1:28" x14ac:dyDescent="0.3">
      <c r="A14" s="9" t="s">
        <v>35</v>
      </c>
      <c r="B14" s="10" t="s">
        <v>413</v>
      </c>
      <c r="C14" s="10" t="s">
        <v>22</v>
      </c>
      <c r="D14" s="10" t="s">
        <v>40</v>
      </c>
      <c r="E14" s="10" t="s">
        <v>693</v>
      </c>
      <c r="F14" s="10" t="s">
        <v>694</v>
      </c>
      <c r="G14" s="10" t="s">
        <v>698</v>
      </c>
      <c r="H14" s="11">
        <v>222564863</v>
      </c>
      <c r="I14" s="11">
        <v>206804392.58294699</v>
      </c>
      <c r="J14" s="11">
        <v>210485582</v>
      </c>
      <c r="K14" s="11">
        <f t="shared" si="0"/>
        <v>217743705.51724139</v>
      </c>
      <c r="L14" s="12">
        <f t="shared" si="1"/>
        <v>1.0528969080282313</v>
      </c>
      <c r="M14" s="12">
        <f t="shared" si="2"/>
        <v>-2.1661808687019082E-2</v>
      </c>
      <c r="N14" s="11">
        <v>695</v>
      </c>
      <c r="O14" s="11">
        <v>563</v>
      </c>
      <c r="P14" s="11">
        <v>1826727882</v>
      </c>
      <c r="Q14" s="11">
        <v>1949636953</v>
      </c>
      <c r="R14" s="12">
        <f t="shared" si="4"/>
        <v>-0.18992805755395684</v>
      </c>
      <c r="S14" s="12">
        <f t="shared" si="5"/>
        <v>6.7283732958316994E-2</v>
      </c>
      <c r="V14" s="10" t="s">
        <v>36</v>
      </c>
      <c r="W14" s="11">
        <f t="shared" si="7"/>
        <v>483470278</v>
      </c>
      <c r="X14" s="11">
        <f t="shared" si="7"/>
        <v>498065174.17504698</v>
      </c>
      <c r="Y14" s="11">
        <f t="shared" si="7"/>
        <v>468064859</v>
      </c>
      <c r="Z14" s="11">
        <f t="shared" si="7"/>
        <v>484205026.55172414</v>
      </c>
      <c r="AA14" s="12">
        <f t="shared" si="8"/>
        <v>0.97217202016527327</v>
      </c>
      <c r="AB14" s="12">
        <f t="shared" si="9"/>
        <v>1.5197388239947521E-3</v>
      </c>
    </row>
    <row r="15" spans="1:28" x14ac:dyDescent="0.3">
      <c r="A15" s="9" t="s">
        <v>37</v>
      </c>
      <c r="B15" s="10" t="s">
        <v>414</v>
      </c>
      <c r="C15" s="10" t="s">
        <v>20</v>
      </c>
      <c r="D15" s="10" t="s">
        <v>38</v>
      </c>
      <c r="E15" s="10" t="s">
        <v>693</v>
      </c>
      <c r="F15" s="10" t="s">
        <v>694</v>
      </c>
      <c r="G15" s="10" t="s">
        <v>696</v>
      </c>
      <c r="H15" s="11">
        <v>79224327</v>
      </c>
      <c r="I15" s="11">
        <v>99024243.889524698</v>
      </c>
      <c r="J15" s="11">
        <v>72366662</v>
      </c>
      <c r="K15" s="11">
        <f t="shared" si="0"/>
        <v>74862064.137931034</v>
      </c>
      <c r="L15" s="12">
        <f t="shared" si="1"/>
        <v>0.75599733153681103</v>
      </c>
      <c r="M15" s="12">
        <f t="shared" si="2"/>
        <v>-5.5062163697130129E-2</v>
      </c>
      <c r="N15" s="11">
        <v>266</v>
      </c>
      <c r="O15" s="11">
        <v>205</v>
      </c>
      <c r="P15" s="11">
        <v>678449535</v>
      </c>
      <c r="Q15" s="11">
        <v>763108116</v>
      </c>
      <c r="R15" s="12">
        <f t="shared" si="4"/>
        <v>-0.22932330827067668</v>
      </c>
      <c r="S15" s="12">
        <f t="shared" si="5"/>
        <v>0.12478242910137745</v>
      </c>
      <c r="V15" s="10" t="s">
        <v>38</v>
      </c>
      <c r="W15" s="11">
        <f t="shared" si="7"/>
        <v>692188299</v>
      </c>
      <c r="X15" s="11">
        <f t="shared" si="7"/>
        <v>666257965.35988975</v>
      </c>
      <c r="Y15" s="11">
        <f t="shared" si="7"/>
        <v>551472971</v>
      </c>
      <c r="Z15" s="11">
        <f t="shared" si="7"/>
        <v>570489280.34482765</v>
      </c>
      <c r="AA15" s="12">
        <f t="shared" si="8"/>
        <v>0.85625885168467575</v>
      </c>
      <c r="AB15" s="12">
        <f t="shared" si="9"/>
        <v>-0.17581779239982839</v>
      </c>
    </row>
    <row r="16" spans="1:28" x14ac:dyDescent="0.3">
      <c r="A16" s="9" t="s">
        <v>39</v>
      </c>
      <c r="B16" s="10" t="s">
        <v>415</v>
      </c>
      <c r="C16" s="10" t="s">
        <v>22</v>
      </c>
      <c r="D16" s="10" t="s">
        <v>42</v>
      </c>
      <c r="E16" s="10" t="s">
        <v>693</v>
      </c>
      <c r="F16" s="10" t="s">
        <v>694</v>
      </c>
      <c r="G16" s="10" t="s">
        <v>699</v>
      </c>
      <c r="H16" s="11">
        <v>121388293</v>
      </c>
      <c r="I16" s="11">
        <v>86203706.067857504</v>
      </c>
      <c r="J16" s="11">
        <v>97762161</v>
      </c>
      <c r="K16" s="11">
        <f t="shared" si="0"/>
        <v>101133270</v>
      </c>
      <c r="L16" s="12">
        <f t="shared" si="1"/>
        <v>1.1731893512836942</v>
      </c>
      <c r="M16" s="12">
        <f t="shared" si="2"/>
        <v>-0.16686142048311034</v>
      </c>
      <c r="N16" s="11">
        <v>266</v>
      </c>
      <c r="O16" s="11">
        <v>286</v>
      </c>
      <c r="P16" s="11">
        <v>685634229</v>
      </c>
      <c r="Q16" s="11">
        <v>896868482</v>
      </c>
      <c r="R16" s="12">
        <f t="shared" si="4"/>
        <v>7.5187969924812026E-2</v>
      </c>
      <c r="S16" s="12">
        <f t="shared" si="5"/>
        <v>0.30808592113040495</v>
      </c>
      <c r="V16" s="10" t="s">
        <v>40</v>
      </c>
      <c r="W16" s="11">
        <f t="shared" si="7"/>
        <v>630889183</v>
      </c>
      <c r="X16" s="11">
        <f t="shared" si="7"/>
        <v>609507050.13301206</v>
      </c>
      <c r="Y16" s="11">
        <f t="shared" si="7"/>
        <v>625622511</v>
      </c>
      <c r="Z16" s="11">
        <f t="shared" si="7"/>
        <v>647195701.03448272</v>
      </c>
      <c r="AA16" s="12">
        <f t="shared" si="8"/>
        <v>1.0618346430828747</v>
      </c>
      <c r="AB16" s="12">
        <f t="shared" si="9"/>
        <v>2.5846881629737369E-2</v>
      </c>
    </row>
    <row r="17" spans="1:28" x14ac:dyDescent="0.3">
      <c r="A17" s="9" t="s">
        <v>41</v>
      </c>
      <c r="B17" s="10" t="s">
        <v>416</v>
      </c>
      <c r="C17" s="10" t="s">
        <v>22</v>
      </c>
      <c r="D17" s="10" t="s">
        <v>40</v>
      </c>
      <c r="E17" s="10" t="s">
        <v>693</v>
      </c>
      <c r="F17" s="10" t="s">
        <v>694</v>
      </c>
      <c r="G17" s="10" t="s">
        <v>698</v>
      </c>
      <c r="H17" s="11">
        <v>96808108</v>
      </c>
      <c r="I17" s="11">
        <v>139897628.658342</v>
      </c>
      <c r="J17" s="11">
        <v>106960361</v>
      </c>
      <c r="K17" s="11">
        <f t="shared" si="0"/>
        <v>110648649.31034482</v>
      </c>
      <c r="L17" s="12">
        <f t="shared" si="1"/>
        <v>0.79092583892591173</v>
      </c>
      <c r="M17" s="12">
        <f t="shared" si="2"/>
        <v>0.14296882354466442</v>
      </c>
      <c r="N17" s="11">
        <v>503</v>
      </c>
      <c r="O17" s="11">
        <v>261</v>
      </c>
      <c r="P17" s="11">
        <v>1249446811</v>
      </c>
      <c r="Q17" s="11">
        <v>813368484</v>
      </c>
      <c r="R17" s="12">
        <f t="shared" si="4"/>
        <v>-0.48111332007952284</v>
      </c>
      <c r="S17" s="12">
        <f t="shared" si="5"/>
        <v>-0.34901711954507519</v>
      </c>
      <c r="V17" s="10" t="s">
        <v>42</v>
      </c>
      <c r="W17" s="11">
        <f t="shared" si="7"/>
        <v>266871175</v>
      </c>
      <c r="X17" s="11">
        <f t="shared" si="7"/>
        <v>251066322.98762649</v>
      </c>
      <c r="Y17" s="11">
        <f t="shared" si="7"/>
        <v>213331529</v>
      </c>
      <c r="Z17" s="11">
        <f t="shared" si="7"/>
        <v>220687788.62068966</v>
      </c>
      <c r="AA17" s="12">
        <f t="shared" si="8"/>
        <v>0.87900195452165841</v>
      </c>
      <c r="AB17" s="12">
        <f t="shared" si="9"/>
        <v>-0.17305498197514341</v>
      </c>
    </row>
    <row r="18" spans="1:28" x14ac:dyDescent="0.3">
      <c r="A18" s="9" t="s">
        <v>43</v>
      </c>
      <c r="B18" s="10" t="s">
        <v>417</v>
      </c>
      <c r="C18" s="10" t="s">
        <v>22</v>
      </c>
      <c r="D18" s="10" t="s">
        <v>44</v>
      </c>
      <c r="E18" s="10" t="s">
        <v>693</v>
      </c>
      <c r="F18" s="10" t="s">
        <v>694</v>
      </c>
      <c r="G18" s="10" t="s">
        <v>698</v>
      </c>
      <c r="H18" s="11">
        <v>689281988</v>
      </c>
      <c r="I18" s="11">
        <v>520776791.62950402</v>
      </c>
      <c r="J18" s="11">
        <v>567855859</v>
      </c>
      <c r="K18" s="11">
        <f t="shared" si="0"/>
        <v>587437095.51724148</v>
      </c>
      <c r="L18" s="12">
        <f t="shared" si="1"/>
        <v>1.1280016793358978</v>
      </c>
      <c r="M18" s="12">
        <f t="shared" si="2"/>
        <v>-0.14775504692682978</v>
      </c>
      <c r="N18" s="11">
        <v>796</v>
      </c>
      <c r="O18" s="11">
        <v>913</v>
      </c>
      <c r="P18" s="11">
        <v>3464890979</v>
      </c>
      <c r="Q18" s="11">
        <v>4337519878</v>
      </c>
      <c r="R18" s="12">
        <f t="shared" si="4"/>
        <v>0.14698492462311558</v>
      </c>
      <c r="S18" s="12">
        <f t="shared" si="5"/>
        <v>0.25184887613746765</v>
      </c>
      <c r="V18" s="10" t="s">
        <v>44</v>
      </c>
      <c r="W18" s="11">
        <f t="shared" si="7"/>
        <v>949527039</v>
      </c>
      <c r="X18" s="11">
        <f t="shared" si="7"/>
        <v>873080762.17237806</v>
      </c>
      <c r="Y18" s="11">
        <f t="shared" si="7"/>
        <v>818583787</v>
      </c>
      <c r="Z18" s="11">
        <f t="shared" si="7"/>
        <v>846810814.13793111</v>
      </c>
      <c r="AA18" s="12">
        <f t="shared" si="8"/>
        <v>0.96991120504238038</v>
      </c>
      <c r="AB18" s="12">
        <f t="shared" si="9"/>
        <v>-0.10817619787873033</v>
      </c>
    </row>
    <row r="19" spans="1:28" x14ac:dyDescent="0.3">
      <c r="A19" s="9" t="s">
        <v>45</v>
      </c>
      <c r="B19" s="10" t="s">
        <v>418</v>
      </c>
      <c r="C19" s="10" t="s">
        <v>22</v>
      </c>
      <c r="D19" s="10" t="s">
        <v>44</v>
      </c>
      <c r="E19" s="10" t="s">
        <v>693</v>
      </c>
      <c r="F19" s="10" t="s">
        <v>694</v>
      </c>
      <c r="G19" s="10" t="s">
        <v>698</v>
      </c>
      <c r="H19" s="11">
        <v>260245051</v>
      </c>
      <c r="I19" s="11">
        <v>352303970.54287398</v>
      </c>
      <c r="J19" s="11">
        <v>250727928</v>
      </c>
      <c r="K19" s="11">
        <f t="shared" si="0"/>
        <v>259373718.62068963</v>
      </c>
      <c r="L19" s="12">
        <f t="shared" si="1"/>
        <v>0.73622138921969627</v>
      </c>
      <c r="M19" s="12">
        <f t="shared" si="2"/>
        <v>-3.3481227633810778E-3</v>
      </c>
      <c r="N19" s="11">
        <v>650</v>
      </c>
      <c r="O19" s="11">
        <v>633</v>
      </c>
      <c r="P19" s="11">
        <v>2298018020</v>
      </c>
      <c r="Q19" s="11">
        <v>2645636987</v>
      </c>
      <c r="R19" s="12">
        <f t="shared" si="4"/>
        <v>-2.6153846153846153E-2</v>
      </c>
      <c r="S19" s="12">
        <f t="shared" si="5"/>
        <v>0.15126903443516079</v>
      </c>
      <c r="V19" s="10" t="s">
        <v>46</v>
      </c>
      <c r="W19" s="11">
        <f t="shared" si="7"/>
        <v>769717114</v>
      </c>
      <c r="X19" s="11">
        <f t="shared" si="7"/>
        <v>743339018.78220308</v>
      </c>
      <c r="Y19" s="11">
        <f t="shared" si="7"/>
        <v>632173866</v>
      </c>
      <c r="Z19" s="11">
        <f t="shared" si="7"/>
        <v>653972964.82758629</v>
      </c>
      <c r="AA19" s="12">
        <f t="shared" si="8"/>
        <v>0.87977752856156621</v>
      </c>
      <c r="AB19" s="12">
        <f t="shared" si="9"/>
        <v>-0.15037232129466943</v>
      </c>
    </row>
    <row r="20" spans="1:28" x14ac:dyDescent="0.3">
      <c r="A20" s="9" t="s">
        <v>47</v>
      </c>
      <c r="B20" s="10" t="s">
        <v>419</v>
      </c>
      <c r="C20" s="10" t="s">
        <v>20</v>
      </c>
      <c r="D20" s="10" t="s">
        <v>38</v>
      </c>
      <c r="E20" s="10" t="s">
        <v>693</v>
      </c>
      <c r="F20" s="10" t="s">
        <v>694</v>
      </c>
      <c r="G20" s="10" t="s">
        <v>696</v>
      </c>
      <c r="H20" s="11">
        <v>283170274</v>
      </c>
      <c r="I20" s="11">
        <v>275406594.77124202</v>
      </c>
      <c r="J20" s="11">
        <v>206150453</v>
      </c>
      <c r="K20" s="11">
        <f t="shared" si="0"/>
        <v>213259089.31034482</v>
      </c>
      <c r="L20" s="12">
        <f t="shared" si="1"/>
        <v>0.77434271131917476</v>
      </c>
      <c r="M20" s="12">
        <f t="shared" si="2"/>
        <v>-0.24688744232261889</v>
      </c>
      <c r="N20" s="11">
        <v>560</v>
      </c>
      <c r="O20" s="11">
        <v>434</v>
      </c>
      <c r="P20" s="11">
        <v>1839631522</v>
      </c>
      <c r="Q20" s="11">
        <v>2157879309</v>
      </c>
      <c r="R20" s="12">
        <f t="shared" si="4"/>
        <v>-0.22500000000000001</v>
      </c>
      <c r="S20" s="12">
        <f t="shared" si="5"/>
        <v>0.17299539782510859</v>
      </c>
      <c r="V20" s="10" t="s">
        <v>48</v>
      </c>
      <c r="W20" s="11">
        <f t="shared" si="7"/>
        <v>540017124</v>
      </c>
      <c r="X20" s="11">
        <f t="shared" si="7"/>
        <v>491655671.95274282</v>
      </c>
      <c r="Y20" s="11">
        <f t="shared" si="7"/>
        <v>562163059</v>
      </c>
      <c r="Z20" s="11">
        <f t="shared" si="7"/>
        <v>581547992.06896567</v>
      </c>
      <c r="AA20" s="12">
        <f t="shared" si="8"/>
        <v>1.1828359261252723</v>
      </c>
      <c r="AB20" s="12">
        <f t="shared" si="9"/>
        <v>7.6906576149547573E-2</v>
      </c>
    </row>
    <row r="21" spans="1:28" x14ac:dyDescent="0.3">
      <c r="A21" s="9" t="s">
        <v>49</v>
      </c>
      <c r="B21" s="10" t="s">
        <v>420</v>
      </c>
      <c r="C21" s="10" t="s">
        <v>22</v>
      </c>
      <c r="D21" s="10" t="s">
        <v>46</v>
      </c>
      <c r="E21" s="10" t="s">
        <v>693</v>
      </c>
      <c r="F21" s="10" t="s">
        <v>694</v>
      </c>
      <c r="G21" s="10" t="s">
        <v>700</v>
      </c>
      <c r="H21" s="11">
        <v>192679278</v>
      </c>
      <c r="I21" s="11">
        <v>178327714.929847</v>
      </c>
      <c r="J21" s="11">
        <v>125192792</v>
      </c>
      <c r="K21" s="11">
        <f t="shared" si="0"/>
        <v>129509784.8275862</v>
      </c>
      <c r="L21" s="12">
        <f t="shared" si="1"/>
        <v>0.7262459729186489</v>
      </c>
      <c r="M21" s="12">
        <f t="shared" si="2"/>
        <v>-0.32784788186934039</v>
      </c>
      <c r="N21" s="11">
        <v>343</v>
      </c>
      <c r="O21" s="11">
        <v>349</v>
      </c>
      <c r="P21" s="11">
        <v>1021525219</v>
      </c>
      <c r="Q21" s="11">
        <v>1423018037</v>
      </c>
      <c r="R21" s="12">
        <f t="shared" si="4"/>
        <v>1.7492711370262391E-2</v>
      </c>
      <c r="S21" s="12">
        <f t="shared" si="5"/>
        <v>0.39303270299389448</v>
      </c>
      <c r="V21" s="5" t="s">
        <v>24</v>
      </c>
      <c r="W21" s="13">
        <f>SUM(W10:W20)</f>
        <v>7146838783</v>
      </c>
      <c r="X21" s="13">
        <f>SUM(X10:X20)</f>
        <v>6742071446.8394127</v>
      </c>
      <c r="Y21" s="13">
        <f>SUM(Y10:Y20)</f>
        <v>6244218858</v>
      </c>
      <c r="Z21" s="13">
        <f>SUM(Z10:Z20)</f>
        <v>6459536749.6551723</v>
      </c>
      <c r="AA21" s="14">
        <f t="shared" si="8"/>
        <v>0.95809378476451945</v>
      </c>
      <c r="AB21" s="15">
        <f t="shared" si="9"/>
        <v>-9.6168677398977456E-2</v>
      </c>
    </row>
    <row r="22" spans="1:28" x14ac:dyDescent="0.3">
      <c r="A22" s="9" t="s">
        <v>50</v>
      </c>
      <c r="B22" s="10" t="s">
        <v>421</v>
      </c>
      <c r="C22" s="10" t="s">
        <v>22</v>
      </c>
      <c r="D22" s="10" t="s">
        <v>40</v>
      </c>
      <c r="E22" s="10" t="s">
        <v>693</v>
      </c>
      <c r="F22" s="10" t="s">
        <v>694</v>
      </c>
      <c r="G22" s="10" t="s">
        <v>698</v>
      </c>
      <c r="H22" s="11">
        <v>311516212</v>
      </c>
      <c r="I22" s="11">
        <v>262805028.89172301</v>
      </c>
      <c r="J22" s="11">
        <v>308176568</v>
      </c>
      <c r="K22" s="11">
        <f t="shared" si="0"/>
        <v>318803346.20689654</v>
      </c>
      <c r="L22" s="12">
        <f t="shared" si="1"/>
        <v>1.2130793217744897</v>
      </c>
      <c r="M22" s="12">
        <f t="shared" si="2"/>
        <v>2.3392471807844605E-2</v>
      </c>
      <c r="N22" s="11">
        <v>551</v>
      </c>
      <c r="O22" s="11">
        <v>612</v>
      </c>
      <c r="P22" s="11">
        <v>1727099993</v>
      </c>
      <c r="Q22" s="11">
        <v>2489056770</v>
      </c>
      <c r="R22" s="12">
        <f t="shared" si="4"/>
        <v>0.11070780399274047</v>
      </c>
      <c r="S22" s="12">
        <f t="shared" si="5"/>
        <v>0.44117699038170283</v>
      </c>
    </row>
    <row r="23" spans="1:28" x14ac:dyDescent="0.3">
      <c r="A23" s="9" t="s">
        <v>51</v>
      </c>
      <c r="B23" s="10" t="s">
        <v>422</v>
      </c>
      <c r="C23" s="10" t="s">
        <v>22</v>
      </c>
      <c r="D23" s="10" t="s">
        <v>28</v>
      </c>
      <c r="E23" s="10" t="s">
        <v>693</v>
      </c>
      <c r="F23" s="10" t="s">
        <v>694</v>
      </c>
      <c r="G23" s="10" t="s">
        <v>695</v>
      </c>
      <c r="H23" s="11">
        <v>163412612</v>
      </c>
      <c r="I23" s="11">
        <v>188229803.47626999</v>
      </c>
      <c r="J23" s="11">
        <v>191189190</v>
      </c>
      <c r="K23" s="11">
        <f t="shared" si="0"/>
        <v>197781920.68965518</v>
      </c>
      <c r="L23" s="12">
        <f t="shared" si="1"/>
        <v>1.0507471029399944</v>
      </c>
      <c r="M23" s="12">
        <f t="shared" si="2"/>
        <v>0.21032225278704428</v>
      </c>
      <c r="N23" s="11">
        <v>433</v>
      </c>
      <c r="O23" s="11">
        <v>429</v>
      </c>
      <c r="P23" s="11">
        <v>1087524342</v>
      </c>
      <c r="Q23" s="11">
        <v>1370154039</v>
      </c>
      <c r="R23" s="12">
        <f t="shared" si="4"/>
        <v>-9.2378752886836026E-3</v>
      </c>
      <c r="S23" s="12">
        <f t="shared" si="5"/>
        <v>0.2598835594615132</v>
      </c>
    </row>
    <row r="24" spans="1:28" x14ac:dyDescent="0.3">
      <c r="A24" s="9" t="s">
        <v>52</v>
      </c>
      <c r="B24" s="10" t="s">
        <v>423</v>
      </c>
      <c r="C24" s="10" t="s">
        <v>22</v>
      </c>
      <c r="D24" s="10" t="s">
        <v>46</v>
      </c>
      <c r="E24" s="10" t="s">
        <v>693</v>
      </c>
      <c r="F24" s="10" t="s">
        <v>694</v>
      </c>
      <c r="G24" s="10" t="s">
        <v>700</v>
      </c>
      <c r="H24" s="11">
        <v>245180181</v>
      </c>
      <c r="I24" s="11">
        <v>248341641.49019501</v>
      </c>
      <c r="J24" s="11">
        <v>208743234</v>
      </c>
      <c r="K24" s="11">
        <f t="shared" si="0"/>
        <v>215941276.55172414</v>
      </c>
      <c r="L24" s="12">
        <f t="shared" si="1"/>
        <v>0.86953309664843259</v>
      </c>
      <c r="M24" s="12">
        <f t="shared" si="2"/>
        <v>-0.11925476328886414</v>
      </c>
      <c r="N24" s="11">
        <v>564</v>
      </c>
      <c r="O24" s="11">
        <v>625</v>
      </c>
      <c r="P24" s="11">
        <v>1565177455</v>
      </c>
      <c r="Q24" s="11">
        <v>2266319830</v>
      </c>
      <c r="R24" s="12">
        <f t="shared" si="4"/>
        <v>0.10815602836879433</v>
      </c>
      <c r="S24" s="12">
        <f t="shared" si="5"/>
        <v>0.44796350264321944</v>
      </c>
    </row>
    <row r="25" spans="1:28" x14ac:dyDescent="0.3">
      <c r="A25" s="9" t="s">
        <v>53</v>
      </c>
      <c r="B25" s="10" t="s">
        <v>424</v>
      </c>
      <c r="C25" s="10" t="s">
        <v>22</v>
      </c>
      <c r="D25" s="10" t="s">
        <v>28</v>
      </c>
      <c r="E25" s="10" t="s">
        <v>693</v>
      </c>
      <c r="F25" s="10" t="s">
        <v>694</v>
      </c>
      <c r="G25" s="10" t="s">
        <v>695</v>
      </c>
      <c r="H25" s="11">
        <v>153093696</v>
      </c>
      <c r="I25" s="11">
        <v>168915232.50835699</v>
      </c>
      <c r="J25" s="11">
        <v>199899998</v>
      </c>
      <c r="K25" s="11">
        <f t="shared" si="0"/>
        <v>206793101.37931037</v>
      </c>
      <c r="L25" s="12">
        <f t="shared" si="1"/>
        <v>1.2242418774699872</v>
      </c>
      <c r="M25" s="12">
        <f t="shared" si="2"/>
        <v>0.35076170203187446</v>
      </c>
      <c r="N25" s="11">
        <v>449</v>
      </c>
      <c r="O25" s="11">
        <v>367</v>
      </c>
      <c r="P25" s="11">
        <v>1137394591</v>
      </c>
      <c r="Q25" s="11">
        <v>1345588295</v>
      </c>
      <c r="R25" s="12">
        <f t="shared" si="4"/>
        <v>-0.18262806236080179</v>
      </c>
      <c r="S25" s="12">
        <f t="shared" si="5"/>
        <v>0.1830443943090635</v>
      </c>
    </row>
    <row r="26" spans="1:28" x14ac:dyDescent="0.3">
      <c r="A26" s="9" t="s">
        <v>54</v>
      </c>
      <c r="B26" s="10" t="s">
        <v>425</v>
      </c>
      <c r="C26" s="10" t="s">
        <v>22</v>
      </c>
      <c r="D26" s="10" t="s">
        <v>48</v>
      </c>
      <c r="E26" s="10" t="s">
        <v>693</v>
      </c>
      <c r="F26" s="10" t="s">
        <v>694</v>
      </c>
      <c r="G26" s="10" t="s">
        <v>699</v>
      </c>
      <c r="H26" s="11">
        <v>139735138</v>
      </c>
      <c r="I26" s="11">
        <v>126567692.829184</v>
      </c>
      <c r="J26" s="11">
        <v>113783783</v>
      </c>
      <c r="K26" s="11">
        <f t="shared" si="0"/>
        <v>117707361.72413793</v>
      </c>
      <c r="L26" s="12">
        <f t="shared" si="1"/>
        <v>0.92999531786516809</v>
      </c>
      <c r="M26" s="12">
        <f t="shared" si="2"/>
        <v>-0.15763949276567837</v>
      </c>
      <c r="N26" s="11">
        <v>341</v>
      </c>
      <c r="O26" s="11">
        <v>244</v>
      </c>
      <c r="P26" s="11">
        <v>919792777</v>
      </c>
      <c r="Q26" s="11">
        <v>823726137</v>
      </c>
      <c r="R26" s="12">
        <f t="shared" si="4"/>
        <v>-0.28445747800586513</v>
      </c>
      <c r="S26" s="12">
        <f t="shared" si="5"/>
        <v>-0.10444378603768922</v>
      </c>
    </row>
    <row r="27" spans="1:28" x14ac:dyDescent="0.3">
      <c r="A27" s="9" t="s">
        <v>55</v>
      </c>
      <c r="B27" s="10" t="s">
        <v>426</v>
      </c>
      <c r="C27" s="10" t="s">
        <v>20</v>
      </c>
      <c r="D27" s="10" t="s">
        <v>36</v>
      </c>
      <c r="E27" s="10" t="s">
        <v>693</v>
      </c>
      <c r="F27" s="10" t="s">
        <v>694</v>
      </c>
      <c r="G27" s="10" t="s">
        <v>697</v>
      </c>
      <c r="H27" s="11">
        <v>122968470</v>
      </c>
      <c r="I27" s="11">
        <v>161469562.14859399</v>
      </c>
      <c r="J27" s="11">
        <v>108151349</v>
      </c>
      <c r="K27" s="11">
        <f t="shared" si="0"/>
        <v>111880705.86206897</v>
      </c>
      <c r="L27" s="12">
        <f t="shared" si="1"/>
        <v>0.69289037743912141</v>
      </c>
      <c r="M27" s="12">
        <f t="shared" si="2"/>
        <v>-9.0167537564149844E-2</v>
      </c>
      <c r="N27" s="11">
        <v>398</v>
      </c>
      <c r="O27" s="11">
        <v>252</v>
      </c>
      <c r="P27" s="11">
        <v>1057389181</v>
      </c>
      <c r="Q27" s="11">
        <v>909372091</v>
      </c>
      <c r="R27" s="12">
        <f t="shared" si="4"/>
        <v>-0.36683417085427134</v>
      </c>
      <c r="S27" s="12">
        <f t="shared" si="5"/>
        <v>-0.13998354878193142</v>
      </c>
      <c r="AB27" s="16"/>
    </row>
    <row r="28" spans="1:28" x14ac:dyDescent="0.3">
      <c r="A28" s="9" t="s">
        <v>56</v>
      </c>
      <c r="B28" s="10" t="s">
        <v>427</v>
      </c>
      <c r="C28" s="10" t="s">
        <v>22</v>
      </c>
      <c r="D28" s="10" t="s">
        <v>48</v>
      </c>
      <c r="E28" s="10" t="s">
        <v>693</v>
      </c>
      <c r="F28" s="10" t="s">
        <v>694</v>
      </c>
      <c r="G28" s="10" t="s">
        <v>699</v>
      </c>
      <c r="H28" s="11">
        <v>134093697</v>
      </c>
      <c r="I28" s="11">
        <v>108908457.306583</v>
      </c>
      <c r="J28" s="11">
        <v>184050450</v>
      </c>
      <c r="K28" s="11">
        <f t="shared" si="0"/>
        <v>190397017.24137932</v>
      </c>
      <c r="L28" s="12">
        <f t="shared" si="1"/>
        <v>1.7482298615744942</v>
      </c>
      <c r="M28" s="12">
        <f t="shared" si="2"/>
        <v>0.41988043808934078</v>
      </c>
      <c r="N28" s="11">
        <v>215</v>
      </c>
      <c r="O28" s="11">
        <v>275</v>
      </c>
      <c r="P28" s="11">
        <v>657754049</v>
      </c>
      <c r="Q28" s="11">
        <v>1168675702</v>
      </c>
      <c r="R28" s="12">
        <f t="shared" si="4"/>
        <v>0.27906976744186046</v>
      </c>
      <c r="S28" s="12">
        <f t="shared" si="5"/>
        <v>0.77676702070746206</v>
      </c>
    </row>
    <row r="29" spans="1:28" x14ac:dyDescent="0.3">
      <c r="A29" s="9" t="s">
        <v>57</v>
      </c>
      <c r="B29" s="10" t="s">
        <v>428</v>
      </c>
      <c r="C29" s="10" t="s">
        <v>22</v>
      </c>
      <c r="D29" s="10" t="s">
        <v>46</v>
      </c>
      <c r="E29" s="10" t="s">
        <v>693</v>
      </c>
      <c r="F29" s="10" t="s">
        <v>694</v>
      </c>
      <c r="G29" s="10" t="s">
        <v>700</v>
      </c>
      <c r="H29" s="11">
        <v>153750451</v>
      </c>
      <c r="I29" s="11">
        <v>122910326.123577</v>
      </c>
      <c r="J29" s="11">
        <v>138143245</v>
      </c>
      <c r="K29" s="11">
        <f t="shared" si="0"/>
        <v>142906805.1724138</v>
      </c>
      <c r="L29" s="12">
        <f t="shared" si="1"/>
        <v>1.1626916116773773</v>
      </c>
      <c r="M29" s="12">
        <f t="shared" si="2"/>
        <v>-7.0527570859523547E-2</v>
      </c>
      <c r="N29" s="11">
        <v>256</v>
      </c>
      <c r="O29" s="11">
        <v>271</v>
      </c>
      <c r="P29" s="11">
        <v>728526115</v>
      </c>
      <c r="Q29" s="11">
        <v>1040080202</v>
      </c>
      <c r="R29" s="12">
        <f t="shared" si="4"/>
        <v>5.859375E-2</v>
      </c>
      <c r="S29" s="12">
        <f t="shared" si="5"/>
        <v>0.427649854391287</v>
      </c>
    </row>
    <row r="30" spans="1:28" x14ac:dyDescent="0.3">
      <c r="A30" s="9" t="s">
        <v>58</v>
      </c>
      <c r="B30" s="10" t="s">
        <v>429</v>
      </c>
      <c r="C30" s="10" t="s">
        <v>22</v>
      </c>
      <c r="D30" s="10" t="s">
        <v>48</v>
      </c>
      <c r="E30" s="10" t="s">
        <v>693</v>
      </c>
      <c r="F30" s="10" t="s">
        <v>694</v>
      </c>
      <c r="G30" s="10" t="s">
        <v>699</v>
      </c>
      <c r="H30" s="11">
        <v>84453155</v>
      </c>
      <c r="I30" s="11">
        <v>98285789.453685805</v>
      </c>
      <c r="J30" s="11">
        <v>67551352</v>
      </c>
      <c r="K30" s="11">
        <f t="shared" si="0"/>
        <v>69880708.965517253</v>
      </c>
      <c r="L30" s="12">
        <f t="shared" si="1"/>
        <v>0.71099504164278415</v>
      </c>
      <c r="M30" s="12">
        <f t="shared" si="2"/>
        <v>-0.17255064105636725</v>
      </c>
      <c r="N30" s="11">
        <v>303</v>
      </c>
      <c r="O30" s="11">
        <v>220</v>
      </c>
      <c r="P30" s="11">
        <v>708137833</v>
      </c>
      <c r="Q30" s="11">
        <v>725585600</v>
      </c>
      <c r="R30" s="12">
        <f t="shared" si="4"/>
        <v>-0.27392739273927391</v>
      </c>
      <c r="S30" s="12">
        <f t="shared" si="5"/>
        <v>2.4638942006647454E-2</v>
      </c>
    </row>
    <row r="31" spans="1:28" x14ac:dyDescent="0.3">
      <c r="A31" s="9" t="s">
        <v>59</v>
      </c>
      <c r="B31" s="10" t="s">
        <v>430</v>
      </c>
      <c r="C31" s="10" t="s">
        <v>20</v>
      </c>
      <c r="D31" s="10" t="s">
        <v>36</v>
      </c>
      <c r="E31" s="10" t="s">
        <v>693</v>
      </c>
      <c r="F31" s="10" t="s">
        <v>694</v>
      </c>
      <c r="G31" s="10" t="s">
        <v>697</v>
      </c>
      <c r="H31" s="11">
        <v>119655858</v>
      </c>
      <c r="I31" s="11">
        <v>150307711.409289</v>
      </c>
      <c r="J31" s="11">
        <v>147089187</v>
      </c>
      <c r="K31" s="11">
        <f t="shared" si="0"/>
        <v>152161227.93103451</v>
      </c>
      <c r="L31" s="12">
        <f t="shared" si="1"/>
        <v>1.0123314798979166</v>
      </c>
      <c r="M31" s="12">
        <f t="shared" si="2"/>
        <v>0.27165715472981278</v>
      </c>
      <c r="N31" s="11">
        <v>341</v>
      </c>
      <c r="O31" s="11">
        <v>247</v>
      </c>
      <c r="P31" s="11">
        <v>1042260339</v>
      </c>
      <c r="Q31" s="11">
        <v>1016385605</v>
      </c>
      <c r="R31" s="12">
        <f t="shared" si="4"/>
        <v>-0.2756598240469208</v>
      </c>
      <c r="S31" s="12">
        <f t="shared" si="5"/>
        <v>-2.4825595901332671E-2</v>
      </c>
    </row>
    <row r="32" spans="1:28" x14ac:dyDescent="0.3">
      <c r="A32" s="9" t="s">
        <v>60</v>
      </c>
      <c r="B32" s="10" t="s">
        <v>431</v>
      </c>
      <c r="C32" s="10" t="s">
        <v>22</v>
      </c>
      <c r="D32" s="10" t="s">
        <v>46</v>
      </c>
      <c r="E32" s="10" t="s">
        <v>693</v>
      </c>
      <c r="F32" s="10" t="s">
        <v>694</v>
      </c>
      <c r="G32" s="10" t="s">
        <v>700</v>
      </c>
      <c r="H32" s="11">
        <v>178107204</v>
      </c>
      <c r="I32" s="11">
        <v>193759336.23858401</v>
      </c>
      <c r="J32" s="11">
        <v>160094595</v>
      </c>
      <c r="K32" s="11">
        <f t="shared" si="0"/>
        <v>165615098.27586207</v>
      </c>
      <c r="L32" s="12">
        <f t="shared" si="1"/>
        <v>0.85474641630653214</v>
      </c>
      <c r="M32" s="12">
        <f t="shared" si="2"/>
        <v>-7.0138127170521036E-2</v>
      </c>
      <c r="N32" s="11">
        <v>377</v>
      </c>
      <c r="O32" s="11">
        <v>440</v>
      </c>
      <c r="P32" s="11">
        <v>1214124308</v>
      </c>
      <c r="Q32" s="11">
        <v>1688215333</v>
      </c>
      <c r="R32" s="12">
        <f t="shared" si="4"/>
        <v>0.16710875331564987</v>
      </c>
      <c r="S32" s="12">
        <f t="shared" si="5"/>
        <v>0.39047980661960358</v>
      </c>
    </row>
    <row r="33" spans="1:28" x14ac:dyDescent="0.3">
      <c r="A33" s="9" t="s">
        <v>61</v>
      </c>
      <c r="B33" s="10" t="s">
        <v>432</v>
      </c>
      <c r="C33" s="10" t="s">
        <v>22</v>
      </c>
      <c r="D33" s="10" t="s">
        <v>48</v>
      </c>
      <c r="E33" s="10" t="s">
        <v>693</v>
      </c>
      <c r="F33" s="10" t="s">
        <v>694</v>
      </c>
      <c r="G33" s="10" t="s">
        <v>699</v>
      </c>
      <c r="H33" s="11">
        <v>181735134</v>
      </c>
      <c r="I33" s="11">
        <v>157893732.36329001</v>
      </c>
      <c r="J33" s="11">
        <v>196777474</v>
      </c>
      <c r="K33" s="11">
        <f t="shared" si="0"/>
        <v>203562904.13793105</v>
      </c>
      <c r="L33" s="12">
        <f t="shared" si="1"/>
        <v>1.2892399279634676</v>
      </c>
      <c r="M33" s="12">
        <f t="shared" si="2"/>
        <v>0.12010759646470477</v>
      </c>
      <c r="N33" s="11">
        <v>293</v>
      </c>
      <c r="O33" s="11">
        <v>339</v>
      </c>
      <c r="P33" s="11">
        <v>1041566663</v>
      </c>
      <c r="Q33" s="11">
        <v>1561627024</v>
      </c>
      <c r="R33" s="12">
        <f t="shared" si="4"/>
        <v>0.15699658703071673</v>
      </c>
      <c r="S33" s="12">
        <f t="shared" si="5"/>
        <v>0.49930588168219819</v>
      </c>
    </row>
    <row r="34" spans="1:28" x14ac:dyDescent="0.3">
      <c r="A34" s="9" t="s">
        <v>62</v>
      </c>
      <c r="B34" s="10" t="s">
        <v>433</v>
      </c>
      <c r="C34" s="10" t="s">
        <v>20</v>
      </c>
      <c r="D34" s="10" t="s">
        <v>34</v>
      </c>
      <c r="E34" s="10" t="s">
        <v>693</v>
      </c>
      <c r="F34" s="10" t="s">
        <v>694</v>
      </c>
      <c r="G34" s="10" t="s">
        <v>697</v>
      </c>
      <c r="H34" s="11">
        <v>303237852</v>
      </c>
      <c r="I34" s="11">
        <v>189349320.18106899</v>
      </c>
      <c r="J34" s="11">
        <v>226480180</v>
      </c>
      <c r="K34" s="11">
        <f t="shared" si="0"/>
        <v>234289841.37931037</v>
      </c>
      <c r="L34" s="12">
        <f t="shared" si="1"/>
        <v>1.2373418671652274</v>
      </c>
      <c r="M34" s="12">
        <f t="shared" si="2"/>
        <v>-0.22737270484520392</v>
      </c>
      <c r="N34" s="11">
        <v>269</v>
      </c>
      <c r="O34" s="11">
        <v>338</v>
      </c>
      <c r="P34" s="11">
        <v>1006442338</v>
      </c>
      <c r="Q34" s="11">
        <v>1537573012</v>
      </c>
      <c r="R34" s="12">
        <f t="shared" si="4"/>
        <v>0.25650557620817843</v>
      </c>
      <c r="S34" s="12">
        <f t="shared" si="5"/>
        <v>0.52773085346892468</v>
      </c>
    </row>
    <row r="35" spans="1:28" x14ac:dyDescent="0.3">
      <c r="A35" s="9" t="s">
        <v>63</v>
      </c>
      <c r="B35" s="10" t="s">
        <v>434</v>
      </c>
      <c r="C35" s="10" t="s">
        <v>22</v>
      </c>
      <c r="D35" s="10" t="s">
        <v>42</v>
      </c>
      <c r="E35" s="10" t="s">
        <v>693</v>
      </c>
      <c r="F35" s="10" t="s">
        <v>694</v>
      </c>
      <c r="G35" s="10" t="s">
        <v>699</v>
      </c>
      <c r="H35" s="11">
        <v>145482882</v>
      </c>
      <c r="I35" s="11">
        <v>164862616.91976899</v>
      </c>
      <c r="J35" s="11">
        <v>115569368</v>
      </c>
      <c r="K35" s="11">
        <f t="shared" si="0"/>
        <v>119554518.62068966</v>
      </c>
      <c r="L35" s="12">
        <f t="shared" si="1"/>
        <v>0.72517664012861882</v>
      </c>
      <c r="M35" s="12">
        <f t="shared" si="2"/>
        <v>-0.17822277798504391</v>
      </c>
      <c r="N35" s="11">
        <v>252</v>
      </c>
      <c r="O35" s="11">
        <v>259</v>
      </c>
      <c r="P35" s="11">
        <v>1030819821</v>
      </c>
      <c r="Q35" s="11">
        <v>1164187404</v>
      </c>
      <c r="R35" s="12">
        <f t="shared" si="4"/>
        <v>2.7777777777777776E-2</v>
      </c>
      <c r="S35" s="12">
        <f t="shared" si="5"/>
        <v>0.12938011113389331</v>
      </c>
    </row>
    <row r="36" spans="1:28" x14ac:dyDescent="0.3">
      <c r="A36" s="9" t="s">
        <v>64</v>
      </c>
      <c r="B36" s="10" t="s">
        <v>435</v>
      </c>
      <c r="C36" s="10" t="s">
        <v>20</v>
      </c>
      <c r="D36" s="10" t="s">
        <v>34</v>
      </c>
      <c r="E36" s="10" t="s">
        <v>693</v>
      </c>
      <c r="F36" s="10" t="s">
        <v>694</v>
      </c>
      <c r="G36" s="10" t="s">
        <v>697</v>
      </c>
      <c r="H36" s="11">
        <v>177718020</v>
      </c>
      <c r="I36" s="11">
        <v>267311579.542633</v>
      </c>
      <c r="J36" s="11">
        <v>180154956</v>
      </c>
      <c r="K36" s="11">
        <f t="shared" si="0"/>
        <v>186367195.86206895</v>
      </c>
      <c r="L36" s="12">
        <f t="shared" si="1"/>
        <v>0.69719088182016298</v>
      </c>
      <c r="M36" s="12">
        <f t="shared" si="2"/>
        <v>4.866797335503148E-2</v>
      </c>
      <c r="N36" s="11">
        <v>347</v>
      </c>
      <c r="O36" s="11">
        <v>311</v>
      </c>
      <c r="P36" s="11">
        <v>1473308999</v>
      </c>
      <c r="Q36" s="11">
        <v>1616129757</v>
      </c>
      <c r="R36" s="12">
        <f t="shared" si="4"/>
        <v>-0.1037463976945245</v>
      </c>
      <c r="S36" s="12">
        <f t="shared" si="5"/>
        <v>9.6938767154031338E-2</v>
      </c>
    </row>
    <row r="37" spans="1:28" s="16" customFormat="1" ht="15.05" customHeight="1" x14ac:dyDescent="0.3">
      <c r="A37" s="5" t="s">
        <v>24</v>
      </c>
      <c r="B37" s="8"/>
      <c r="C37" s="8"/>
      <c r="D37" s="8"/>
      <c r="E37" s="8"/>
      <c r="F37" s="8"/>
      <c r="G37" s="8"/>
      <c r="H37" s="13">
        <f t="shared" ref="H37:K37" si="10">SUM(H5:H36)</f>
        <v>7146838783</v>
      </c>
      <c r="I37" s="13">
        <f t="shared" si="10"/>
        <v>6742071446.8394136</v>
      </c>
      <c r="J37" s="13">
        <f t="shared" si="10"/>
        <v>6244218858</v>
      </c>
      <c r="K37" s="13">
        <f t="shared" si="10"/>
        <v>6459536749.6551733</v>
      </c>
      <c r="L37" s="14">
        <f t="shared" si="1"/>
        <v>0.95809378476451945</v>
      </c>
      <c r="M37" s="15">
        <f t="shared" si="2"/>
        <v>-9.6168677398977317E-2</v>
      </c>
      <c r="N37" s="13">
        <f t="shared" ref="N37:Q37" si="11">SUM(N5:N36)</f>
        <v>15416</v>
      </c>
      <c r="O37" s="13">
        <f t="shared" si="11"/>
        <v>14013</v>
      </c>
      <c r="P37" s="13">
        <f t="shared" si="11"/>
        <v>49107694203</v>
      </c>
      <c r="Q37" s="13">
        <f t="shared" si="11"/>
        <v>56820023200</v>
      </c>
      <c r="R37" s="15">
        <f t="shared" si="4"/>
        <v>-9.1009340944473271E-2</v>
      </c>
      <c r="S37" s="15">
        <f t="shared" si="5"/>
        <v>0.15704929995529809</v>
      </c>
      <c r="V37"/>
      <c r="W37"/>
      <c r="X37"/>
      <c r="Y37"/>
      <c r="Z37"/>
      <c r="AA37"/>
      <c r="AB37"/>
    </row>
    <row r="38" spans="1:28" ht="15.05" customHeight="1" x14ac:dyDescent="0.3"/>
  </sheetData>
  <autoFilter ref="A4:S37" xr:uid="{DA378680-7DE8-4D1E-8180-3368747739BC}"/>
  <mergeCells count="2">
    <mergeCell ref="A3:M3"/>
    <mergeCell ref="V3:AB3"/>
  </mergeCells>
  <conditionalFormatting sqref="A5:A36">
    <cfRule type="duplicateValues" dxfId="20" priority="6"/>
  </conditionalFormatting>
  <conditionalFormatting sqref="L5:L37">
    <cfRule type="cellIs" dxfId="19" priority="5" operator="lessThan">
      <formula>1</formula>
    </cfRule>
  </conditionalFormatting>
  <conditionalFormatting sqref="R5:S37">
    <cfRule type="cellIs" dxfId="18" priority="1" operator="lessThan">
      <formula>0</formula>
    </cfRule>
  </conditionalFormatting>
  <conditionalFormatting sqref="AA5:AA6 AA10:AA20">
    <cfRule type="cellIs" dxfId="17" priority="3" operator="lessThan">
      <formula>1</formula>
    </cfRule>
    <cfRule type="cellIs" dxfId="16" priority="4" operator="lessThan">
      <formula>0</formula>
    </cfRule>
  </conditionalFormatting>
  <conditionalFormatting sqref="AB5:AB7 L5:M37 AB10:AB21">
    <cfRule type="cellIs" dxfId="15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4BD1-CC06-41E7-8389-61C5894DA07B}">
  <dimension ref="A1:V77"/>
  <sheetViews>
    <sheetView showGridLines="0" zoomScale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8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6" customWidth="1"/>
    <col min="12" max="13" width="16" hidden="1" customWidth="1"/>
    <col min="14" max="15" width="0" hidden="1" customWidth="1"/>
    <col min="16" max="16" width="23" hidden="1" customWidth="1"/>
    <col min="17" max="17" width="13.88671875" hidden="1" customWidth="1"/>
    <col min="18" max="19" width="16.44140625" hidden="1" customWidth="1"/>
    <col min="20" max="20" width="16.44140625" customWidth="1"/>
    <col min="21" max="22" width="16.554687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2" x14ac:dyDescent="0.3">
      <c r="A1" s="1">
        <v>29</v>
      </c>
      <c r="B1" s="1">
        <v>30</v>
      </c>
      <c r="G1" s="16"/>
      <c r="H1" s="16"/>
      <c r="I1" s="16"/>
      <c r="J1" s="16"/>
      <c r="K1" s="16"/>
    </row>
    <row r="2" spans="1:22" x14ac:dyDescent="0.3">
      <c r="A2" s="17"/>
      <c r="B2" s="17"/>
    </row>
    <row r="3" spans="1:22" s="4" customFormat="1" ht="23.5" customHeight="1" x14ac:dyDescent="0.3">
      <c r="A3" s="2" t="str">
        <f>"1 SHIFT 1 STORE (01 - "&amp;A1&amp;" SEPTEMBER 2026)"</f>
        <v>1 SHIFT 1 STORE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 t="str">
        <f>A3</f>
        <v>1 SHIFT 1 STORE (01 - 29 SEPTEMBER 2026)</v>
      </c>
      <c r="Q3" s="2"/>
      <c r="R3" s="2"/>
      <c r="S3" s="2"/>
      <c r="T3" s="2"/>
      <c r="U3" s="2"/>
      <c r="V3" s="2"/>
    </row>
    <row r="4" spans="1:22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  <c r="I4" s="8" t="s">
        <v>65</v>
      </c>
      <c r="J4" s="8" t="s">
        <v>9</v>
      </c>
      <c r="K4" s="8" t="s">
        <v>10</v>
      </c>
      <c r="L4" s="8" t="s">
        <v>11</v>
      </c>
      <c r="M4" s="8" t="s">
        <v>12</v>
      </c>
      <c r="P4" s="8" t="s">
        <v>2</v>
      </c>
      <c r="Q4" s="8" t="s">
        <v>7</v>
      </c>
      <c r="R4" s="8" t="s">
        <v>65</v>
      </c>
      <c r="S4" s="8" t="s">
        <v>9</v>
      </c>
      <c r="T4" s="8" t="s">
        <v>10</v>
      </c>
      <c r="U4" s="8" t="s">
        <v>11</v>
      </c>
      <c r="V4" s="8" t="s">
        <v>12</v>
      </c>
    </row>
    <row r="5" spans="1:22" x14ac:dyDescent="0.3">
      <c r="A5" s="9" t="s">
        <v>66</v>
      </c>
      <c r="B5" s="10" t="s">
        <v>436</v>
      </c>
      <c r="C5" s="10" t="s">
        <v>22</v>
      </c>
      <c r="D5" s="10" t="s">
        <v>42</v>
      </c>
      <c r="E5" s="10" t="s">
        <v>693</v>
      </c>
      <c r="F5" s="10" t="s">
        <v>694</v>
      </c>
      <c r="G5" s="10" t="s">
        <v>699</v>
      </c>
      <c r="H5" s="11">
        <v>863511962</v>
      </c>
      <c r="I5" s="11">
        <v>827180375.93792975</v>
      </c>
      <c r="J5" s="11">
        <v>745884356</v>
      </c>
      <c r="K5" s="11">
        <f>IFERROR(J5/$A$1*$B$1,0)</f>
        <v>771604506.20689654</v>
      </c>
      <c r="L5" s="18">
        <f t="shared" ref="L5:L58" si="0">IFERROR(K5/I5,0)</f>
        <v>0.93281287691573145</v>
      </c>
      <c r="M5" s="18">
        <f t="shared" ref="M5:M58" si="1">IFERROR((K5-H5)/H5,0)</f>
        <v>-0.10643449058914538</v>
      </c>
      <c r="P5" s="10" t="s">
        <v>20</v>
      </c>
      <c r="Q5" s="11">
        <f t="shared" ref="Q5:T6" si="2">SUMIF($C:$C,$P5,H:H)</f>
        <v>15728094769</v>
      </c>
      <c r="R5" s="11">
        <f t="shared" si="2"/>
        <v>15293061726.248936</v>
      </c>
      <c r="S5" s="11">
        <f t="shared" si="2"/>
        <v>13151759431</v>
      </c>
      <c r="T5" s="11">
        <f t="shared" si="2"/>
        <v>13605268376.896549</v>
      </c>
      <c r="U5" s="18">
        <f>IFERROR(T5/R5,0)</f>
        <v>0.88963666141126818</v>
      </c>
      <c r="V5" s="18">
        <f>IFERROR((T5-Q5)/Q5,0)</f>
        <v>-0.13497034594981788</v>
      </c>
    </row>
    <row r="6" spans="1:22" x14ac:dyDescent="0.3">
      <c r="A6" s="9" t="s">
        <v>51</v>
      </c>
      <c r="B6" s="10" t="s">
        <v>422</v>
      </c>
      <c r="C6" s="10" t="s">
        <v>22</v>
      </c>
      <c r="D6" s="10" t="s">
        <v>28</v>
      </c>
      <c r="E6" s="10" t="s">
        <v>693</v>
      </c>
      <c r="F6" s="10" t="s">
        <v>694</v>
      </c>
      <c r="G6" s="10" t="s">
        <v>695</v>
      </c>
      <c r="H6" s="11">
        <v>1767223586</v>
      </c>
      <c r="I6" s="11">
        <v>1704179691.0142586</v>
      </c>
      <c r="J6" s="11">
        <v>1705065008</v>
      </c>
      <c r="K6" s="11">
        <f t="shared" ref="K6:K58" si="3">IFERROR(J6/$A$1*$B$1,0)</f>
        <v>1763860353.1034484</v>
      </c>
      <c r="L6" s="18">
        <f t="shared" si="0"/>
        <v>1.0350201697648858</v>
      </c>
      <c r="M6" s="18">
        <f t="shared" si="1"/>
        <v>-1.903116800384085E-3</v>
      </c>
      <c r="P6" s="10" t="s">
        <v>22</v>
      </c>
      <c r="Q6" s="11">
        <f t="shared" si="2"/>
        <v>22623675935</v>
      </c>
      <c r="R6" s="11">
        <f t="shared" si="2"/>
        <v>22787040169.894203</v>
      </c>
      <c r="S6" s="11">
        <f t="shared" si="2"/>
        <v>19353649642</v>
      </c>
      <c r="T6" s="11">
        <f t="shared" si="2"/>
        <v>20021016871.034485</v>
      </c>
      <c r="U6" s="18">
        <f>IFERROR(T6/R6,0)</f>
        <v>0.87861419130185525</v>
      </c>
      <c r="V6" s="18">
        <f>IFERROR((T6-Q6)/Q6,0)</f>
        <v>-0.11504138723712297</v>
      </c>
    </row>
    <row r="7" spans="1:22" x14ac:dyDescent="0.3">
      <c r="A7" s="9" t="s">
        <v>54</v>
      </c>
      <c r="B7" s="10" t="s">
        <v>425</v>
      </c>
      <c r="C7" s="10" t="s">
        <v>22</v>
      </c>
      <c r="D7" s="10" t="s">
        <v>48</v>
      </c>
      <c r="E7" s="10" t="s">
        <v>693</v>
      </c>
      <c r="F7" s="10" t="s">
        <v>694</v>
      </c>
      <c r="G7" s="10" t="s">
        <v>699</v>
      </c>
      <c r="H7" s="11">
        <v>969762085</v>
      </c>
      <c r="I7" s="11">
        <v>924860189.53230274</v>
      </c>
      <c r="J7" s="11">
        <v>935195737</v>
      </c>
      <c r="K7" s="11">
        <f t="shared" si="3"/>
        <v>967443865.86206901</v>
      </c>
      <c r="L7" s="18">
        <f t="shared" si="0"/>
        <v>1.0460433661344</v>
      </c>
      <c r="M7" s="18">
        <f t="shared" si="1"/>
        <v>-2.390502963343828E-3</v>
      </c>
      <c r="P7" s="5" t="s">
        <v>67</v>
      </c>
      <c r="Q7" s="13">
        <f>SUM(Q5:Q6)</f>
        <v>38351770704</v>
      </c>
      <c r="R7" s="13">
        <f>SUM(R5:R6)</f>
        <v>38080101896.143143</v>
      </c>
      <c r="S7" s="13">
        <f>SUM(S5:S6)</f>
        <v>32505409073</v>
      </c>
      <c r="T7" s="13">
        <f>SUM(T5:T6)</f>
        <v>33626285247.931034</v>
      </c>
      <c r="U7" s="14">
        <f>IFERROR(T7/R7,0)</f>
        <v>0.88304084216058243</v>
      </c>
      <c r="V7" s="19">
        <f>IFERROR((T7-Q7)/Q7,0)</f>
        <v>-0.12321427066667638</v>
      </c>
    </row>
    <row r="8" spans="1:22" x14ac:dyDescent="0.3">
      <c r="A8" s="9" t="s">
        <v>26</v>
      </c>
      <c r="B8" s="10" t="s">
        <v>408</v>
      </c>
      <c r="C8" s="10" t="s">
        <v>20</v>
      </c>
      <c r="D8" s="10" t="s">
        <v>34</v>
      </c>
      <c r="E8" s="10" t="s">
        <v>693</v>
      </c>
      <c r="F8" s="10" t="s">
        <v>694</v>
      </c>
      <c r="G8" s="10" t="s">
        <v>697</v>
      </c>
      <c r="H8" s="11">
        <v>1388797005</v>
      </c>
      <c r="I8" s="11">
        <v>1335231127.2358632</v>
      </c>
      <c r="J8" s="11">
        <v>1188972268</v>
      </c>
      <c r="K8" s="11">
        <f t="shared" si="3"/>
        <v>1229971311.724138</v>
      </c>
      <c r="L8" s="18">
        <f t="shared" si="0"/>
        <v>0.92116734446595072</v>
      </c>
      <c r="M8" s="18">
        <f t="shared" si="1"/>
        <v>-0.1143620649411337</v>
      </c>
    </row>
    <row r="9" spans="1:22" x14ac:dyDescent="0.3">
      <c r="A9" s="9" t="s">
        <v>53</v>
      </c>
      <c r="B9" s="10" t="s">
        <v>424</v>
      </c>
      <c r="C9" s="10" t="s">
        <v>22</v>
      </c>
      <c r="D9" s="10" t="s">
        <v>28</v>
      </c>
      <c r="E9" s="10" t="s">
        <v>693</v>
      </c>
      <c r="F9" s="10" t="s">
        <v>694</v>
      </c>
      <c r="G9" s="10" t="s">
        <v>695</v>
      </c>
      <c r="H9" s="11">
        <v>1228143039</v>
      </c>
      <c r="I9" s="11">
        <v>1196817668.4545913</v>
      </c>
      <c r="J9" s="11">
        <v>1068231585</v>
      </c>
      <c r="K9" s="11">
        <f t="shared" si="3"/>
        <v>1105067156.8965516</v>
      </c>
      <c r="L9" s="18">
        <f t="shared" si="0"/>
        <v>0.92333793695031763</v>
      </c>
      <c r="M9" s="18">
        <f t="shared" si="1"/>
        <v>-0.10021298675735799</v>
      </c>
      <c r="P9" s="8" t="s">
        <v>3</v>
      </c>
      <c r="Q9" s="8" t="s">
        <v>7</v>
      </c>
      <c r="R9" s="8" t="s">
        <v>65</v>
      </c>
      <c r="S9" s="8" t="s">
        <v>9</v>
      </c>
      <c r="T9" s="8" t="s">
        <v>10</v>
      </c>
      <c r="U9" s="8" t="s">
        <v>11</v>
      </c>
      <c r="V9" s="8" t="s">
        <v>12</v>
      </c>
    </row>
    <row r="10" spans="1:22" x14ac:dyDescent="0.3">
      <c r="A10" s="9" t="s">
        <v>31</v>
      </c>
      <c r="B10" s="10" t="s">
        <v>411</v>
      </c>
      <c r="C10" s="10" t="s">
        <v>20</v>
      </c>
      <c r="D10" s="10" t="s">
        <v>32</v>
      </c>
      <c r="E10" s="10" t="s">
        <v>693</v>
      </c>
      <c r="F10" s="10" t="s">
        <v>694</v>
      </c>
      <c r="G10" s="10" t="s">
        <v>696</v>
      </c>
      <c r="H10" s="11">
        <v>1233128174</v>
      </c>
      <c r="I10" s="11">
        <v>1168370542.8971081</v>
      </c>
      <c r="J10" s="11">
        <v>852301115</v>
      </c>
      <c r="K10" s="11">
        <f t="shared" si="3"/>
        <v>881690808.62068975</v>
      </c>
      <c r="L10" s="18">
        <f t="shared" si="0"/>
        <v>0.75463286367562532</v>
      </c>
      <c r="M10" s="18">
        <f t="shared" si="1"/>
        <v>-0.28499662305121432</v>
      </c>
      <c r="P10" s="10" t="s">
        <v>28</v>
      </c>
      <c r="Q10" s="11">
        <f t="shared" ref="Q10:T20" si="4">SUMIF($D:$D,$P10,H:H)</f>
        <v>7038783988</v>
      </c>
      <c r="R10" s="11">
        <f t="shared" si="4"/>
        <v>6925485898.2362366</v>
      </c>
      <c r="S10" s="11">
        <f t="shared" si="4"/>
        <v>6316878878</v>
      </c>
      <c r="T10" s="11">
        <f t="shared" si="4"/>
        <v>6534702287.5862074</v>
      </c>
      <c r="U10" s="18">
        <f t="shared" ref="U10:U21" si="5">IFERROR(T10/R10,0)</f>
        <v>0.94357311293499957</v>
      </c>
      <c r="V10" s="18">
        <f t="shared" ref="V10:V21" si="6">IFERROR((T10-Q10)/Q10,0)</f>
        <v>-7.1614884229033199E-2</v>
      </c>
    </row>
    <row r="11" spans="1:22" x14ac:dyDescent="0.3">
      <c r="A11" s="9" t="s">
        <v>68</v>
      </c>
      <c r="B11" s="10" t="s">
        <v>437</v>
      </c>
      <c r="C11" s="10" t="s">
        <v>22</v>
      </c>
      <c r="D11" s="10" t="s">
        <v>28</v>
      </c>
      <c r="E11" s="10" t="s">
        <v>693</v>
      </c>
      <c r="F11" s="10" t="s">
        <v>694</v>
      </c>
      <c r="G11" s="10" t="s">
        <v>695</v>
      </c>
      <c r="H11" s="11">
        <v>809608380</v>
      </c>
      <c r="I11" s="11">
        <v>785524197.47706747</v>
      </c>
      <c r="J11" s="11">
        <v>757893256</v>
      </c>
      <c r="K11" s="11">
        <f t="shared" si="3"/>
        <v>784027506.20689654</v>
      </c>
      <c r="L11" s="18">
        <f t="shared" si="0"/>
        <v>0.99809465924158924</v>
      </c>
      <c r="M11" s="18">
        <f t="shared" si="1"/>
        <v>-3.1596602042463368E-2</v>
      </c>
      <c r="P11" s="10" t="s">
        <v>48</v>
      </c>
      <c r="Q11" s="11">
        <f t="shared" si="4"/>
        <v>3445646104</v>
      </c>
      <c r="R11" s="11">
        <f t="shared" si="4"/>
        <v>3821785890.2542281</v>
      </c>
      <c r="S11" s="11">
        <f t="shared" si="4"/>
        <v>2728209112</v>
      </c>
      <c r="T11" s="11">
        <f t="shared" si="4"/>
        <v>2822285288.2758622</v>
      </c>
      <c r="U11" s="18">
        <f t="shared" si="5"/>
        <v>0.73847289443211628</v>
      </c>
      <c r="V11" s="18">
        <f t="shared" si="6"/>
        <v>-0.18091260591170039</v>
      </c>
    </row>
    <row r="12" spans="1:22" x14ac:dyDescent="0.3">
      <c r="A12" s="9" t="s">
        <v>35</v>
      </c>
      <c r="B12" s="10" t="s">
        <v>413</v>
      </c>
      <c r="C12" s="10" t="s">
        <v>22</v>
      </c>
      <c r="D12" s="10" t="s">
        <v>40</v>
      </c>
      <c r="E12" s="10" t="s">
        <v>693</v>
      </c>
      <c r="F12" s="10" t="s">
        <v>694</v>
      </c>
      <c r="G12" s="10" t="s">
        <v>698</v>
      </c>
      <c r="H12" s="11">
        <v>909891996</v>
      </c>
      <c r="I12" s="11">
        <v>844335397.83377111</v>
      </c>
      <c r="J12" s="11">
        <v>827531866</v>
      </c>
      <c r="K12" s="11">
        <f t="shared" si="3"/>
        <v>856067447.58620691</v>
      </c>
      <c r="L12" s="18">
        <f t="shared" si="0"/>
        <v>1.0138950111324665</v>
      </c>
      <c r="M12" s="18">
        <f t="shared" si="1"/>
        <v>-5.9154876238512476E-2</v>
      </c>
      <c r="P12" s="10" t="s">
        <v>42</v>
      </c>
      <c r="Q12" s="11">
        <f t="shared" si="4"/>
        <v>2367951363</v>
      </c>
      <c r="R12" s="11">
        <f t="shared" si="4"/>
        <v>2387966184.6773467</v>
      </c>
      <c r="S12" s="11">
        <f t="shared" si="4"/>
        <v>2101548400</v>
      </c>
      <c r="T12" s="11">
        <f t="shared" si="4"/>
        <v>2174015586.2068968</v>
      </c>
      <c r="U12" s="18">
        <f t="shared" si="5"/>
        <v>0.91040467832279703</v>
      </c>
      <c r="V12" s="18">
        <f t="shared" si="6"/>
        <v>-8.1900236560350004E-2</v>
      </c>
    </row>
    <row r="13" spans="1:22" x14ac:dyDescent="0.3">
      <c r="A13" s="9" t="s">
        <v>69</v>
      </c>
      <c r="B13" s="10" t="s">
        <v>438</v>
      </c>
      <c r="C13" s="10" t="s">
        <v>20</v>
      </c>
      <c r="D13" s="10" t="s">
        <v>38</v>
      </c>
      <c r="E13" s="10" t="s">
        <v>693</v>
      </c>
      <c r="F13" s="10" t="s">
        <v>694</v>
      </c>
      <c r="G13" s="10" t="s">
        <v>696</v>
      </c>
      <c r="H13" s="11">
        <v>552075895</v>
      </c>
      <c r="I13" s="11">
        <v>538745216.5658046</v>
      </c>
      <c r="J13" s="11">
        <v>366306956</v>
      </c>
      <c r="K13" s="11">
        <f t="shared" si="3"/>
        <v>378938230.34482759</v>
      </c>
      <c r="L13" s="18">
        <f t="shared" si="0"/>
        <v>0.7033718698429362</v>
      </c>
      <c r="M13" s="18">
        <f t="shared" si="1"/>
        <v>-0.31361207077366132</v>
      </c>
      <c r="P13" s="10" t="s">
        <v>38</v>
      </c>
      <c r="Q13" s="11">
        <f t="shared" si="4"/>
        <v>4321972820</v>
      </c>
      <c r="R13" s="11">
        <f t="shared" si="4"/>
        <v>4300771325.2172241</v>
      </c>
      <c r="S13" s="11">
        <f t="shared" si="4"/>
        <v>3645548809</v>
      </c>
      <c r="T13" s="11">
        <f t="shared" si="4"/>
        <v>3771257388.6206894</v>
      </c>
      <c r="U13" s="18">
        <f t="shared" si="5"/>
        <v>0.87687930918536106</v>
      </c>
      <c r="V13" s="18">
        <f t="shared" si="6"/>
        <v>-0.12742223385368504</v>
      </c>
    </row>
    <row r="14" spans="1:22" x14ac:dyDescent="0.3">
      <c r="A14" s="9" t="s">
        <v>70</v>
      </c>
      <c r="B14" s="10" t="s">
        <v>439</v>
      </c>
      <c r="C14" s="10" t="s">
        <v>20</v>
      </c>
      <c r="D14" s="10" t="s">
        <v>32</v>
      </c>
      <c r="E14" s="10" t="s">
        <v>693</v>
      </c>
      <c r="F14" s="10" t="s">
        <v>694</v>
      </c>
      <c r="G14" s="10" t="s">
        <v>696</v>
      </c>
      <c r="H14" s="11">
        <v>642289435</v>
      </c>
      <c r="I14" s="11">
        <v>606673945.21210945</v>
      </c>
      <c r="J14" s="11">
        <v>604820891</v>
      </c>
      <c r="K14" s="11">
        <f t="shared" si="3"/>
        <v>625676783.79310346</v>
      </c>
      <c r="L14" s="18">
        <f t="shared" si="0"/>
        <v>1.0313229844976284</v>
      </c>
      <c r="M14" s="18">
        <f t="shared" si="1"/>
        <v>-2.5864743060730156E-2</v>
      </c>
      <c r="P14" s="10" t="s">
        <v>32</v>
      </c>
      <c r="Q14" s="11">
        <f t="shared" si="4"/>
        <v>3209055575</v>
      </c>
      <c r="R14" s="11">
        <f t="shared" si="4"/>
        <v>3060092311.9248977</v>
      </c>
      <c r="S14" s="11">
        <f t="shared" si="4"/>
        <v>2715423971</v>
      </c>
      <c r="T14" s="11">
        <f t="shared" si="4"/>
        <v>2809059280.3448277</v>
      </c>
      <c r="U14" s="18">
        <f>IFERROR(T14/R14,0)</f>
        <v>0.91796553633306499</v>
      </c>
      <c r="V14" s="18">
        <f>IFERROR((T14-Q14)/Q14,0)</f>
        <v>-0.12464611014259931</v>
      </c>
    </row>
    <row r="15" spans="1:22" x14ac:dyDescent="0.3">
      <c r="A15" s="9" t="s">
        <v>71</v>
      </c>
      <c r="B15" s="10" t="s">
        <v>440</v>
      </c>
      <c r="C15" s="10" t="s">
        <v>20</v>
      </c>
      <c r="D15" s="10" t="s">
        <v>36</v>
      </c>
      <c r="E15" s="10" t="s">
        <v>693</v>
      </c>
      <c r="F15" s="10" t="s">
        <v>694</v>
      </c>
      <c r="G15" s="10" t="s">
        <v>697</v>
      </c>
      <c r="H15" s="11">
        <v>945866796</v>
      </c>
      <c r="I15" s="11">
        <v>907933924.73409915</v>
      </c>
      <c r="J15" s="11">
        <v>899229339</v>
      </c>
      <c r="K15" s="11">
        <f t="shared" si="3"/>
        <v>930237247.24137926</v>
      </c>
      <c r="L15" s="18">
        <f t="shared" si="0"/>
        <v>1.0245649181065812</v>
      </c>
      <c r="M15" s="18">
        <f t="shared" si="1"/>
        <v>-1.6524048443942563E-2</v>
      </c>
      <c r="P15" s="10" t="s">
        <v>36</v>
      </c>
      <c r="Q15" s="11">
        <f t="shared" si="4"/>
        <v>3601507493</v>
      </c>
      <c r="R15" s="11">
        <f t="shared" si="4"/>
        <v>3517444957.4653525</v>
      </c>
      <c r="S15" s="11">
        <f t="shared" si="4"/>
        <v>3098814210</v>
      </c>
      <c r="T15" s="11">
        <f t="shared" si="4"/>
        <v>3205669872.4137926</v>
      </c>
      <c r="U15" s="18">
        <f t="shared" si="5"/>
        <v>0.91136319435792312</v>
      </c>
      <c r="V15" s="18">
        <f t="shared" si="6"/>
        <v>-0.10990887048147741</v>
      </c>
    </row>
    <row r="16" spans="1:22" x14ac:dyDescent="0.3">
      <c r="A16" s="9" t="s">
        <v>72</v>
      </c>
      <c r="B16" s="10" t="s">
        <v>441</v>
      </c>
      <c r="C16" s="10" t="s">
        <v>20</v>
      </c>
      <c r="D16" s="10" t="s">
        <v>30</v>
      </c>
      <c r="E16" s="10" t="s">
        <v>693</v>
      </c>
      <c r="F16" s="10" t="s">
        <v>694</v>
      </c>
      <c r="G16" s="10" t="s">
        <v>696</v>
      </c>
      <c r="H16" s="11">
        <v>677022510</v>
      </c>
      <c r="I16" s="11">
        <v>640880848.05296433</v>
      </c>
      <c r="J16" s="11">
        <v>575950770</v>
      </c>
      <c r="K16" s="11">
        <f t="shared" si="3"/>
        <v>595811141.37931025</v>
      </c>
      <c r="L16" s="18">
        <f t="shared" si="0"/>
        <v>0.92967537287066915</v>
      </c>
      <c r="M16" s="18">
        <f t="shared" si="1"/>
        <v>-0.11995372003316367</v>
      </c>
      <c r="P16" s="10" t="s">
        <v>34</v>
      </c>
      <c r="Q16" s="11">
        <f t="shared" si="4"/>
        <v>2079008924</v>
      </c>
      <c r="R16" s="11">
        <f t="shared" si="4"/>
        <v>1998538444.1640112</v>
      </c>
      <c r="S16" s="11">
        <f t="shared" si="4"/>
        <v>1717767942</v>
      </c>
      <c r="T16" s="11">
        <f t="shared" si="4"/>
        <v>1777001319.3103449</v>
      </c>
      <c r="U16" s="18">
        <f t="shared" si="5"/>
        <v>0.88915043115603654</v>
      </c>
      <c r="V16" s="18">
        <f t="shared" si="6"/>
        <v>-0.14526517957825519</v>
      </c>
    </row>
    <row r="17" spans="1:22" x14ac:dyDescent="0.3">
      <c r="A17" s="9" t="s">
        <v>73</v>
      </c>
      <c r="B17" s="10" t="s">
        <v>442</v>
      </c>
      <c r="C17" s="10" t="s">
        <v>22</v>
      </c>
      <c r="D17" s="10" t="s">
        <v>44</v>
      </c>
      <c r="E17" s="10" t="s">
        <v>693</v>
      </c>
      <c r="F17" s="10" t="s">
        <v>694</v>
      </c>
      <c r="G17" s="10" t="s">
        <v>699</v>
      </c>
      <c r="H17" s="11">
        <v>354013247</v>
      </c>
      <c r="I17" s="11">
        <v>454714379.79779965</v>
      </c>
      <c r="J17" s="11">
        <v>420717600</v>
      </c>
      <c r="K17" s="11">
        <f t="shared" si="3"/>
        <v>435225103.44827586</v>
      </c>
      <c r="L17" s="18">
        <f t="shared" si="0"/>
        <v>0.95713952050913764</v>
      </c>
      <c r="M17" s="18">
        <f t="shared" si="1"/>
        <v>0.22940343938111407</v>
      </c>
      <c r="P17" s="10" t="s">
        <v>46</v>
      </c>
      <c r="Q17" s="11">
        <f t="shared" si="4"/>
        <v>999957957</v>
      </c>
      <c r="R17" s="11">
        <f t="shared" si="4"/>
        <v>943786033.81246018</v>
      </c>
      <c r="S17" s="11">
        <f t="shared" si="4"/>
        <v>763802114</v>
      </c>
      <c r="T17" s="11">
        <f t="shared" si="4"/>
        <v>790140117.93103445</v>
      </c>
      <c r="U17" s="18">
        <f t="shared" si="5"/>
        <v>0.83720259637582561</v>
      </c>
      <c r="V17" s="18">
        <f t="shared" si="6"/>
        <v>-0.20982666081126605</v>
      </c>
    </row>
    <row r="18" spans="1:22" x14ac:dyDescent="0.3">
      <c r="A18" s="9" t="s">
        <v>41</v>
      </c>
      <c r="B18" s="10" t="s">
        <v>416</v>
      </c>
      <c r="C18" s="10" t="s">
        <v>22</v>
      </c>
      <c r="D18" s="10" t="s">
        <v>40</v>
      </c>
      <c r="E18" s="10" t="s">
        <v>693</v>
      </c>
      <c r="F18" s="10" t="s">
        <v>694</v>
      </c>
      <c r="G18" s="10" t="s">
        <v>698</v>
      </c>
      <c r="H18" s="11">
        <v>520836980</v>
      </c>
      <c r="I18" s="11">
        <v>500347028.0273754</v>
      </c>
      <c r="J18" s="11">
        <v>569776014</v>
      </c>
      <c r="K18" s="11">
        <f t="shared" si="3"/>
        <v>589423462.75862074</v>
      </c>
      <c r="L18" s="18">
        <f t="shared" si="0"/>
        <v>1.1780293071439443</v>
      </c>
      <c r="M18" s="18">
        <f t="shared" si="1"/>
        <v>0.13168512488998138</v>
      </c>
      <c r="P18" s="10" t="s">
        <v>40</v>
      </c>
      <c r="Q18" s="11">
        <f t="shared" si="4"/>
        <v>6123443687</v>
      </c>
      <c r="R18" s="11">
        <f t="shared" si="4"/>
        <v>5891346978.73456</v>
      </c>
      <c r="S18" s="11">
        <f t="shared" si="4"/>
        <v>4957646292</v>
      </c>
      <c r="T18" s="11">
        <f t="shared" si="4"/>
        <v>5128599612.4137936</v>
      </c>
      <c r="U18" s="18">
        <f>IFERROR(T18/R18,0)</f>
        <v>0.87053090421019441</v>
      </c>
      <c r="V18" s="18">
        <f>IFERROR((T18-Q18)/Q18,0)</f>
        <v>-0.16246480337497818</v>
      </c>
    </row>
    <row r="19" spans="1:22" x14ac:dyDescent="0.3">
      <c r="A19" s="9" t="s">
        <v>74</v>
      </c>
      <c r="B19" s="10" t="s">
        <v>443</v>
      </c>
      <c r="C19" s="10" t="s">
        <v>20</v>
      </c>
      <c r="D19" s="10" t="s">
        <v>38</v>
      </c>
      <c r="E19" s="10" t="s">
        <v>693</v>
      </c>
      <c r="F19" s="10" t="s">
        <v>694</v>
      </c>
      <c r="G19" s="10" t="s">
        <v>696</v>
      </c>
      <c r="H19" s="11">
        <v>784727822</v>
      </c>
      <c r="I19" s="11">
        <v>753579514.55653083</v>
      </c>
      <c r="J19" s="11">
        <v>590192266</v>
      </c>
      <c r="K19" s="11">
        <f t="shared" si="3"/>
        <v>610543723.4482758</v>
      </c>
      <c r="L19" s="18">
        <f t="shared" si="0"/>
        <v>0.81019150820145469</v>
      </c>
      <c r="M19" s="18">
        <f t="shared" si="1"/>
        <v>-0.2219675327781665</v>
      </c>
      <c r="P19" s="10" t="s">
        <v>30</v>
      </c>
      <c r="Q19" s="11">
        <f t="shared" si="4"/>
        <v>2516549957</v>
      </c>
      <c r="R19" s="11">
        <f t="shared" si="4"/>
        <v>2416214687.4774508</v>
      </c>
      <c r="S19" s="11">
        <f t="shared" si="4"/>
        <v>1974204499</v>
      </c>
      <c r="T19" s="11">
        <f t="shared" si="4"/>
        <v>2042280516.2068965</v>
      </c>
      <c r="U19" s="18">
        <f t="shared" si="5"/>
        <v>0.84523967459988214</v>
      </c>
      <c r="V19" s="18">
        <f t="shared" si="6"/>
        <v>-0.18846017321209232</v>
      </c>
    </row>
    <row r="20" spans="1:22" x14ac:dyDescent="0.3">
      <c r="A20" s="9" t="s">
        <v>75</v>
      </c>
      <c r="B20" s="10" t="s">
        <v>444</v>
      </c>
      <c r="C20" s="10" t="s">
        <v>22</v>
      </c>
      <c r="D20" s="10" t="s">
        <v>28</v>
      </c>
      <c r="E20" s="10" t="s">
        <v>693</v>
      </c>
      <c r="F20" s="10" t="s">
        <v>694</v>
      </c>
      <c r="G20" s="10" t="s">
        <v>695</v>
      </c>
      <c r="H20" s="11">
        <v>588495955</v>
      </c>
      <c r="I20" s="11">
        <v>564923508.87518764</v>
      </c>
      <c r="J20" s="11">
        <v>404352834</v>
      </c>
      <c r="K20" s="11">
        <f t="shared" si="3"/>
        <v>418296035.17241377</v>
      </c>
      <c r="L20" s="18">
        <f t="shared" si="0"/>
        <v>0.74044720851726975</v>
      </c>
      <c r="M20" s="18">
        <f t="shared" si="1"/>
        <v>-0.28921170720295986</v>
      </c>
      <c r="P20" s="10" t="s">
        <v>44</v>
      </c>
      <c r="Q20" s="11">
        <f t="shared" si="4"/>
        <v>2647892836</v>
      </c>
      <c r="R20" s="11">
        <f t="shared" si="4"/>
        <v>2816669184.1793723</v>
      </c>
      <c r="S20" s="11">
        <f t="shared" si="4"/>
        <v>2485564846</v>
      </c>
      <c r="T20" s="11">
        <f t="shared" si="4"/>
        <v>2571273978.6206894</v>
      </c>
      <c r="U20" s="18">
        <f t="shared" si="5"/>
        <v>0.91287751968281716</v>
      </c>
      <c r="V20" s="18">
        <f t="shared" si="6"/>
        <v>-2.8935784839032138E-2</v>
      </c>
    </row>
    <row r="21" spans="1:22" x14ac:dyDescent="0.3">
      <c r="A21" s="9" t="s">
        <v>76</v>
      </c>
      <c r="B21" s="10" t="s">
        <v>445</v>
      </c>
      <c r="C21" s="10" t="s">
        <v>22</v>
      </c>
      <c r="D21" s="10" t="s">
        <v>48</v>
      </c>
      <c r="E21" s="10" t="s">
        <v>693</v>
      </c>
      <c r="F21" s="10" t="s">
        <v>694</v>
      </c>
      <c r="G21" s="10" t="s">
        <v>699</v>
      </c>
      <c r="H21" s="11">
        <v>897764705</v>
      </c>
      <c r="I21" s="11">
        <v>837415385.19013691</v>
      </c>
      <c r="J21" s="11">
        <v>545450267</v>
      </c>
      <c r="K21" s="11">
        <f t="shared" si="3"/>
        <v>564258896.89655173</v>
      </c>
      <c r="L21" s="18">
        <f t="shared" si="0"/>
        <v>0.67381004323014149</v>
      </c>
      <c r="M21" s="18">
        <f t="shared" si="1"/>
        <v>-0.37148465098485717</v>
      </c>
      <c r="P21" s="5" t="s">
        <v>67</v>
      </c>
      <c r="Q21" s="13">
        <f>SUM(Q10:Q20)</f>
        <v>38351770704</v>
      </c>
      <c r="R21" s="13">
        <f>SUM(R10:R20)</f>
        <v>38080101896.143143</v>
      </c>
      <c r="S21" s="13">
        <f>SUM(S10:S20)</f>
        <v>32505409073</v>
      </c>
      <c r="T21" s="13">
        <f>SUM(T10:T20)</f>
        <v>33626285247.931034</v>
      </c>
      <c r="U21" s="14">
        <f t="shared" si="5"/>
        <v>0.88304084216058243</v>
      </c>
      <c r="V21" s="19">
        <f t="shared" si="6"/>
        <v>-0.12321427066667638</v>
      </c>
    </row>
    <row r="22" spans="1:22" x14ac:dyDescent="0.3">
      <c r="A22" s="9" t="s">
        <v>77</v>
      </c>
      <c r="B22" s="10" t="s">
        <v>446</v>
      </c>
      <c r="C22" s="10" t="s">
        <v>20</v>
      </c>
      <c r="D22" s="10" t="s">
        <v>36</v>
      </c>
      <c r="E22" s="10" t="s">
        <v>693</v>
      </c>
      <c r="F22" s="10" t="s">
        <v>694</v>
      </c>
      <c r="G22" s="10" t="s">
        <v>697</v>
      </c>
      <c r="H22" s="11">
        <v>809409092</v>
      </c>
      <c r="I22" s="11">
        <v>790163395.33413517</v>
      </c>
      <c r="J22" s="11">
        <v>710588622</v>
      </c>
      <c r="K22" s="11">
        <f t="shared" si="3"/>
        <v>735091677.93103445</v>
      </c>
      <c r="L22" s="18">
        <f t="shared" si="0"/>
        <v>0.93030338063203666</v>
      </c>
      <c r="M22" s="18">
        <f t="shared" si="1"/>
        <v>-9.1816875796801103E-2</v>
      </c>
    </row>
    <row r="23" spans="1:22" x14ac:dyDescent="0.3">
      <c r="A23" s="9" t="s">
        <v>78</v>
      </c>
      <c r="B23" s="10" t="s">
        <v>447</v>
      </c>
      <c r="C23" s="10" t="s">
        <v>20</v>
      </c>
      <c r="D23" s="10" t="s">
        <v>32</v>
      </c>
      <c r="E23" s="10" t="s">
        <v>693</v>
      </c>
      <c r="F23" s="10" t="s">
        <v>694</v>
      </c>
      <c r="G23" s="10" t="s">
        <v>696</v>
      </c>
      <c r="H23" s="11">
        <v>614855946</v>
      </c>
      <c r="I23" s="11">
        <v>607494615.39904773</v>
      </c>
      <c r="J23" s="11">
        <v>561546651</v>
      </c>
      <c r="K23" s="11">
        <f t="shared" si="3"/>
        <v>580910328.62068975</v>
      </c>
      <c r="L23" s="18">
        <f t="shared" si="0"/>
        <v>0.95623946928172288</v>
      </c>
      <c r="M23" s="18">
        <f t="shared" si="1"/>
        <v>-5.5209057666509499E-2</v>
      </c>
    </row>
    <row r="24" spans="1:22" x14ac:dyDescent="0.3">
      <c r="A24" s="9" t="s">
        <v>79</v>
      </c>
      <c r="B24" s="10" t="s">
        <v>448</v>
      </c>
      <c r="C24" s="10" t="s">
        <v>22</v>
      </c>
      <c r="D24" s="10" t="s">
        <v>40</v>
      </c>
      <c r="E24" s="10" t="s">
        <v>693</v>
      </c>
      <c r="F24" s="10" t="s">
        <v>694</v>
      </c>
      <c r="G24" s="10" t="s">
        <v>698</v>
      </c>
      <c r="H24" s="11">
        <v>873854405</v>
      </c>
      <c r="I24" s="11">
        <v>836272142.76204038</v>
      </c>
      <c r="J24" s="11">
        <v>650727758</v>
      </c>
      <c r="K24" s="11">
        <f t="shared" si="3"/>
        <v>673166646.20689654</v>
      </c>
      <c r="L24" s="18">
        <f t="shared" si="0"/>
        <v>0.80496122229249578</v>
      </c>
      <c r="M24" s="18">
        <f t="shared" si="1"/>
        <v>-0.22965811884086509</v>
      </c>
    </row>
    <row r="25" spans="1:22" x14ac:dyDescent="0.3">
      <c r="A25" s="9" t="s">
        <v>80</v>
      </c>
      <c r="B25" s="10" t="s">
        <v>449</v>
      </c>
      <c r="C25" s="10" t="s">
        <v>22</v>
      </c>
      <c r="D25" s="10" t="s">
        <v>28</v>
      </c>
      <c r="E25" s="10" t="s">
        <v>693</v>
      </c>
      <c r="F25" s="10" t="s">
        <v>694</v>
      </c>
      <c r="G25" s="10" t="s">
        <v>695</v>
      </c>
      <c r="H25" s="11">
        <v>631820116</v>
      </c>
      <c r="I25" s="11">
        <v>599153860.24563217</v>
      </c>
      <c r="J25" s="11">
        <v>457515582</v>
      </c>
      <c r="K25" s="11">
        <f t="shared" si="3"/>
        <v>473291981.37931037</v>
      </c>
      <c r="L25" s="18">
        <f t="shared" si="0"/>
        <v>0.78993395984343184</v>
      </c>
      <c r="M25" s="18">
        <f t="shared" si="1"/>
        <v>-0.25090707086744551</v>
      </c>
    </row>
    <row r="26" spans="1:22" x14ac:dyDescent="0.3">
      <c r="A26" s="9" t="s">
        <v>81</v>
      </c>
      <c r="B26" s="10" t="s">
        <v>450</v>
      </c>
      <c r="C26" s="10" t="s">
        <v>22</v>
      </c>
      <c r="D26" s="10" t="s">
        <v>28</v>
      </c>
      <c r="E26" s="10" t="s">
        <v>693</v>
      </c>
      <c r="F26" s="10" t="s">
        <v>694</v>
      </c>
      <c r="G26" s="10" t="s">
        <v>695</v>
      </c>
      <c r="H26" s="11">
        <v>471923341</v>
      </c>
      <c r="I26" s="11">
        <v>447957671.16518098</v>
      </c>
      <c r="J26" s="11">
        <v>539831639</v>
      </c>
      <c r="K26" s="11">
        <f t="shared" si="3"/>
        <v>558446523.10344827</v>
      </c>
      <c r="L26" s="18">
        <f t="shared" si="0"/>
        <v>1.2466502061475477</v>
      </c>
      <c r="M26" s="18">
        <f t="shared" si="1"/>
        <v>0.18334160357507784</v>
      </c>
    </row>
    <row r="27" spans="1:22" x14ac:dyDescent="0.3">
      <c r="A27" s="9" t="s">
        <v>82</v>
      </c>
      <c r="B27" s="10" t="s">
        <v>451</v>
      </c>
      <c r="C27" s="10" t="s">
        <v>22</v>
      </c>
      <c r="D27" s="10" t="s">
        <v>44</v>
      </c>
      <c r="E27" s="10" t="s">
        <v>693</v>
      </c>
      <c r="F27" s="10" t="s">
        <v>694</v>
      </c>
      <c r="G27" s="10" t="s">
        <v>698</v>
      </c>
      <c r="H27" s="11">
        <v>501153726</v>
      </c>
      <c r="I27" s="11">
        <v>489520040.35003</v>
      </c>
      <c r="J27" s="11">
        <v>532337332</v>
      </c>
      <c r="K27" s="11">
        <f t="shared" si="3"/>
        <v>550693791.72413802</v>
      </c>
      <c r="L27" s="18">
        <f t="shared" si="0"/>
        <v>1.1249667967226957</v>
      </c>
      <c r="M27" s="18">
        <f t="shared" si="1"/>
        <v>9.8852035122129409E-2</v>
      </c>
    </row>
    <row r="28" spans="1:22" x14ac:dyDescent="0.3">
      <c r="A28" s="9" t="s">
        <v>83</v>
      </c>
      <c r="B28" s="10" t="s">
        <v>452</v>
      </c>
      <c r="C28" s="10" t="s">
        <v>22</v>
      </c>
      <c r="D28" s="10" t="s">
        <v>28</v>
      </c>
      <c r="E28" s="10" t="s">
        <v>693</v>
      </c>
      <c r="F28" s="10" t="s">
        <v>694</v>
      </c>
      <c r="G28" s="10" t="s">
        <v>695</v>
      </c>
      <c r="H28" s="11">
        <v>646716751</v>
      </c>
      <c r="I28" s="11">
        <v>606149531.57123089</v>
      </c>
      <c r="J28" s="11">
        <v>520200832</v>
      </c>
      <c r="K28" s="11">
        <f t="shared" si="3"/>
        <v>538138791.72413802</v>
      </c>
      <c r="L28" s="18">
        <f t="shared" si="0"/>
        <v>0.88779874221662969</v>
      </c>
      <c r="M28" s="18">
        <f t="shared" si="1"/>
        <v>-0.16789105757345998</v>
      </c>
    </row>
    <row r="29" spans="1:22" x14ac:dyDescent="0.3">
      <c r="A29" s="9" t="s">
        <v>84</v>
      </c>
      <c r="B29" s="10" t="s">
        <v>453</v>
      </c>
      <c r="C29" s="10" t="s">
        <v>22</v>
      </c>
      <c r="D29" s="10" t="s">
        <v>48</v>
      </c>
      <c r="E29" s="10" t="s">
        <v>693</v>
      </c>
      <c r="F29" s="10" t="s">
        <v>694</v>
      </c>
      <c r="G29" s="10" t="s">
        <v>699</v>
      </c>
      <c r="H29" s="11">
        <v>400386661</v>
      </c>
      <c r="I29" s="11">
        <v>578984558.69216633</v>
      </c>
      <c r="J29" s="11">
        <v>275115668</v>
      </c>
      <c r="K29" s="11">
        <f t="shared" si="3"/>
        <v>284602415.17241377</v>
      </c>
      <c r="L29" s="18">
        <f t="shared" si="0"/>
        <v>0.49155441349815127</v>
      </c>
      <c r="M29" s="18">
        <f t="shared" si="1"/>
        <v>-0.28918107695797146</v>
      </c>
    </row>
    <row r="30" spans="1:22" x14ac:dyDescent="0.3">
      <c r="A30" s="9" t="s">
        <v>85</v>
      </c>
      <c r="B30" s="10" t="s">
        <v>454</v>
      </c>
      <c r="C30" s="10" t="s">
        <v>22</v>
      </c>
      <c r="D30" s="10" t="s">
        <v>46</v>
      </c>
      <c r="E30" s="10" t="s">
        <v>693</v>
      </c>
      <c r="F30" s="10" t="s">
        <v>694</v>
      </c>
      <c r="G30" s="10" t="s">
        <v>700</v>
      </c>
      <c r="H30" s="11">
        <v>999957957</v>
      </c>
      <c r="I30" s="11">
        <v>943786033.81246018</v>
      </c>
      <c r="J30" s="11">
        <v>763802114</v>
      </c>
      <c r="K30" s="11">
        <f t="shared" si="3"/>
        <v>790140117.93103445</v>
      </c>
      <c r="L30" s="18">
        <f t="shared" si="0"/>
        <v>0.83720259637582561</v>
      </c>
      <c r="M30" s="18">
        <f t="shared" si="1"/>
        <v>-0.20982666081126605</v>
      </c>
    </row>
    <row r="31" spans="1:22" x14ac:dyDescent="0.3">
      <c r="A31" s="9" t="s">
        <v>86</v>
      </c>
      <c r="B31" s="10" t="s">
        <v>455</v>
      </c>
      <c r="C31" s="10" t="s">
        <v>22</v>
      </c>
      <c r="D31" s="10" t="s">
        <v>48</v>
      </c>
      <c r="E31" s="10" t="s">
        <v>693</v>
      </c>
      <c r="F31" s="10" t="s">
        <v>694</v>
      </c>
      <c r="G31" s="10" t="s">
        <v>699</v>
      </c>
      <c r="H31" s="11">
        <v>409934857</v>
      </c>
      <c r="I31" s="11">
        <v>474156736.80833262</v>
      </c>
      <c r="J31" s="11">
        <v>334799552</v>
      </c>
      <c r="K31" s="11">
        <f t="shared" si="3"/>
        <v>346344364.13793099</v>
      </c>
      <c r="L31" s="18">
        <f t="shared" si="0"/>
        <v>0.73044277820296588</v>
      </c>
      <c r="M31" s="18">
        <f t="shared" si="1"/>
        <v>-0.15512340991795437</v>
      </c>
    </row>
    <row r="32" spans="1:22" x14ac:dyDescent="0.3">
      <c r="A32" s="9" t="s">
        <v>87</v>
      </c>
      <c r="B32" s="10" t="s">
        <v>456</v>
      </c>
      <c r="C32" s="10" t="s">
        <v>20</v>
      </c>
      <c r="D32" s="10" t="s">
        <v>38</v>
      </c>
      <c r="E32" s="10" t="s">
        <v>693</v>
      </c>
      <c r="F32" s="10" t="s">
        <v>694</v>
      </c>
      <c r="G32" s="10" t="s">
        <v>696</v>
      </c>
      <c r="H32" s="11">
        <v>542146012</v>
      </c>
      <c r="I32" s="11">
        <v>532752068.43898511</v>
      </c>
      <c r="J32" s="11">
        <v>351738724</v>
      </c>
      <c r="K32" s="11">
        <f t="shared" si="3"/>
        <v>363867645.51724136</v>
      </c>
      <c r="L32" s="18">
        <f t="shared" si="0"/>
        <v>0.68299621357343321</v>
      </c>
      <c r="M32" s="18">
        <f t="shared" si="1"/>
        <v>-0.32883828809342719</v>
      </c>
    </row>
    <row r="33" spans="1:13" x14ac:dyDescent="0.3">
      <c r="A33" s="9" t="s">
        <v>88</v>
      </c>
      <c r="B33" s="10" t="s">
        <v>457</v>
      </c>
      <c r="C33" s="10" t="s">
        <v>22</v>
      </c>
      <c r="D33" s="10" t="s">
        <v>48</v>
      </c>
      <c r="E33" s="10" t="s">
        <v>693</v>
      </c>
      <c r="F33" s="10" t="s">
        <v>694</v>
      </c>
      <c r="G33" s="10" t="s">
        <v>699</v>
      </c>
      <c r="H33" s="11">
        <v>460994597</v>
      </c>
      <c r="I33" s="11">
        <v>434646445.3343612</v>
      </c>
      <c r="J33" s="11">
        <v>337215925</v>
      </c>
      <c r="K33" s="11">
        <f t="shared" si="3"/>
        <v>348844060.34482759</v>
      </c>
      <c r="L33" s="18">
        <f t="shared" si="0"/>
        <v>0.80259269134588629</v>
      </c>
      <c r="M33" s="18">
        <f t="shared" si="1"/>
        <v>-0.24327950345841559</v>
      </c>
    </row>
    <row r="34" spans="1:13" x14ac:dyDescent="0.3">
      <c r="A34" s="9" t="s">
        <v>89</v>
      </c>
      <c r="B34" s="10" t="s">
        <v>458</v>
      </c>
      <c r="C34" s="10" t="s">
        <v>22</v>
      </c>
      <c r="D34" s="10" t="s">
        <v>40</v>
      </c>
      <c r="E34" s="10" t="s">
        <v>693</v>
      </c>
      <c r="F34" s="10" t="s">
        <v>694</v>
      </c>
      <c r="G34" s="10" t="s">
        <v>698</v>
      </c>
      <c r="H34" s="11">
        <v>587133041</v>
      </c>
      <c r="I34" s="11">
        <v>564316253.77675688</v>
      </c>
      <c r="J34" s="11">
        <v>520162798</v>
      </c>
      <c r="K34" s="11">
        <f t="shared" si="3"/>
        <v>538099446.20689654</v>
      </c>
      <c r="L34" s="18">
        <f t="shared" si="0"/>
        <v>0.95354234900306156</v>
      </c>
      <c r="M34" s="18">
        <f t="shared" si="1"/>
        <v>-8.3513601465163428E-2</v>
      </c>
    </row>
    <row r="35" spans="1:13" x14ac:dyDescent="0.3">
      <c r="A35" s="9" t="s">
        <v>90</v>
      </c>
      <c r="B35" s="10" t="s">
        <v>459</v>
      </c>
      <c r="C35" s="10" t="s">
        <v>22</v>
      </c>
      <c r="D35" s="10" t="s">
        <v>42</v>
      </c>
      <c r="E35" s="10" t="s">
        <v>693</v>
      </c>
      <c r="F35" s="10" t="s">
        <v>694</v>
      </c>
      <c r="G35" s="10" t="s">
        <v>699</v>
      </c>
      <c r="H35" s="11">
        <v>676798063</v>
      </c>
      <c r="I35" s="11">
        <v>644102216.03951263</v>
      </c>
      <c r="J35" s="11">
        <v>611904985</v>
      </c>
      <c r="K35" s="11">
        <f t="shared" si="3"/>
        <v>633005156.89655173</v>
      </c>
      <c r="L35" s="18">
        <f t="shared" si="0"/>
        <v>0.98277127625612737</v>
      </c>
      <c r="M35" s="18">
        <f t="shared" si="1"/>
        <v>-6.4706015719563706E-2</v>
      </c>
    </row>
    <row r="36" spans="1:13" x14ac:dyDescent="0.3">
      <c r="A36" s="9" t="s">
        <v>91</v>
      </c>
      <c r="B36" s="10" t="s">
        <v>460</v>
      </c>
      <c r="C36" s="10" t="s">
        <v>20</v>
      </c>
      <c r="D36" s="10" t="s">
        <v>38</v>
      </c>
      <c r="E36" s="10" t="s">
        <v>693</v>
      </c>
      <c r="F36" s="10" t="s">
        <v>694</v>
      </c>
      <c r="G36" s="10" t="s">
        <v>696</v>
      </c>
      <c r="H36" s="11">
        <v>469121486</v>
      </c>
      <c r="I36" s="11">
        <v>454472620.06999642</v>
      </c>
      <c r="J36" s="11">
        <v>492406806</v>
      </c>
      <c r="K36" s="11">
        <f t="shared" si="3"/>
        <v>509386351.03448278</v>
      </c>
      <c r="L36" s="18">
        <f t="shared" si="0"/>
        <v>1.1208295693501376</v>
      </c>
      <c r="M36" s="18">
        <f t="shared" si="1"/>
        <v>8.583035788406157E-2</v>
      </c>
    </row>
    <row r="37" spans="1:13" x14ac:dyDescent="0.3">
      <c r="A37" s="9" t="s">
        <v>92</v>
      </c>
      <c r="B37" s="10" t="s">
        <v>461</v>
      </c>
      <c r="C37" s="10" t="s">
        <v>22</v>
      </c>
      <c r="D37" s="10" t="s">
        <v>40</v>
      </c>
      <c r="E37" s="10" t="s">
        <v>693</v>
      </c>
      <c r="F37" s="10" t="s">
        <v>694</v>
      </c>
      <c r="G37" s="10" t="s">
        <v>698</v>
      </c>
      <c r="H37" s="11">
        <v>754552011</v>
      </c>
      <c r="I37" s="11">
        <v>722310966.3768394</v>
      </c>
      <c r="J37" s="11">
        <v>601094446</v>
      </c>
      <c r="K37" s="11">
        <f t="shared" si="3"/>
        <v>621821840.68965518</v>
      </c>
      <c r="L37" s="18">
        <f t="shared" si="0"/>
        <v>0.86087830537691479</v>
      </c>
      <c r="M37" s="18">
        <f t="shared" si="1"/>
        <v>-0.17590592613283065</v>
      </c>
    </row>
    <row r="38" spans="1:13" x14ac:dyDescent="0.3">
      <c r="A38" s="9" t="s">
        <v>93</v>
      </c>
      <c r="B38" s="10" t="s">
        <v>462</v>
      </c>
      <c r="C38" s="10" t="s">
        <v>22</v>
      </c>
      <c r="D38" s="10" t="s">
        <v>42</v>
      </c>
      <c r="E38" s="10" t="s">
        <v>693</v>
      </c>
      <c r="F38" s="10" t="s">
        <v>694</v>
      </c>
      <c r="G38" s="10" t="s">
        <v>699</v>
      </c>
      <c r="H38" s="11">
        <v>501249084</v>
      </c>
      <c r="I38" s="11">
        <v>473955208.4490459</v>
      </c>
      <c r="J38" s="11">
        <v>390479921</v>
      </c>
      <c r="K38" s="11">
        <f t="shared" si="3"/>
        <v>403944745.86206901</v>
      </c>
      <c r="L38" s="18">
        <f t="shared" si="0"/>
        <v>0.85228464348756372</v>
      </c>
      <c r="M38" s="18">
        <f t="shared" si="1"/>
        <v>-0.19412372260401176</v>
      </c>
    </row>
    <row r="39" spans="1:13" x14ac:dyDescent="0.3">
      <c r="A39" s="9" t="s">
        <v>94</v>
      </c>
      <c r="B39" s="10" t="s">
        <v>463</v>
      </c>
      <c r="C39" s="10" t="s">
        <v>22</v>
      </c>
      <c r="D39" s="10" t="s">
        <v>40</v>
      </c>
      <c r="E39" s="10" t="s">
        <v>693</v>
      </c>
      <c r="F39" s="10" t="s">
        <v>694</v>
      </c>
      <c r="G39" s="10" t="s">
        <v>698</v>
      </c>
      <c r="H39" s="11">
        <v>515051069</v>
      </c>
      <c r="I39" s="11">
        <v>481093873.97149903</v>
      </c>
      <c r="J39" s="11">
        <v>350926562</v>
      </c>
      <c r="K39" s="11">
        <f t="shared" si="3"/>
        <v>363027477.93103451</v>
      </c>
      <c r="L39" s="18">
        <f t="shared" si="0"/>
        <v>0.75458761287935461</v>
      </c>
      <c r="M39" s="18">
        <f t="shared" si="1"/>
        <v>-0.29516216977110188</v>
      </c>
    </row>
    <row r="40" spans="1:13" x14ac:dyDescent="0.3">
      <c r="A40" s="9" t="s">
        <v>95</v>
      </c>
      <c r="B40" s="10" t="s">
        <v>464</v>
      </c>
      <c r="C40" s="10" t="s">
        <v>20</v>
      </c>
      <c r="D40" s="10" t="s">
        <v>34</v>
      </c>
      <c r="E40" s="10" t="s">
        <v>693</v>
      </c>
      <c r="F40" s="10" t="s">
        <v>694</v>
      </c>
      <c r="G40" s="10" t="s">
        <v>697</v>
      </c>
      <c r="H40" s="11">
        <v>690211919</v>
      </c>
      <c r="I40" s="11">
        <v>663307316.92814803</v>
      </c>
      <c r="J40" s="11">
        <v>528795674</v>
      </c>
      <c r="K40" s="11">
        <f t="shared" si="3"/>
        <v>547030007.58620691</v>
      </c>
      <c r="L40" s="18">
        <f t="shared" si="0"/>
        <v>0.8247006984930686</v>
      </c>
      <c r="M40" s="18">
        <f t="shared" si="1"/>
        <v>-0.20744630376890533</v>
      </c>
    </row>
    <row r="41" spans="1:13" x14ac:dyDescent="0.3">
      <c r="A41" s="9" t="s">
        <v>96</v>
      </c>
      <c r="B41" s="10" t="s">
        <v>465</v>
      </c>
      <c r="C41" s="10" t="s">
        <v>22</v>
      </c>
      <c r="D41" s="10" t="s">
        <v>40</v>
      </c>
      <c r="E41" s="10" t="s">
        <v>693</v>
      </c>
      <c r="F41" s="10" t="s">
        <v>694</v>
      </c>
      <c r="G41" s="10" t="s">
        <v>698</v>
      </c>
      <c r="H41" s="11">
        <v>661179676</v>
      </c>
      <c r="I41" s="11">
        <v>633020463.3067596</v>
      </c>
      <c r="J41" s="11">
        <v>397625741</v>
      </c>
      <c r="K41" s="11">
        <f t="shared" si="3"/>
        <v>411336973.44827586</v>
      </c>
      <c r="L41" s="18">
        <f t="shared" si="0"/>
        <v>0.64980043662339448</v>
      </c>
      <c r="M41" s="18">
        <f t="shared" si="1"/>
        <v>-0.37787414166028316</v>
      </c>
    </row>
    <row r="42" spans="1:13" x14ac:dyDescent="0.3">
      <c r="A42" s="9" t="s">
        <v>97</v>
      </c>
      <c r="B42" s="10" t="s">
        <v>466</v>
      </c>
      <c r="C42" s="10" t="s">
        <v>20</v>
      </c>
      <c r="D42" s="10" t="s">
        <v>36</v>
      </c>
      <c r="E42" s="10" t="s">
        <v>693</v>
      </c>
      <c r="F42" s="10" t="s">
        <v>694</v>
      </c>
      <c r="G42" s="10" t="s">
        <v>697</v>
      </c>
      <c r="H42" s="11">
        <v>636680460</v>
      </c>
      <c r="I42" s="11">
        <v>620104894.00527298</v>
      </c>
      <c r="J42" s="11">
        <v>567330256</v>
      </c>
      <c r="K42" s="11">
        <f t="shared" si="3"/>
        <v>586893368.27586198</v>
      </c>
      <c r="L42" s="18">
        <f t="shared" si="0"/>
        <v>0.94644208415305853</v>
      </c>
      <c r="M42" s="18">
        <f t="shared" si="1"/>
        <v>-7.8197926357183978E-2</v>
      </c>
    </row>
    <row r="43" spans="1:13" x14ac:dyDescent="0.3">
      <c r="A43" s="9" t="s">
        <v>98</v>
      </c>
      <c r="B43" s="10" t="s">
        <v>467</v>
      </c>
      <c r="C43" s="10" t="s">
        <v>20</v>
      </c>
      <c r="D43" s="10" t="s">
        <v>30</v>
      </c>
      <c r="E43" s="10" t="s">
        <v>693</v>
      </c>
      <c r="F43" s="10" t="s">
        <v>694</v>
      </c>
      <c r="G43" s="10" t="s">
        <v>696</v>
      </c>
      <c r="H43" s="11">
        <v>408284223</v>
      </c>
      <c r="I43" s="11">
        <v>406947828.94195139</v>
      </c>
      <c r="J43" s="11">
        <v>471354253</v>
      </c>
      <c r="K43" s="11">
        <f t="shared" si="3"/>
        <v>487607847.93103451</v>
      </c>
      <c r="L43" s="18">
        <f t="shared" si="0"/>
        <v>1.1982072719217991</v>
      </c>
      <c r="M43" s="18">
        <f t="shared" si="1"/>
        <v>0.1942853053399384</v>
      </c>
    </row>
    <row r="44" spans="1:13" x14ac:dyDescent="0.3">
      <c r="A44" s="9" t="s">
        <v>99</v>
      </c>
      <c r="B44" s="10" t="s">
        <v>468</v>
      </c>
      <c r="C44" s="10" t="s">
        <v>22</v>
      </c>
      <c r="D44" s="10" t="s">
        <v>44</v>
      </c>
      <c r="E44" s="10" t="s">
        <v>693</v>
      </c>
      <c r="F44" s="10" t="s">
        <v>694</v>
      </c>
      <c r="G44" s="10" t="s">
        <v>698</v>
      </c>
      <c r="H44" s="11">
        <v>501173324</v>
      </c>
      <c r="I44" s="11">
        <v>476916097.91378933</v>
      </c>
      <c r="J44" s="11">
        <v>500472688</v>
      </c>
      <c r="K44" s="11">
        <f t="shared" si="3"/>
        <v>517730366.89655173</v>
      </c>
      <c r="L44" s="18">
        <f t="shared" si="0"/>
        <v>1.0855795582520686</v>
      </c>
      <c r="M44" s="18">
        <f t="shared" si="1"/>
        <v>3.3036560614211237E-2</v>
      </c>
    </row>
    <row r="45" spans="1:13" x14ac:dyDescent="0.3">
      <c r="A45" s="9" t="s">
        <v>37</v>
      </c>
      <c r="B45" s="10" t="s">
        <v>414</v>
      </c>
      <c r="C45" s="10" t="s">
        <v>20</v>
      </c>
      <c r="D45" s="10" t="s">
        <v>38</v>
      </c>
      <c r="E45" s="10" t="s">
        <v>693</v>
      </c>
      <c r="F45" s="10" t="s">
        <v>694</v>
      </c>
      <c r="G45" s="10" t="s">
        <v>696</v>
      </c>
      <c r="H45" s="11">
        <v>690748130</v>
      </c>
      <c r="I45" s="11">
        <v>670997769.84120977</v>
      </c>
      <c r="J45" s="11">
        <v>682222499</v>
      </c>
      <c r="K45" s="11">
        <f t="shared" si="3"/>
        <v>705747412.75862074</v>
      </c>
      <c r="L45" s="18">
        <f t="shared" si="0"/>
        <v>1.0517880155184933</v>
      </c>
      <c r="M45" s="18">
        <f t="shared" si="1"/>
        <v>2.1714547035575384E-2</v>
      </c>
    </row>
    <row r="46" spans="1:13" x14ac:dyDescent="0.3">
      <c r="A46" s="9" t="s">
        <v>100</v>
      </c>
      <c r="B46" s="10" t="s">
        <v>469</v>
      </c>
      <c r="C46" s="10" t="s">
        <v>20</v>
      </c>
      <c r="D46" s="10" t="s">
        <v>38</v>
      </c>
      <c r="E46" s="10" t="s">
        <v>693</v>
      </c>
      <c r="F46" s="10" t="s">
        <v>694</v>
      </c>
      <c r="G46" s="10" t="s">
        <v>696</v>
      </c>
      <c r="H46" s="11">
        <v>495804920</v>
      </c>
      <c r="I46" s="11">
        <v>483745986.59671628</v>
      </c>
      <c r="J46" s="11">
        <v>567925146</v>
      </c>
      <c r="K46" s="11">
        <f t="shared" si="3"/>
        <v>587508771.72413802</v>
      </c>
      <c r="L46" s="18">
        <f t="shared" si="0"/>
        <v>1.2144984930157683</v>
      </c>
      <c r="M46" s="18">
        <f t="shared" si="1"/>
        <v>0.18495954361271369</v>
      </c>
    </row>
    <row r="47" spans="1:13" x14ac:dyDescent="0.3">
      <c r="A47" s="9" t="s">
        <v>101</v>
      </c>
      <c r="B47" s="10" t="s">
        <v>470</v>
      </c>
      <c r="C47" s="10" t="s">
        <v>22</v>
      </c>
      <c r="D47" s="10" t="s">
        <v>48</v>
      </c>
      <c r="E47" s="10" t="s">
        <v>693</v>
      </c>
      <c r="F47" s="10" t="s">
        <v>694</v>
      </c>
      <c r="G47" s="10" t="s">
        <v>699</v>
      </c>
      <c r="H47" s="11">
        <v>306803199</v>
      </c>
      <c r="I47" s="11">
        <v>571722574.69692838</v>
      </c>
      <c r="J47" s="11">
        <v>300431963</v>
      </c>
      <c r="K47" s="11">
        <f t="shared" si="3"/>
        <v>310791685.86206901</v>
      </c>
      <c r="L47" s="18">
        <f t="shared" si="0"/>
        <v>0.54360576198485866</v>
      </c>
      <c r="M47" s="18">
        <f t="shared" si="1"/>
        <v>1.3000147570394175E-2</v>
      </c>
    </row>
    <row r="48" spans="1:13" x14ac:dyDescent="0.3">
      <c r="A48" s="9" t="s">
        <v>102</v>
      </c>
      <c r="B48" s="10" t="s">
        <v>471</v>
      </c>
      <c r="C48" s="10" t="s">
        <v>22</v>
      </c>
      <c r="D48" s="10" t="s">
        <v>28</v>
      </c>
      <c r="E48" s="10" t="s">
        <v>693</v>
      </c>
      <c r="F48" s="10" t="s">
        <v>694</v>
      </c>
      <c r="G48" s="10" t="s">
        <v>695</v>
      </c>
      <c r="H48" s="11">
        <v>656281260</v>
      </c>
      <c r="I48" s="11">
        <v>615194645.63512969</v>
      </c>
      <c r="J48" s="11">
        <v>659809207</v>
      </c>
      <c r="K48" s="11">
        <f t="shared" si="3"/>
        <v>682561248.62068975</v>
      </c>
      <c r="L48" s="18">
        <f t="shared" si="0"/>
        <v>1.1095045339934819</v>
      </c>
      <c r="M48" s="18">
        <f t="shared" si="1"/>
        <v>4.0043789488503373E-2</v>
      </c>
    </row>
    <row r="49" spans="1:13" x14ac:dyDescent="0.3">
      <c r="A49" s="9" t="s">
        <v>103</v>
      </c>
      <c r="B49" s="10" t="s">
        <v>472</v>
      </c>
      <c r="C49" s="10" t="s">
        <v>22</v>
      </c>
      <c r="D49" s="10" t="s">
        <v>44</v>
      </c>
      <c r="E49" s="10" t="s">
        <v>693</v>
      </c>
      <c r="F49" s="10" t="s">
        <v>694</v>
      </c>
      <c r="G49" s="10" t="s">
        <v>695</v>
      </c>
      <c r="H49" s="11">
        <v>594261046</v>
      </c>
      <c r="I49" s="11">
        <v>548893939.69458091</v>
      </c>
      <c r="J49" s="11">
        <v>503521474</v>
      </c>
      <c r="K49" s="11">
        <f t="shared" si="3"/>
        <v>520884283.4482758</v>
      </c>
      <c r="L49" s="18">
        <f t="shared" si="0"/>
        <v>0.94897073146427813</v>
      </c>
      <c r="M49" s="18">
        <f t="shared" si="1"/>
        <v>-0.12347563927608372</v>
      </c>
    </row>
    <row r="50" spans="1:13" x14ac:dyDescent="0.3">
      <c r="A50" s="9" t="s">
        <v>104</v>
      </c>
      <c r="B50" s="10" t="s">
        <v>473</v>
      </c>
      <c r="C50" s="10" t="s">
        <v>22</v>
      </c>
      <c r="D50" s="10" t="s">
        <v>28</v>
      </c>
      <c r="E50" s="10" t="s">
        <v>693</v>
      </c>
      <c r="F50" s="10" t="s">
        <v>694</v>
      </c>
      <c r="G50" s="10" t="s">
        <v>695</v>
      </c>
      <c r="H50" s="11">
        <v>238571560</v>
      </c>
      <c r="I50" s="11">
        <v>405585123.79795694</v>
      </c>
      <c r="J50" s="11">
        <v>203978935</v>
      </c>
      <c r="K50" s="11">
        <f t="shared" si="3"/>
        <v>211012691.37931037</v>
      </c>
      <c r="L50" s="18">
        <f t="shared" si="0"/>
        <v>0.52026733476651565</v>
      </c>
      <c r="M50" s="18">
        <f t="shared" si="1"/>
        <v>-0.11551615213770505</v>
      </c>
    </row>
    <row r="51" spans="1:13" x14ac:dyDescent="0.3">
      <c r="A51" s="9" t="s">
        <v>105</v>
      </c>
      <c r="B51" s="10" t="s">
        <v>474</v>
      </c>
      <c r="C51" s="10" t="s">
        <v>20</v>
      </c>
      <c r="D51" s="10" t="s">
        <v>32</v>
      </c>
      <c r="E51" s="10" t="s">
        <v>693</v>
      </c>
      <c r="F51" s="10" t="s">
        <v>694</v>
      </c>
      <c r="G51" s="10" t="s">
        <v>696</v>
      </c>
      <c r="H51" s="11">
        <v>718782020</v>
      </c>
      <c r="I51" s="11">
        <v>677553208.41663206</v>
      </c>
      <c r="J51" s="11">
        <v>696755314</v>
      </c>
      <c r="K51" s="11">
        <f t="shared" si="3"/>
        <v>720781359.31034482</v>
      </c>
      <c r="L51" s="18">
        <f t="shared" si="0"/>
        <v>1.0638003781204612</v>
      </c>
      <c r="M51" s="18">
        <f t="shared" si="1"/>
        <v>2.7815655577261315E-3</v>
      </c>
    </row>
    <row r="52" spans="1:13" x14ac:dyDescent="0.3">
      <c r="A52" s="9" t="s">
        <v>106</v>
      </c>
      <c r="B52" s="10" t="s">
        <v>475</v>
      </c>
      <c r="C52" s="10" t="s">
        <v>20</v>
      </c>
      <c r="D52" s="10" t="s">
        <v>38</v>
      </c>
      <c r="E52" s="10" t="s">
        <v>693</v>
      </c>
      <c r="F52" s="10" t="s">
        <v>694</v>
      </c>
      <c r="G52" s="10" t="s">
        <v>696</v>
      </c>
      <c r="H52" s="11">
        <v>509803918</v>
      </c>
      <c r="I52" s="11">
        <v>458053627.64052868</v>
      </c>
      <c r="J52" s="11">
        <v>356395460</v>
      </c>
      <c r="K52" s="11">
        <f t="shared" si="3"/>
        <v>368684958.62068963</v>
      </c>
      <c r="L52" s="18">
        <f t="shared" si="0"/>
        <v>0.80489474675665318</v>
      </c>
      <c r="M52" s="18">
        <f t="shared" si="1"/>
        <v>-0.27681026841247297</v>
      </c>
    </row>
    <row r="53" spans="1:13" x14ac:dyDescent="0.3">
      <c r="A53" s="9" t="s">
        <v>107</v>
      </c>
      <c r="B53" s="10" t="s">
        <v>476</v>
      </c>
      <c r="C53" s="10" t="s">
        <v>22</v>
      </c>
      <c r="D53" s="10" t="s">
        <v>40</v>
      </c>
      <c r="E53" s="10" t="s">
        <v>693</v>
      </c>
      <c r="F53" s="10" t="s">
        <v>694</v>
      </c>
      <c r="G53" s="10" t="s">
        <v>698</v>
      </c>
      <c r="H53" s="11">
        <v>429982424</v>
      </c>
      <c r="I53" s="11">
        <v>405527048.84125561</v>
      </c>
      <c r="J53" s="11">
        <v>299994972</v>
      </c>
      <c r="K53" s="11">
        <f t="shared" si="3"/>
        <v>310339626.20689654</v>
      </c>
      <c r="L53" s="18">
        <f t="shared" si="0"/>
        <v>0.76527478769580082</v>
      </c>
      <c r="M53" s="18">
        <f t="shared" si="1"/>
        <v>-0.27825043796000243</v>
      </c>
    </row>
    <row r="54" spans="1:13" x14ac:dyDescent="0.3">
      <c r="A54" s="9" t="s">
        <v>108</v>
      </c>
      <c r="B54" s="10" t="s">
        <v>477</v>
      </c>
      <c r="C54" s="10" t="s">
        <v>22</v>
      </c>
      <c r="D54" s="10" t="s">
        <v>40</v>
      </c>
      <c r="E54" s="10" t="s">
        <v>693</v>
      </c>
      <c r="F54" s="10" t="s">
        <v>694</v>
      </c>
      <c r="G54" s="10" t="s">
        <v>698</v>
      </c>
      <c r="H54" s="11">
        <v>483495137</v>
      </c>
      <c r="I54" s="11">
        <v>459504943.41780788</v>
      </c>
      <c r="J54" s="11">
        <v>378658756</v>
      </c>
      <c r="K54" s="11">
        <f t="shared" si="3"/>
        <v>391715954.48275864</v>
      </c>
      <c r="L54" s="18">
        <f t="shared" si="0"/>
        <v>0.85247386365240552</v>
      </c>
      <c r="M54" s="18">
        <f t="shared" si="1"/>
        <v>-0.18982441702871017</v>
      </c>
    </row>
    <row r="55" spans="1:13" x14ac:dyDescent="0.3">
      <c r="A55" s="9" t="s">
        <v>109</v>
      </c>
      <c r="B55" s="10" t="s">
        <v>478</v>
      </c>
      <c r="C55" s="10" t="s">
        <v>20</v>
      </c>
      <c r="D55" s="10" t="s">
        <v>30</v>
      </c>
      <c r="E55" s="10" t="s">
        <v>693</v>
      </c>
      <c r="F55" s="10" t="s">
        <v>694</v>
      </c>
      <c r="G55" s="10" t="s">
        <v>696</v>
      </c>
      <c r="H55" s="11">
        <v>435486625</v>
      </c>
      <c r="I55" s="11">
        <v>428230463.46366501</v>
      </c>
      <c r="J55" s="11">
        <v>369257433</v>
      </c>
      <c r="K55" s="11">
        <f t="shared" si="3"/>
        <v>381990447.93103451</v>
      </c>
      <c r="L55" s="18">
        <f t="shared" si="0"/>
        <v>0.89202072370417917</v>
      </c>
      <c r="M55" s="18">
        <f t="shared" si="1"/>
        <v>-0.12284229640569443</v>
      </c>
    </row>
    <row r="56" spans="1:13" x14ac:dyDescent="0.3">
      <c r="A56" s="9" t="s">
        <v>110</v>
      </c>
      <c r="B56" s="10" t="s">
        <v>479</v>
      </c>
      <c r="C56" s="10" t="s">
        <v>22</v>
      </c>
      <c r="D56" s="10" t="s">
        <v>44</v>
      </c>
      <c r="E56" s="10" t="s">
        <v>693</v>
      </c>
      <c r="F56" s="10" t="s">
        <v>694</v>
      </c>
      <c r="G56" s="10" t="s">
        <v>698</v>
      </c>
      <c r="H56" s="11">
        <v>237296844</v>
      </c>
      <c r="I56" s="11">
        <v>407802698.67119712</v>
      </c>
      <c r="J56" s="11">
        <v>202169370</v>
      </c>
      <c r="K56" s="11">
        <f t="shared" si="3"/>
        <v>209140727.58620688</v>
      </c>
      <c r="L56" s="18">
        <f t="shared" si="0"/>
        <v>0.51284782633288239</v>
      </c>
      <c r="M56" s="18">
        <f t="shared" si="1"/>
        <v>-0.1186535646204933</v>
      </c>
    </row>
    <row r="57" spans="1:13" x14ac:dyDescent="0.3">
      <c r="A57" s="9" t="s">
        <v>39</v>
      </c>
      <c r="B57" s="10" t="s">
        <v>415</v>
      </c>
      <c r="C57" s="10" t="s">
        <v>22</v>
      </c>
      <c r="D57" s="10" t="s">
        <v>42</v>
      </c>
      <c r="E57" s="10" t="s">
        <v>693</v>
      </c>
      <c r="F57" s="10" t="s">
        <v>694</v>
      </c>
      <c r="G57" s="10" t="s">
        <v>699</v>
      </c>
      <c r="H57" s="11">
        <v>326392254</v>
      </c>
      <c r="I57" s="11">
        <v>442728384.2508586</v>
      </c>
      <c r="J57" s="11">
        <v>353279138</v>
      </c>
      <c r="K57" s="11">
        <f t="shared" si="3"/>
        <v>365461177.24137926</v>
      </c>
      <c r="L57" s="18">
        <f t="shared" si="0"/>
        <v>0.8254749192550116</v>
      </c>
      <c r="M57" s="18">
        <f t="shared" si="1"/>
        <v>0.11969929666706876</v>
      </c>
    </row>
    <row r="58" spans="1:13" x14ac:dyDescent="0.3">
      <c r="A58" s="9" t="s">
        <v>111</v>
      </c>
      <c r="B58" s="10" t="s">
        <v>480</v>
      </c>
      <c r="C58" s="10" t="s">
        <v>20</v>
      </c>
      <c r="D58" s="10" t="s">
        <v>38</v>
      </c>
      <c r="E58" s="10" t="s">
        <v>693</v>
      </c>
      <c r="F58" s="10" t="s">
        <v>694</v>
      </c>
      <c r="G58" s="10" t="s">
        <v>696</v>
      </c>
      <c r="H58" s="11">
        <v>277544637</v>
      </c>
      <c r="I58" s="11">
        <v>408424521.50745201</v>
      </c>
      <c r="J58" s="11">
        <v>238360952</v>
      </c>
      <c r="K58" s="11">
        <f t="shared" si="3"/>
        <v>246580295.1724138</v>
      </c>
      <c r="L58" s="18">
        <f t="shared" si="0"/>
        <v>0.6037352856834155</v>
      </c>
      <c r="M58" s="18">
        <f t="shared" si="1"/>
        <v>-0.11156526806744316</v>
      </c>
    </row>
    <row r="59" spans="1:13" x14ac:dyDescent="0.3">
      <c r="A59" s="9" t="s">
        <v>112</v>
      </c>
      <c r="B59" s="10" t="s">
        <v>481</v>
      </c>
      <c r="C59" s="10" t="s">
        <v>20</v>
      </c>
      <c r="D59" s="10" t="s">
        <v>30</v>
      </c>
      <c r="E59" s="10" t="s">
        <v>693</v>
      </c>
      <c r="F59" s="10" t="s">
        <v>694</v>
      </c>
      <c r="G59" s="10" t="s">
        <v>696</v>
      </c>
      <c r="H59" s="11">
        <v>561916053</v>
      </c>
      <c r="I59" s="11">
        <v>533234118.8535732</v>
      </c>
      <c r="J59" s="11">
        <v>276625441</v>
      </c>
      <c r="K59" s="11">
        <f>IFERROR(J59/$A$1*$B$1,0)</f>
        <v>286164249.31034487</v>
      </c>
      <c r="L59" s="18">
        <f>IFERROR(K59/I59,0)</f>
        <v>0.53665780037778488</v>
      </c>
      <c r="M59" s="18">
        <f>IFERROR((K59-H59)/H59,0)</f>
        <v>-0.49073487439529534</v>
      </c>
    </row>
    <row r="60" spans="1:13" x14ac:dyDescent="0.3">
      <c r="A60" s="9" t="s">
        <v>113</v>
      </c>
      <c r="B60" s="10" t="s">
        <v>482</v>
      </c>
      <c r="C60" s="10" t="s">
        <v>20</v>
      </c>
      <c r="D60" s="10" t="s">
        <v>30</v>
      </c>
      <c r="E60" s="10" t="s">
        <v>693</v>
      </c>
      <c r="F60" s="10" t="s">
        <v>694</v>
      </c>
      <c r="G60" s="10" t="s">
        <v>696</v>
      </c>
      <c r="H60" s="11">
        <v>433840546</v>
      </c>
      <c r="I60" s="11">
        <v>406921428.16529691</v>
      </c>
      <c r="J60" s="11">
        <v>281016602</v>
      </c>
      <c r="K60" s="11">
        <f t="shared" ref="K60:K63" si="7">IFERROR(J60/$A$1*$B$1,0)</f>
        <v>290706829.65517241</v>
      </c>
      <c r="L60" s="18">
        <f t="shared" ref="L60:L64" si="8">IFERROR(K60/I60,0)</f>
        <v>0.71440531152634068</v>
      </c>
      <c r="M60" s="18">
        <f t="shared" ref="M60:M64" si="9">IFERROR((K60-H60)/H60,0)</f>
        <v>-0.32992240505069709</v>
      </c>
    </row>
    <row r="61" spans="1:13" x14ac:dyDescent="0.3">
      <c r="A61" s="9" t="s">
        <v>114</v>
      </c>
      <c r="B61" s="10" t="s">
        <v>483</v>
      </c>
      <c r="C61" s="10" t="s">
        <v>22</v>
      </c>
      <c r="D61" s="10" t="s">
        <v>44</v>
      </c>
      <c r="E61" s="10" t="s">
        <v>693</v>
      </c>
      <c r="F61" s="10" t="s">
        <v>694</v>
      </c>
      <c r="G61" s="10" t="s">
        <v>698</v>
      </c>
      <c r="H61" s="11">
        <v>459994649</v>
      </c>
      <c r="I61" s="11">
        <v>438822027.75197566</v>
      </c>
      <c r="J61" s="11">
        <v>326346382</v>
      </c>
      <c r="K61" s="11">
        <f t="shared" si="7"/>
        <v>337599705.51724136</v>
      </c>
      <c r="L61" s="18">
        <f t="shared" si="8"/>
        <v>0.76933172030291597</v>
      </c>
      <c r="M61" s="18">
        <f t="shared" si="9"/>
        <v>-0.26607905928653236</v>
      </c>
    </row>
    <row r="62" spans="1:13" x14ac:dyDescent="0.3">
      <c r="A62" s="9" t="s">
        <v>115</v>
      </c>
      <c r="B62" s="10" t="s">
        <v>484</v>
      </c>
      <c r="C62" s="10" t="s">
        <v>22</v>
      </c>
      <c r="D62" s="10" t="s">
        <v>40</v>
      </c>
      <c r="E62" s="10" t="s">
        <v>693</v>
      </c>
      <c r="F62" s="10" t="s">
        <v>694</v>
      </c>
      <c r="G62" s="10" t="s">
        <v>698</v>
      </c>
      <c r="H62" s="11">
        <v>387466948</v>
      </c>
      <c r="I62" s="11">
        <v>444618860.42045563</v>
      </c>
      <c r="J62" s="11">
        <v>361147379</v>
      </c>
      <c r="K62" s="11">
        <f t="shared" si="7"/>
        <v>373600736.89655173</v>
      </c>
      <c r="L62" s="18">
        <f t="shared" si="8"/>
        <v>0.84027190511723837</v>
      </c>
      <c r="M62" s="18">
        <f t="shared" si="9"/>
        <v>-3.5786823043931666E-2</v>
      </c>
    </row>
    <row r="63" spans="1:13" x14ac:dyDescent="0.3">
      <c r="A63" s="9" t="s">
        <v>55</v>
      </c>
      <c r="B63" s="10" t="s">
        <v>426</v>
      </c>
      <c r="C63" s="10" t="s">
        <v>20</v>
      </c>
      <c r="D63" s="10" t="s">
        <v>36</v>
      </c>
      <c r="E63" s="10" t="s">
        <v>693</v>
      </c>
      <c r="F63" s="10" t="s">
        <v>694</v>
      </c>
      <c r="G63" s="10" t="s">
        <v>697</v>
      </c>
      <c r="H63" s="11">
        <v>1209551145</v>
      </c>
      <c r="I63" s="11">
        <v>1199242743.3918452</v>
      </c>
      <c r="J63" s="11">
        <v>921665993</v>
      </c>
      <c r="K63" s="11">
        <f t="shared" si="7"/>
        <v>953447578.96551728</v>
      </c>
      <c r="L63" s="18">
        <f t="shared" si="8"/>
        <v>0.79504135773951823</v>
      </c>
      <c r="M63" s="18">
        <f t="shared" si="9"/>
        <v>-0.21173438352991905</v>
      </c>
    </row>
    <row r="64" spans="1:13" x14ac:dyDescent="0.3">
      <c r="A64" s="5"/>
      <c r="B64" s="8"/>
      <c r="C64" s="8"/>
      <c r="D64" s="8"/>
      <c r="E64" s="8"/>
      <c r="F64" s="8"/>
      <c r="G64" s="8"/>
      <c r="H64" s="13">
        <f>SUM(H5:H63)</f>
        <v>38351770704</v>
      </c>
      <c r="I64" s="13">
        <f>SUM(I5:I63)</f>
        <v>38080101896.14315</v>
      </c>
      <c r="J64" s="13">
        <f>SUM(J5:J63)</f>
        <v>32505409073</v>
      </c>
      <c r="K64" s="13">
        <f>SUM(K5:K63)</f>
        <v>33626285247.931042</v>
      </c>
      <c r="L64" s="14">
        <f t="shared" si="8"/>
        <v>0.88304084216058254</v>
      </c>
      <c r="M64" s="14">
        <f t="shared" si="9"/>
        <v>-0.12321427066667619</v>
      </c>
    </row>
    <row r="77" spans="1:22" s="16" customFormat="1" ht="23.35" customHeigh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P77"/>
      <c r="Q77"/>
      <c r="R77"/>
      <c r="S77"/>
      <c r="T77"/>
      <c r="U77"/>
      <c r="V77"/>
    </row>
  </sheetData>
  <autoFilter ref="A4:M64" xr:uid="{60EBAEF1-B3ED-49C0-9A75-083393D4FE3D}"/>
  <mergeCells count="2">
    <mergeCell ref="A3:M3"/>
    <mergeCell ref="P3:V3"/>
  </mergeCells>
  <conditionalFormatting sqref="V5:V7 M5:M64 V10:V21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EE0-A100-43C2-BEBB-CF2C02E39BA9}">
  <dimension ref="A1:V197"/>
  <sheetViews>
    <sheetView showGridLines="0" zoomScale="68" zoomScaleNormal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8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5.6640625" customWidth="1"/>
    <col min="12" max="13" width="15.6640625" hidden="1" customWidth="1"/>
    <col min="14" max="15" width="0" hidden="1" customWidth="1"/>
    <col min="16" max="16" width="23" hidden="1" customWidth="1"/>
    <col min="17" max="19" width="16.44140625" hidden="1" customWidth="1"/>
    <col min="20" max="22" width="16.4414062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2" x14ac:dyDescent="0.3">
      <c r="A1" s="1">
        <v>29</v>
      </c>
      <c r="B1" s="1">
        <v>30</v>
      </c>
      <c r="G1" s="16"/>
      <c r="H1" s="16"/>
      <c r="I1" s="16"/>
      <c r="J1" s="16"/>
      <c r="K1" s="16"/>
    </row>
    <row r="2" spans="1:22" x14ac:dyDescent="0.3">
      <c r="A2" s="17"/>
      <c r="B2" s="17"/>
    </row>
    <row r="3" spans="1:22" s="4" customFormat="1" ht="23.5" customHeight="1" x14ac:dyDescent="0.3">
      <c r="A3" s="2" t="str">
        <f>"TELKOMSEL (01 - "&amp;A1&amp;" SEPTEMBER 2026)"</f>
        <v>TELKOMSEL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 t="str">
        <f>A3</f>
        <v>TELKOMSEL (01 - 29 SEPTEMBER 2026)</v>
      </c>
      <c r="Q3" s="2"/>
      <c r="R3" s="2"/>
      <c r="S3" s="2"/>
      <c r="T3" s="2"/>
      <c r="U3" s="2"/>
      <c r="V3" s="2"/>
    </row>
    <row r="4" spans="1:22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P4" s="8" t="s">
        <v>2</v>
      </c>
      <c r="Q4" s="8" t="s">
        <v>7</v>
      </c>
      <c r="R4" s="8" t="s">
        <v>8</v>
      </c>
      <c r="S4" s="8" t="s">
        <v>9</v>
      </c>
      <c r="T4" s="8" t="s">
        <v>10</v>
      </c>
      <c r="U4" s="8" t="s">
        <v>11</v>
      </c>
      <c r="V4" s="8" t="s">
        <v>12</v>
      </c>
    </row>
    <row r="5" spans="1:22" x14ac:dyDescent="0.3">
      <c r="A5" s="9" t="s">
        <v>25</v>
      </c>
      <c r="B5" s="10" t="s">
        <v>407</v>
      </c>
      <c r="C5" s="10" t="s">
        <v>20</v>
      </c>
      <c r="D5" s="10" t="s">
        <v>32</v>
      </c>
      <c r="E5" s="10" t="s">
        <v>693</v>
      </c>
      <c r="F5" s="10" t="s">
        <v>694</v>
      </c>
      <c r="G5" s="10" t="s">
        <v>696</v>
      </c>
      <c r="H5" s="11">
        <v>1845946</v>
      </c>
      <c r="I5" s="11">
        <v>5633991.0899999999</v>
      </c>
      <c r="J5" s="11">
        <v>900000</v>
      </c>
      <c r="K5" s="11">
        <f>IFERROR(J5/$A$1*$B$1,0)</f>
        <v>931034.48275862064</v>
      </c>
      <c r="L5" s="18">
        <f t="shared" ref="L5:L68" si="0">IFERROR((K5/I5),0)</f>
        <v>0.16525309818312486</v>
      </c>
      <c r="M5" s="18">
        <f t="shared" ref="M5:M68" si="1">IFERROR((K5-H5)/H5,0)</f>
        <v>-0.49563287183990179</v>
      </c>
      <c r="P5" s="10" t="s">
        <v>116</v>
      </c>
      <c r="Q5" s="11">
        <f t="shared" ref="Q5:T8" si="2">SUMIF($C:$C,$P5,H:H)</f>
        <v>1909008514</v>
      </c>
      <c r="R5" s="11">
        <f t="shared" si="2"/>
        <v>2817214320.0226669</v>
      </c>
      <c r="S5" s="11">
        <f t="shared" si="2"/>
        <v>1739582477</v>
      </c>
      <c r="T5" s="11">
        <f t="shared" si="2"/>
        <v>1799568079.6551723</v>
      </c>
      <c r="U5" s="18">
        <f>IFERROR((T5/R5),0)</f>
        <v>0.63877571076690154</v>
      </c>
      <c r="V5" s="18">
        <f>IFERROR((T5-Q5)/Q5,0)</f>
        <v>-5.7328416055889654E-2</v>
      </c>
    </row>
    <row r="6" spans="1:22" x14ac:dyDescent="0.3">
      <c r="A6" s="9" t="s">
        <v>117</v>
      </c>
      <c r="B6" s="10" t="s">
        <v>485</v>
      </c>
      <c r="C6" s="10" t="s">
        <v>20</v>
      </c>
      <c r="D6" s="10" t="s">
        <v>38</v>
      </c>
      <c r="E6" s="10" t="s">
        <v>693</v>
      </c>
      <c r="F6" s="10" t="s">
        <v>694</v>
      </c>
      <c r="G6" s="10" t="s">
        <v>696</v>
      </c>
      <c r="H6" s="11">
        <v>44669550</v>
      </c>
      <c r="I6" s="11">
        <v>40400000</v>
      </c>
      <c r="J6" s="11">
        <v>33239100</v>
      </c>
      <c r="K6" s="11">
        <f t="shared" ref="K6:K69" si="3">IFERROR(J6/$A$1*$B$1,0)</f>
        <v>34385275.862068966</v>
      </c>
      <c r="L6" s="18">
        <f t="shared" si="0"/>
        <v>0.8511206896551724</v>
      </c>
      <c r="M6" s="18">
        <f t="shared" si="1"/>
        <v>-0.23023008151931312</v>
      </c>
      <c r="P6" s="10" t="s">
        <v>20</v>
      </c>
      <c r="Q6" s="11">
        <f t="shared" si="2"/>
        <v>348688473</v>
      </c>
      <c r="R6" s="11">
        <f t="shared" si="2"/>
        <v>513002318.27400005</v>
      </c>
      <c r="S6" s="11">
        <f t="shared" si="2"/>
        <v>288866310</v>
      </c>
      <c r="T6" s="11">
        <f t="shared" si="2"/>
        <v>298827217.24137926</v>
      </c>
      <c r="U6" s="18">
        <f>IFERROR((T6/R6),0)</f>
        <v>0.58250656302448212</v>
      </c>
      <c r="V6" s="18">
        <f>IFERROR((T6-Q6)/Q6,0)</f>
        <v>-0.14299657034725302</v>
      </c>
    </row>
    <row r="7" spans="1:22" x14ac:dyDescent="0.3">
      <c r="A7" s="9" t="s">
        <v>47</v>
      </c>
      <c r="B7" s="10" t="s">
        <v>419</v>
      </c>
      <c r="C7" s="10" t="s">
        <v>20</v>
      </c>
      <c r="D7" s="10" t="s">
        <v>38</v>
      </c>
      <c r="E7" s="10" t="s">
        <v>693</v>
      </c>
      <c r="F7" s="10" t="s">
        <v>694</v>
      </c>
      <c r="G7" s="10" t="s">
        <v>696</v>
      </c>
      <c r="H7" s="11">
        <v>18819550</v>
      </c>
      <c r="I7" s="11">
        <v>64579550.490000002</v>
      </c>
      <c r="J7" s="11">
        <v>8647750</v>
      </c>
      <c r="K7" s="11">
        <f t="shared" si="3"/>
        <v>8945948.2758620698</v>
      </c>
      <c r="L7" s="18">
        <f t="shared" si="0"/>
        <v>0.13852602268031161</v>
      </c>
      <c r="M7" s="18">
        <f t="shared" si="1"/>
        <v>-0.52464600503933034</v>
      </c>
      <c r="P7" s="10" t="s">
        <v>118</v>
      </c>
      <c r="Q7" s="11">
        <f t="shared" si="2"/>
        <v>790366081</v>
      </c>
      <c r="R7" s="11">
        <f t="shared" si="2"/>
        <v>855993598.50480604</v>
      </c>
      <c r="S7" s="11">
        <f t="shared" si="2"/>
        <v>443387919</v>
      </c>
      <c r="T7" s="11">
        <f t="shared" si="2"/>
        <v>458677157.58620685</v>
      </c>
      <c r="U7" s="18">
        <f>IFERROR((T7/R7),0)</f>
        <v>0.53584180814832527</v>
      </c>
      <c r="V7" s="18">
        <f>IFERROR((T7-Q7)/Q7,0)</f>
        <v>-0.41966492665541544</v>
      </c>
    </row>
    <row r="8" spans="1:22" x14ac:dyDescent="0.3">
      <c r="A8" s="9" t="s">
        <v>119</v>
      </c>
      <c r="B8" s="10" t="s">
        <v>486</v>
      </c>
      <c r="C8" s="10" t="s">
        <v>20</v>
      </c>
      <c r="D8" s="10" t="s">
        <v>34</v>
      </c>
      <c r="E8" s="10" t="s">
        <v>693</v>
      </c>
      <c r="F8" s="10" t="s">
        <v>694</v>
      </c>
      <c r="G8" s="10" t="s">
        <v>697</v>
      </c>
      <c r="H8" s="11">
        <v>5450000</v>
      </c>
      <c r="I8" s="11">
        <v>6195653.0999999996</v>
      </c>
      <c r="J8" s="11">
        <v>3900000</v>
      </c>
      <c r="K8" s="11">
        <f t="shared" si="3"/>
        <v>4034482.7586206896</v>
      </c>
      <c r="L8" s="18">
        <f t="shared" si="0"/>
        <v>0.65117957598702381</v>
      </c>
      <c r="M8" s="18">
        <f t="shared" si="1"/>
        <v>-0.25972793419803858</v>
      </c>
      <c r="P8" s="10" t="s">
        <v>22</v>
      </c>
      <c r="Q8" s="11">
        <f t="shared" si="2"/>
        <v>255377931</v>
      </c>
      <c r="R8" s="11">
        <f t="shared" si="2"/>
        <v>502152507.80800021</v>
      </c>
      <c r="S8" s="11">
        <f t="shared" si="2"/>
        <v>227364692</v>
      </c>
      <c r="T8" s="11">
        <f t="shared" si="2"/>
        <v>235204853.79310349</v>
      </c>
      <c r="U8" s="18">
        <f>IFERROR((T8/R8),0)</f>
        <v>0.46839326725623942</v>
      </c>
      <c r="V8" s="18">
        <f>IFERROR((T8-Q8)/Q8,0)</f>
        <v>-7.8993032514217187E-2</v>
      </c>
    </row>
    <row r="9" spans="1:22" x14ac:dyDescent="0.3">
      <c r="A9" s="9" t="s">
        <v>120</v>
      </c>
      <c r="B9" s="10" t="s">
        <v>487</v>
      </c>
      <c r="C9" s="10" t="s">
        <v>20</v>
      </c>
      <c r="D9" s="10" t="s">
        <v>36</v>
      </c>
      <c r="E9" s="10" t="s">
        <v>693</v>
      </c>
      <c r="F9" s="10" t="s">
        <v>694</v>
      </c>
      <c r="G9" s="10" t="s">
        <v>697</v>
      </c>
      <c r="H9" s="11">
        <v>5050000</v>
      </c>
      <c r="I9" s="11">
        <v>6369363</v>
      </c>
      <c r="J9" s="11">
        <v>1650000</v>
      </c>
      <c r="K9" s="11">
        <f t="shared" si="3"/>
        <v>1706896.5517241377</v>
      </c>
      <c r="L9" s="18">
        <f t="shared" si="0"/>
        <v>0.26798544088696746</v>
      </c>
      <c r="M9" s="18">
        <f t="shared" si="1"/>
        <v>-0.66200068282690339</v>
      </c>
      <c r="P9" s="5" t="s">
        <v>67</v>
      </c>
      <c r="Q9" s="13">
        <f>SUM(Q5:Q8)</f>
        <v>3303440999</v>
      </c>
      <c r="R9" s="13">
        <f>SUM(R5:R8)</f>
        <v>4688362744.6094732</v>
      </c>
      <c r="S9" s="13">
        <f>SUM(S5:S8)</f>
        <v>2699201398</v>
      </c>
      <c r="T9" s="13">
        <f>SUM(T5:T8)</f>
        <v>2792277308.2758622</v>
      </c>
      <c r="U9" s="14">
        <f>IFERROR((T9/R9),0)</f>
        <v>0.59557620866395877</v>
      </c>
      <c r="V9" s="19">
        <f>IFERROR((T9-Q9)/Q9,0)</f>
        <v>-0.15473673992629944</v>
      </c>
    </row>
    <row r="10" spans="1:22" x14ac:dyDescent="0.3">
      <c r="A10" s="9" t="s">
        <v>56</v>
      </c>
      <c r="B10" s="10" t="s">
        <v>427</v>
      </c>
      <c r="C10" s="10" t="s">
        <v>22</v>
      </c>
      <c r="D10" s="10" t="s">
        <v>48</v>
      </c>
      <c r="E10" s="10" t="s">
        <v>693</v>
      </c>
      <c r="F10" s="10" t="s">
        <v>694</v>
      </c>
      <c r="G10" s="10" t="s">
        <v>699</v>
      </c>
      <c r="H10" s="11">
        <v>0</v>
      </c>
      <c r="I10" s="11">
        <v>8859204.9000000004</v>
      </c>
      <c r="J10" s="11">
        <v>0</v>
      </c>
      <c r="K10" s="11">
        <f t="shared" si="3"/>
        <v>0</v>
      </c>
      <c r="L10" s="18">
        <f t="shared" si="0"/>
        <v>0</v>
      </c>
      <c r="M10" s="18">
        <f t="shared" si="1"/>
        <v>0</v>
      </c>
    </row>
    <row r="11" spans="1:22" x14ac:dyDescent="0.3">
      <c r="A11" s="9" t="s">
        <v>121</v>
      </c>
      <c r="B11" s="10" t="s">
        <v>488</v>
      </c>
      <c r="C11" s="10" t="s">
        <v>20</v>
      </c>
      <c r="D11" s="10" t="s">
        <v>36</v>
      </c>
      <c r="E11" s="10" t="s">
        <v>693</v>
      </c>
      <c r="F11" s="10" t="s">
        <v>694</v>
      </c>
      <c r="G11" s="10" t="s">
        <v>697</v>
      </c>
      <c r="H11" s="11">
        <v>2500000</v>
      </c>
      <c r="I11" s="11">
        <v>5021374.1760000009</v>
      </c>
      <c r="J11" s="11">
        <v>2000000</v>
      </c>
      <c r="K11" s="11">
        <f t="shared" si="3"/>
        <v>2068965.5172413792</v>
      </c>
      <c r="L11" s="18">
        <f t="shared" si="0"/>
        <v>0.41203173568106927</v>
      </c>
      <c r="M11" s="18">
        <f t="shared" si="1"/>
        <v>-0.17241379310344832</v>
      </c>
      <c r="P11" s="8" t="s">
        <v>3</v>
      </c>
      <c r="Q11" s="8" t="s">
        <v>7</v>
      </c>
      <c r="R11" s="8" t="s">
        <v>8</v>
      </c>
      <c r="S11" s="8" t="s">
        <v>9</v>
      </c>
      <c r="T11" s="8" t="s">
        <v>10</v>
      </c>
      <c r="U11" s="8" t="s">
        <v>11</v>
      </c>
      <c r="V11" s="8" t="s">
        <v>12</v>
      </c>
    </row>
    <row r="12" spans="1:22" x14ac:dyDescent="0.3">
      <c r="A12" s="9" t="s">
        <v>60</v>
      </c>
      <c r="B12" s="10" t="s">
        <v>431</v>
      </c>
      <c r="C12" s="10" t="s">
        <v>22</v>
      </c>
      <c r="D12" s="10" t="s">
        <v>46</v>
      </c>
      <c r="E12" s="10" t="s">
        <v>693</v>
      </c>
      <c r="F12" s="10" t="s">
        <v>694</v>
      </c>
      <c r="G12" s="10" t="s">
        <v>700</v>
      </c>
      <c r="H12" s="11">
        <v>550000</v>
      </c>
      <c r="I12" s="11">
        <v>5037587.0999999996</v>
      </c>
      <c r="J12" s="11">
        <v>2000000</v>
      </c>
      <c r="K12" s="11">
        <f t="shared" si="3"/>
        <v>2068965.5172413792</v>
      </c>
      <c r="L12" s="18">
        <f t="shared" si="0"/>
        <v>0.41070565653175095</v>
      </c>
      <c r="M12" s="18">
        <f t="shared" si="1"/>
        <v>2.761755485893417</v>
      </c>
      <c r="P12" s="10" t="s">
        <v>28</v>
      </c>
      <c r="Q12" s="11">
        <f t="shared" ref="Q12:T31" si="4">SUMIF($D:$D,$P12,H:H)</f>
        <v>12147748</v>
      </c>
      <c r="R12" s="11">
        <f t="shared" si="4"/>
        <v>46103439.699999996</v>
      </c>
      <c r="S12" s="11">
        <f t="shared" si="4"/>
        <v>11860000</v>
      </c>
      <c r="T12" s="11">
        <f t="shared" si="4"/>
        <v>12268965.517241379</v>
      </c>
      <c r="U12" s="18">
        <f t="shared" ref="U12:U32" si="5">IFERROR((T12/R12),0)</f>
        <v>0.26611822452027112</v>
      </c>
      <c r="V12" s="18">
        <f t="shared" ref="V12:V32" si="6">IFERROR((T12-Q12)/Q12,0)</f>
        <v>9.978599921679248E-3</v>
      </c>
    </row>
    <row r="13" spans="1:22" x14ac:dyDescent="0.3">
      <c r="A13" s="9" t="s">
        <v>63</v>
      </c>
      <c r="B13" s="10" t="s">
        <v>434</v>
      </c>
      <c r="C13" s="10" t="s">
        <v>22</v>
      </c>
      <c r="D13" s="10" t="s">
        <v>42</v>
      </c>
      <c r="E13" s="10" t="s">
        <v>693</v>
      </c>
      <c r="F13" s="10" t="s">
        <v>694</v>
      </c>
      <c r="G13" s="10" t="s">
        <v>699</v>
      </c>
      <c r="H13" s="11">
        <v>34990000</v>
      </c>
      <c r="I13" s="11">
        <v>23682449.699999999</v>
      </c>
      <c r="J13" s="11">
        <v>34800000</v>
      </c>
      <c r="K13" s="11">
        <f t="shared" si="3"/>
        <v>36000000</v>
      </c>
      <c r="L13" s="18">
        <f t="shared" si="0"/>
        <v>1.5201130143221628</v>
      </c>
      <c r="M13" s="18">
        <f t="shared" si="1"/>
        <v>2.8865390111460418E-2</v>
      </c>
      <c r="P13" s="10" t="s">
        <v>48</v>
      </c>
      <c r="Q13" s="11">
        <f t="shared" si="4"/>
        <v>27618920</v>
      </c>
      <c r="R13" s="11">
        <f t="shared" si="4"/>
        <v>112136688.846</v>
      </c>
      <c r="S13" s="11">
        <f t="shared" si="4"/>
        <v>30880000</v>
      </c>
      <c r="T13" s="11">
        <f t="shared" si="4"/>
        <v>31944827.586206898</v>
      </c>
      <c r="U13" s="18">
        <f t="shared" si="5"/>
        <v>0.28487400435086407</v>
      </c>
      <c r="V13" s="18">
        <f t="shared" si="6"/>
        <v>0.15662841219739576</v>
      </c>
    </row>
    <row r="14" spans="1:22" x14ac:dyDescent="0.3">
      <c r="A14" s="9" t="s">
        <v>122</v>
      </c>
      <c r="B14" s="10" t="s">
        <v>489</v>
      </c>
      <c r="C14" s="10" t="s">
        <v>22</v>
      </c>
      <c r="D14" s="10" t="s">
        <v>44</v>
      </c>
      <c r="E14" s="10" t="s">
        <v>693</v>
      </c>
      <c r="F14" s="10" t="s">
        <v>694</v>
      </c>
      <c r="G14" s="10" t="s">
        <v>698</v>
      </c>
      <c r="H14" s="11">
        <v>17519550</v>
      </c>
      <c r="I14" s="11">
        <v>10480497.300000001</v>
      </c>
      <c r="J14" s="11">
        <v>8460000</v>
      </c>
      <c r="K14" s="11">
        <f t="shared" si="3"/>
        <v>8751724.137931034</v>
      </c>
      <c r="L14" s="18">
        <f t="shared" si="0"/>
        <v>0.83504855613397599</v>
      </c>
      <c r="M14" s="18">
        <f t="shared" si="1"/>
        <v>-0.5004595358938424</v>
      </c>
      <c r="P14" s="10" t="s">
        <v>123</v>
      </c>
      <c r="Q14" s="11">
        <f t="shared" si="4"/>
        <v>174378315</v>
      </c>
      <c r="R14" s="11">
        <f t="shared" si="4"/>
        <v>179196320</v>
      </c>
      <c r="S14" s="11">
        <f t="shared" si="4"/>
        <v>122156512</v>
      </c>
      <c r="T14" s="11">
        <f t="shared" si="4"/>
        <v>126368805.51724139</v>
      </c>
      <c r="U14" s="18">
        <f t="shared" si="5"/>
        <v>0.70519754823782865</v>
      </c>
      <c r="V14" s="18">
        <f t="shared" si="6"/>
        <v>-0.27531811786780147</v>
      </c>
    </row>
    <row r="15" spans="1:22" x14ac:dyDescent="0.3">
      <c r="A15" s="9" t="s">
        <v>124</v>
      </c>
      <c r="B15" s="10" t="s">
        <v>490</v>
      </c>
      <c r="C15" s="10" t="s">
        <v>22</v>
      </c>
      <c r="D15" s="10" t="s">
        <v>42</v>
      </c>
      <c r="E15" s="10" t="s">
        <v>693</v>
      </c>
      <c r="F15" s="10" t="s">
        <v>694</v>
      </c>
      <c r="G15" s="10" t="s">
        <v>699</v>
      </c>
      <c r="H15" s="11">
        <v>1000000</v>
      </c>
      <c r="I15" s="11">
        <v>6253556.4000000004</v>
      </c>
      <c r="J15" s="11">
        <v>3500000</v>
      </c>
      <c r="K15" s="11">
        <f t="shared" si="3"/>
        <v>3620689.6551724141</v>
      </c>
      <c r="L15" s="18">
        <f t="shared" si="0"/>
        <v>0.57898089080517667</v>
      </c>
      <c r="M15" s="18">
        <f t="shared" si="1"/>
        <v>2.6206896551724141</v>
      </c>
      <c r="P15" s="10" t="s">
        <v>42</v>
      </c>
      <c r="Q15" s="11">
        <f t="shared" si="4"/>
        <v>43759550</v>
      </c>
      <c r="R15" s="11">
        <f t="shared" si="4"/>
        <v>87654376.715999991</v>
      </c>
      <c r="S15" s="11">
        <f t="shared" si="4"/>
        <v>54708650</v>
      </c>
      <c r="T15" s="11">
        <f t="shared" si="4"/>
        <v>56595155.172413781</v>
      </c>
      <c r="U15" s="18">
        <f t="shared" si="5"/>
        <v>0.64566262738690128</v>
      </c>
      <c r="V15" s="18">
        <f t="shared" si="6"/>
        <v>0.29332123324882869</v>
      </c>
    </row>
    <row r="16" spans="1:22" x14ac:dyDescent="0.3">
      <c r="A16" s="9" t="s">
        <v>125</v>
      </c>
      <c r="B16" s="10" t="s">
        <v>491</v>
      </c>
      <c r="C16" s="10" t="s">
        <v>22</v>
      </c>
      <c r="D16" s="10" t="s">
        <v>42</v>
      </c>
      <c r="E16" s="10" t="s">
        <v>693</v>
      </c>
      <c r="F16" s="10" t="s">
        <v>694</v>
      </c>
      <c r="G16" s="10" t="s">
        <v>698</v>
      </c>
      <c r="H16" s="11">
        <v>6869550</v>
      </c>
      <c r="I16" s="11">
        <v>30300000</v>
      </c>
      <c r="J16" s="11">
        <v>10789100</v>
      </c>
      <c r="K16" s="11">
        <f t="shared" si="3"/>
        <v>11161137.931034483</v>
      </c>
      <c r="L16" s="18">
        <f t="shared" si="0"/>
        <v>0.36835438716285424</v>
      </c>
      <c r="M16" s="18">
        <f t="shared" si="1"/>
        <v>0.62472620929092637</v>
      </c>
      <c r="P16" s="10" t="s">
        <v>38</v>
      </c>
      <c r="Q16" s="11">
        <f t="shared" si="4"/>
        <v>103939100</v>
      </c>
      <c r="R16" s="11">
        <f t="shared" si="4"/>
        <v>146718565.26199999</v>
      </c>
      <c r="S16" s="11">
        <f t="shared" si="4"/>
        <v>88981896</v>
      </c>
      <c r="T16" s="11">
        <f t="shared" si="4"/>
        <v>92050237.241379321</v>
      </c>
      <c r="U16" s="18">
        <f t="shared" si="5"/>
        <v>0.62739324827094844</v>
      </c>
      <c r="V16" s="18">
        <f t="shared" si="6"/>
        <v>-0.11438296809016703</v>
      </c>
    </row>
    <row r="17" spans="1:22" x14ac:dyDescent="0.3">
      <c r="A17" s="9" t="s">
        <v>126</v>
      </c>
      <c r="B17" s="10" t="s">
        <v>492</v>
      </c>
      <c r="C17" s="10" t="s">
        <v>20</v>
      </c>
      <c r="D17" s="10" t="s">
        <v>34</v>
      </c>
      <c r="E17" s="10" t="s">
        <v>693</v>
      </c>
      <c r="F17" s="10" t="s">
        <v>694</v>
      </c>
      <c r="G17" s="10" t="s">
        <v>697</v>
      </c>
      <c r="H17" s="11">
        <v>5500000</v>
      </c>
      <c r="I17" s="11">
        <v>4111134.3</v>
      </c>
      <c r="J17" s="11">
        <v>2000000</v>
      </c>
      <c r="K17" s="11">
        <f t="shared" si="3"/>
        <v>2068965.5172413792</v>
      </c>
      <c r="L17" s="18">
        <f t="shared" si="0"/>
        <v>0.50325904391918774</v>
      </c>
      <c r="M17" s="18">
        <f t="shared" si="1"/>
        <v>-0.62382445141065834</v>
      </c>
      <c r="P17" s="10" t="s">
        <v>32</v>
      </c>
      <c r="Q17" s="11">
        <f t="shared" si="4"/>
        <v>31021172</v>
      </c>
      <c r="R17" s="11">
        <f t="shared" si="4"/>
        <v>36785966.489999995</v>
      </c>
      <c r="S17" s="11">
        <f t="shared" si="4"/>
        <v>23359099</v>
      </c>
      <c r="T17" s="11">
        <f t="shared" si="4"/>
        <v>24164585.172413796</v>
      </c>
      <c r="U17" s="18">
        <f t="shared" si="5"/>
        <v>0.65689684078255139</v>
      </c>
      <c r="V17" s="18">
        <f t="shared" si="6"/>
        <v>-0.22102926438711612</v>
      </c>
    </row>
    <row r="18" spans="1:22" x14ac:dyDescent="0.3">
      <c r="A18" s="9" t="s">
        <v>64</v>
      </c>
      <c r="B18" s="10" t="s">
        <v>435</v>
      </c>
      <c r="C18" s="10" t="s">
        <v>20</v>
      </c>
      <c r="D18" s="10" t="s">
        <v>34</v>
      </c>
      <c r="E18" s="10" t="s">
        <v>693</v>
      </c>
      <c r="F18" s="10" t="s">
        <v>694</v>
      </c>
      <c r="G18" s="10" t="s">
        <v>697</v>
      </c>
      <c r="H18" s="11">
        <v>23250000</v>
      </c>
      <c r="I18" s="11">
        <v>50500000</v>
      </c>
      <c r="J18" s="11">
        <v>16700000</v>
      </c>
      <c r="K18" s="11">
        <f t="shared" si="3"/>
        <v>17275862.068965517</v>
      </c>
      <c r="L18" s="18">
        <f t="shared" si="0"/>
        <v>0.3420962785933766</v>
      </c>
      <c r="M18" s="18">
        <f t="shared" si="1"/>
        <v>-0.25695216907675195</v>
      </c>
      <c r="P18" s="10" t="s">
        <v>36</v>
      </c>
      <c r="Q18" s="11">
        <f t="shared" si="4"/>
        <v>20858650</v>
      </c>
      <c r="R18" s="11">
        <f t="shared" si="4"/>
        <v>44106101.675999999</v>
      </c>
      <c r="S18" s="11">
        <f t="shared" si="4"/>
        <v>23839100</v>
      </c>
      <c r="T18" s="11">
        <f t="shared" si="4"/>
        <v>24661137.931034487</v>
      </c>
      <c r="U18" s="18">
        <f t="shared" si="5"/>
        <v>0.55913211537472285</v>
      </c>
      <c r="V18" s="18">
        <f t="shared" si="6"/>
        <v>0.1822978922909434</v>
      </c>
    </row>
    <row r="19" spans="1:22" x14ac:dyDescent="0.3">
      <c r="A19" s="9" t="s">
        <v>127</v>
      </c>
      <c r="B19" s="10" t="s">
        <v>493</v>
      </c>
      <c r="C19" s="10" t="s">
        <v>22</v>
      </c>
      <c r="D19" s="10" t="s">
        <v>28</v>
      </c>
      <c r="E19" s="10" t="s">
        <v>693</v>
      </c>
      <c r="F19" s="10" t="s">
        <v>694</v>
      </c>
      <c r="G19" s="10" t="s">
        <v>695</v>
      </c>
      <c r="H19" s="11">
        <v>11035135</v>
      </c>
      <c r="I19" s="11">
        <v>15112761.300000001</v>
      </c>
      <c r="J19" s="11">
        <v>5600000</v>
      </c>
      <c r="K19" s="11">
        <f t="shared" si="3"/>
        <v>5793103.4482758613</v>
      </c>
      <c r="L19" s="18">
        <f t="shared" si="0"/>
        <v>0.38332527942963412</v>
      </c>
      <c r="M19" s="18">
        <f t="shared" si="1"/>
        <v>-0.47503103058767643</v>
      </c>
      <c r="P19" s="10" t="s">
        <v>34</v>
      </c>
      <c r="Q19" s="11">
        <f t="shared" si="4"/>
        <v>78679550</v>
      </c>
      <c r="R19" s="11">
        <f t="shared" si="4"/>
        <v>150643757.34999999</v>
      </c>
      <c r="S19" s="11">
        <f t="shared" si="4"/>
        <v>39975000</v>
      </c>
      <c r="T19" s="11">
        <f t="shared" si="4"/>
        <v>41353448.275862075</v>
      </c>
      <c r="U19" s="18">
        <f t="shared" si="5"/>
        <v>0.27451152973955001</v>
      </c>
      <c r="V19" s="18">
        <f t="shared" si="6"/>
        <v>-0.47440664981101094</v>
      </c>
    </row>
    <row r="20" spans="1:22" x14ac:dyDescent="0.3">
      <c r="A20" s="9" t="s">
        <v>59</v>
      </c>
      <c r="B20" s="10" t="s">
        <v>430</v>
      </c>
      <c r="C20" s="10" t="s">
        <v>20</v>
      </c>
      <c r="D20" s="10" t="s">
        <v>36</v>
      </c>
      <c r="E20" s="10" t="s">
        <v>693</v>
      </c>
      <c r="F20" s="10" t="s">
        <v>694</v>
      </c>
      <c r="G20" s="10" t="s">
        <v>697</v>
      </c>
      <c r="H20" s="11">
        <v>9158650</v>
      </c>
      <c r="I20" s="11">
        <v>12507112.800000001</v>
      </c>
      <c r="J20" s="11">
        <v>8489100</v>
      </c>
      <c r="K20" s="11">
        <f t="shared" si="3"/>
        <v>8781827.5862068981</v>
      </c>
      <c r="L20" s="18">
        <f t="shared" si="0"/>
        <v>0.70214666859060371</v>
      </c>
      <c r="M20" s="18">
        <f t="shared" si="1"/>
        <v>-4.1143881881401945E-2</v>
      </c>
      <c r="P20" s="10" t="s">
        <v>46</v>
      </c>
      <c r="Q20" s="11">
        <f t="shared" si="4"/>
        <v>16432072</v>
      </c>
      <c r="R20" s="11">
        <f t="shared" si="4"/>
        <v>43926601.445999995</v>
      </c>
      <c r="S20" s="11">
        <f t="shared" si="4"/>
        <v>25024688</v>
      </c>
      <c r="T20" s="11">
        <f t="shared" si="4"/>
        <v>25887608.27586206</v>
      </c>
      <c r="U20" s="18">
        <f t="shared" si="5"/>
        <v>0.58933783683871621</v>
      </c>
      <c r="V20" s="18">
        <f t="shared" si="6"/>
        <v>0.57543177000819257</v>
      </c>
    </row>
    <row r="21" spans="1:22" x14ac:dyDescent="0.3">
      <c r="A21" s="9" t="s">
        <v>57</v>
      </c>
      <c r="B21" s="10" t="s">
        <v>428</v>
      </c>
      <c r="C21" s="10" t="s">
        <v>22</v>
      </c>
      <c r="D21" s="10" t="s">
        <v>46</v>
      </c>
      <c r="E21" s="10" t="s">
        <v>693</v>
      </c>
      <c r="F21" s="10" t="s">
        <v>694</v>
      </c>
      <c r="G21" s="10" t="s">
        <v>700</v>
      </c>
      <c r="H21" s="11">
        <v>3269550</v>
      </c>
      <c r="I21" s="11">
        <v>6877753.9740000004</v>
      </c>
      <c r="J21" s="11">
        <v>12100000</v>
      </c>
      <c r="K21" s="11">
        <f t="shared" si="3"/>
        <v>12517241.379310343</v>
      </c>
      <c r="L21" s="18">
        <f t="shared" si="0"/>
        <v>1.8199606189214268</v>
      </c>
      <c r="M21" s="18">
        <f t="shared" si="1"/>
        <v>2.82842941056425</v>
      </c>
      <c r="P21" s="10" t="s">
        <v>40</v>
      </c>
      <c r="Q21" s="11">
        <f t="shared" si="4"/>
        <v>4596486</v>
      </c>
      <c r="R21" s="11">
        <f t="shared" si="4"/>
        <v>40416503.400000006</v>
      </c>
      <c r="S21" s="11">
        <f t="shared" si="4"/>
        <v>1420001</v>
      </c>
      <c r="T21" s="11">
        <f t="shared" si="4"/>
        <v>1468966.551724138</v>
      </c>
      <c r="U21" s="18">
        <f t="shared" si="5"/>
        <v>3.6345710988054891E-2</v>
      </c>
      <c r="V21" s="18">
        <f t="shared" si="6"/>
        <v>-0.6804153103644528</v>
      </c>
    </row>
    <row r="22" spans="1:22" x14ac:dyDescent="0.3">
      <c r="A22" s="9" t="s">
        <v>33</v>
      </c>
      <c r="B22" s="10" t="s">
        <v>412</v>
      </c>
      <c r="C22" s="10" t="s">
        <v>20</v>
      </c>
      <c r="D22" s="10" t="s">
        <v>30</v>
      </c>
      <c r="E22" s="10" t="s">
        <v>693</v>
      </c>
      <c r="F22" s="10" t="s">
        <v>694</v>
      </c>
      <c r="G22" s="10" t="s">
        <v>696</v>
      </c>
      <c r="H22" s="11">
        <v>3600000</v>
      </c>
      <c r="I22" s="11">
        <v>9438237.9000000004</v>
      </c>
      <c r="J22" s="11">
        <v>3600000</v>
      </c>
      <c r="K22" s="11">
        <f t="shared" si="3"/>
        <v>3724137.9310344825</v>
      </c>
      <c r="L22" s="18">
        <f t="shared" si="0"/>
        <v>0.39457979026301959</v>
      </c>
      <c r="M22" s="18">
        <f t="shared" si="1"/>
        <v>3.4482758620689599E-2</v>
      </c>
      <c r="P22" s="10" t="s">
        <v>30</v>
      </c>
      <c r="Q22" s="11">
        <f t="shared" si="4"/>
        <v>114190001</v>
      </c>
      <c r="R22" s="11">
        <f t="shared" si="4"/>
        <v>134747927.49599999</v>
      </c>
      <c r="S22" s="11">
        <f t="shared" si="4"/>
        <v>112711215</v>
      </c>
      <c r="T22" s="11">
        <f t="shared" si="4"/>
        <v>116597808.62068968</v>
      </c>
      <c r="U22" s="18">
        <f t="shared" si="5"/>
        <v>0.86530316857118927</v>
      </c>
      <c r="V22" s="18">
        <f t="shared" si="6"/>
        <v>2.1085976001433568E-2</v>
      </c>
    </row>
    <row r="23" spans="1:22" x14ac:dyDescent="0.3">
      <c r="A23" s="9" t="s">
        <v>54</v>
      </c>
      <c r="B23" s="10" t="s">
        <v>425</v>
      </c>
      <c r="C23" s="10" t="s">
        <v>22</v>
      </c>
      <c r="D23" s="10" t="s">
        <v>48</v>
      </c>
      <c r="E23" s="10" t="s">
        <v>693</v>
      </c>
      <c r="F23" s="10" t="s">
        <v>694</v>
      </c>
      <c r="G23" s="10" t="s">
        <v>699</v>
      </c>
      <c r="H23" s="11">
        <v>0</v>
      </c>
      <c r="I23" s="11">
        <v>3937424.4</v>
      </c>
      <c r="J23" s="11">
        <v>1550000</v>
      </c>
      <c r="K23" s="11">
        <f t="shared" si="3"/>
        <v>1603448.2758620689</v>
      </c>
      <c r="L23" s="18">
        <f t="shared" si="0"/>
        <v>0.40723277781843098</v>
      </c>
      <c r="M23" s="18">
        <f t="shared" si="1"/>
        <v>0</v>
      </c>
      <c r="P23" s="10" t="s">
        <v>44</v>
      </c>
      <c r="Q23" s="11">
        <f t="shared" si="4"/>
        <v>150823155</v>
      </c>
      <c r="R23" s="11">
        <f t="shared" si="4"/>
        <v>171914897.70000002</v>
      </c>
      <c r="S23" s="11">
        <f t="shared" si="4"/>
        <v>103471353</v>
      </c>
      <c r="T23" s="11">
        <f t="shared" si="4"/>
        <v>107039330.68965518</v>
      </c>
      <c r="U23" s="18">
        <f t="shared" si="5"/>
        <v>0.62262975531326026</v>
      </c>
      <c r="V23" s="18">
        <f t="shared" si="6"/>
        <v>-0.29029908776503727</v>
      </c>
    </row>
    <row r="24" spans="1:22" x14ac:dyDescent="0.3">
      <c r="A24" s="9" t="s">
        <v>21</v>
      </c>
      <c r="B24" s="10" t="s">
        <v>405</v>
      </c>
      <c r="C24" s="10" t="s">
        <v>20</v>
      </c>
      <c r="D24" s="10" t="s">
        <v>30</v>
      </c>
      <c r="E24" s="10" t="s">
        <v>693</v>
      </c>
      <c r="F24" s="10" t="s">
        <v>694</v>
      </c>
      <c r="G24" s="10" t="s">
        <v>696</v>
      </c>
      <c r="H24" s="11">
        <v>32879100</v>
      </c>
      <c r="I24" s="11">
        <v>31036168.800000001</v>
      </c>
      <c r="J24" s="11">
        <v>35850000</v>
      </c>
      <c r="K24" s="11">
        <f t="shared" si="3"/>
        <v>37086206.896551721</v>
      </c>
      <c r="L24" s="18">
        <f t="shared" si="0"/>
        <v>1.1949350815668884</v>
      </c>
      <c r="M24" s="18">
        <f t="shared" si="1"/>
        <v>0.12795687523538421</v>
      </c>
      <c r="P24" s="10" t="s">
        <v>128</v>
      </c>
      <c r="Q24" s="11">
        <f t="shared" si="4"/>
        <v>5080000</v>
      </c>
      <c r="R24" s="11">
        <f t="shared" si="4"/>
        <v>63693630</v>
      </c>
      <c r="S24" s="11">
        <f t="shared" si="4"/>
        <v>9100000</v>
      </c>
      <c r="T24" s="11">
        <f t="shared" si="4"/>
        <v>9413793.1034482755</v>
      </c>
      <c r="U24" s="18">
        <f t="shared" si="5"/>
        <v>0.14779803103463054</v>
      </c>
      <c r="V24" s="18">
        <f t="shared" si="6"/>
        <v>0.85310887863155027</v>
      </c>
    </row>
    <row r="25" spans="1:22" x14ac:dyDescent="0.3">
      <c r="A25" s="9" t="s">
        <v>23</v>
      </c>
      <c r="B25" s="10" t="s">
        <v>406</v>
      </c>
      <c r="C25" s="10" t="s">
        <v>20</v>
      </c>
      <c r="D25" s="10" t="s">
        <v>30</v>
      </c>
      <c r="E25" s="10" t="s">
        <v>693</v>
      </c>
      <c r="F25" s="10" t="s">
        <v>694</v>
      </c>
      <c r="G25" s="10" t="s">
        <v>696</v>
      </c>
      <c r="H25" s="11">
        <v>4559910</v>
      </c>
      <c r="I25" s="11">
        <v>11349046.800000001</v>
      </c>
      <c r="J25" s="11">
        <v>8810000</v>
      </c>
      <c r="K25" s="11">
        <f t="shared" si="3"/>
        <v>9113793.1034482773</v>
      </c>
      <c r="L25" s="18">
        <f t="shared" si="0"/>
        <v>0.80304480755584484</v>
      </c>
      <c r="M25" s="18">
        <f t="shared" si="1"/>
        <v>0.99867828607325082</v>
      </c>
      <c r="P25" s="10" t="s">
        <v>129</v>
      </c>
      <c r="Q25" s="11">
        <f t="shared" si="4"/>
        <v>678077748</v>
      </c>
      <c r="R25" s="11">
        <f t="shared" si="4"/>
        <v>897935325.2986666</v>
      </c>
      <c r="S25" s="11">
        <f t="shared" si="4"/>
        <v>633712477</v>
      </c>
      <c r="T25" s="11">
        <f t="shared" si="4"/>
        <v>655564631.37931037</v>
      </c>
      <c r="U25" s="18">
        <f t="shared" si="5"/>
        <v>0.73008001011794454</v>
      </c>
      <c r="V25" s="18">
        <f t="shared" si="6"/>
        <v>-3.3201379468788629E-2</v>
      </c>
    </row>
    <row r="26" spans="1:22" x14ac:dyDescent="0.3">
      <c r="A26" s="9" t="s">
        <v>130</v>
      </c>
      <c r="B26" s="10" t="s">
        <v>494</v>
      </c>
      <c r="C26" s="10" t="s">
        <v>22</v>
      </c>
      <c r="D26" s="10" t="s">
        <v>42</v>
      </c>
      <c r="E26" s="10" t="s">
        <v>693</v>
      </c>
      <c r="F26" s="10" t="s">
        <v>694</v>
      </c>
      <c r="G26" s="10" t="s">
        <v>699</v>
      </c>
      <c r="H26" s="11">
        <v>0</v>
      </c>
      <c r="I26" s="11">
        <v>4111134.3</v>
      </c>
      <c r="J26" s="11">
        <v>269550</v>
      </c>
      <c r="K26" s="11">
        <f t="shared" si="3"/>
        <v>278844.8275862069</v>
      </c>
      <c r="L26" s="18">
        <f t="shared" si="0"/>
        <v>6.7826737644208532E-2</v>
      </c>
      <c r="M26" s="18">
        <f t="shared" si="1"/>
        <v>0</v>
      </c>
      <c r="P26" s="10" t="s">
        <v>131</v>
      </c>
      <c r="Q26" s="11">
        <f t="shared" si="4"/>
        <v>631850000</v>
      </c>
      <c r="R26" s="11">
        <f t="shared" si="4"/>
        <v>926507229.102</v>
      </c>
      <c r="S26" s="11">
        <f t="shared" si="4"/>
        <v>580570000</v>
      </c>
      <c r="T26" s="11">
        <f t="shared" si="4"/>
        <v>600589655.17241383</v>
      </c>
      <c r="U26" s="18">
        <f t="shared" si="5"/>
        <v>0.64822986406109773</v>
      </c>
      <c r="V26" s="18">
        <f t="shared" si="6"/>
        <v>-4.9474313250907925E-2</v>
      </c>
    </row>
    <row r="27" spans="1:22" x14ac:dyDescent="0.3">
      <c r="A27" s="9" t="s">
        <v>52</v>
      </c>
      <c r="B27" s="10" t="s">
        <v>423</v>
      </c>
      <c r="C27" s="10" t="s">
        <v>22</v>
      </c>
      <c r="D27" s="10" t="s">
        <v>46</v>
      </c>
      <c r="E27" s="10" t="s">
        <v>693</v>
      </c>
      <c r="F27" s="10" t="s">
        <v>694</v>
      </c>
      <c r="G27" s="10" t="s">
        <v>700</v>
      </c>
      <c r="H27" s="11">
        <v>5155315</v>
      </c>
      <c r="I27" s="11">
        <v>5385006.9000000004</v>
      </c>
      <c r="J27" s="11">
        <v>4050452</v>
      </c>
      <c r="K27" s="11">
        <f t="shared" si="3"/>
        <v>4190122.7586206896</v>
      </c>
      <c r="L27" s="18">
        <f t="shared" si="0"/>
        <v>0.77810907886128977</v>
      </c>
      <c r="M27" s="18">
        <f t="shared" si="1"/>
        <v>-0.18722274805308897</v>
      </c>
      <c r="P27" s="10" t="s">
        <v>132</v>
      </c>
      <c r="Q27" s="11">
        <f t="shared" si="4"/>
        <v>345715766</v>
      </c>
      <c r="R27" s="11">
        <f t="shared" si="4"/>
        <v>529965743.58000004</v>
      </c>
      <c r="S27" s="11">
        <f t="shared" si="4"/>
        <v>308370000</v>
      </c>
      <c r="T27" s="11">
        <f t="shared" si="4"/>
        <v>319003448.2758621</v>
      </c>
      <c r="U27" s="18">
        <f t="shared" si="5"/>
        <v>0.60193220437408801</v>
      </c>
      <c r="V27" s="18">
        <f t="shared" si="6"/>
        <v>-7.7266703897264269E-2</v>
      </c>
    </row>
    <row r="28" spans="1:22" x14ac:dyDescent="0.3">
      <c r="A28" s="9" t="s">
        <v>41</v>
      </c>
      <c r="B28" s="10" t="s">
        <v>416</v>
      </c>
      <c r="C28" s="10" t="s">
        <v>22</v>
      </c>
      <c r="D28" s="10" t="s">
        <v>40</v>
      </c>
      <c r="E28" s="10" t="s">
        <v>693</v>
      </c>
      <c r="F28" s="10" t="s">
        <v>694</v>
      </c>
      <c r="G28" s="10" t="s">
        <v>698</v>
      </c>
      <c r="H28" s="11">
        <v>0</v>
      </c>
      <c r="I28" s="11">
        <v>1505485.8</v>
      </c>
      <c r="J28" s="11">
        <v>0</v>
      </c>
      <c r="K28" s="11">
        <f t="shared" si="3"/>
        <v>0</v>
      </c>
      <c r="L28" s="18">
        <f t="shared" si="0"/>
        <v>0</v>
      </c>
      <c r="M28" s="18">
        <f t="shared" si="1"/>
        <v>0</v>
      </c>
      <c r="P28" s="10" t="s">
        <v>133</v>
      </c>
      <c r="Q28" s="11">
        <f t="shared" si="4"/>
        <v>253365000</v>
      </c>
      <c r="R28" s="11">
        <f t="shared" si="4"/>
        <v>462806022.042</v>
      </c>
      <c r="S28" s="11">
        <f t="shared" si="4"/>
        <v>216930000</v>
      </c>
      <c r="T28" s="11">
        <f t="shared" si="4"/>
        <v>224410344.82758623</v>
      </c>
      <c r="U28" s="18">
        <f t="shared" si="5"/>
        <v>0.48489071909099063</v>
      </c>
      <c r="V28" s="18">
        <f t="shared" si="6"/>
        <v>-0.11428040641925194</v>
      </c>
    </row>
    <row r="29" spans="1:22" x14ac:dyDescent="0.3">
      <c r="A29" s="9" t="s">
        <v>49</v>
      </c>
      <c r="B29" s="10" t="s">
        <v>420</v>
      </c>
      <c r="C29" s="10" t="s">
        <v>22</v>
      </c>
      <c r="D29" s="10" t="s">
        <v>46</v>
      </c>
      <c r="E29" s="10" t="s">
        <v>693</v>
      </c>
      <c r="F29" s="10" t="s">
        <v>694</v>
      </c>
      <c r="G29" s="10" t="s">
        <v>700</v>
      </c>
      <c r="H29" s="11">
        <v>910000</v>
      </c>
      <c r="I29" s="11">
        <v>3068874.9</v>
      </c>
      <c r="J29" s="11">
        <v>1089100</v>
      </c>
      <c r="K29" s="11">
        <f t="shared" si="3"/>
        <v>1126655.1724137929</v>
      </c>
      <c r="L29" s="18">
        <f t="shared" si="0"/>
        <v>0.36712319958490097</v>
      </c>
      <c r="M29" s="18">
        <f t="shared" si="1"/>
        <v>0.23808260704812409</v>
      </c>
      <c r="P29" s="10" t="s">
        <v>134</v>
      </c>
      <c r="Q29" s="11">
        <f t="shared" si="4"/>
        <v>153776036</v>
      </c>
      <c r="R29" s="11">
        <f t="shared" si="4"/>
        <v>199968556.36333334</v>
      </c>
      <c r="S29" s="11">
        <f t="shared" si="4"/>
        <v>85850000</v>
      </c>
      <c r="T29" s="11">
        <f t="shared" si="4"/>
        <v>88810344.827586204</v>
      </c>
      <c r="U29" s="18">
        <f t="shared" si="5"/>
        <v>0.44412154812090576</v>
      </c>
      <c r="V29" s="18">
        <f t="shared" si="6"/>
        <v>-0.42246953987299946</v>
      </c>
    </row>
    <row r="30" spans="1:22" x14ac:dyDescent="0.3">
      <c r="A30" s="9" t="s">
        <v>135</v>
      </c>
      <c r="B30" s="10" t="s">
        <v>495</v>
      </c>
      <c r="C30" s="10" t="s">
        <v>20</v>
      </c>
      <c r="D30" s="10" t="s">
        <v>32</v>
      </c>
      <c r="E30" s="10" t="s">
        <v>693</v>
      </c>
      <c r="F30" s="10" t="s">
        <v>694</v>
      </c>
      <c r="G30" s="10" t="s">
        <v>696</v>
      </c>
      <c r="H30" s="11">
        <v>22400000</v>
      </c>
      <c r="I30" s="11">
        <v>15923407.5</v>
      </c>
      <c r="J30" s="11">
        <v>11450000</v>
      </c>
      <c r="K30" s="11">
        <f t="shared" si="3"/>
        <v>11844827.586206898</v>
      </c>
      <c r="L30" s="18">
        <f t="shared" si="0"/>
        <v>0.74386261773473406</v>
      </c>
      <c r="M30" s="18">
        <f t="shared" si="1"/>
        <v>-0.47121305418719206</v>
      </c>
      <c r="P30" s="10" t="s">
        <v>136</v>
      </c>
      <c r="Q30" s="11">
        <f t="shared" si="4"/>
        <v>276486937</v>
      </c>
      <c r="R30" s="11">
        <f t="shared" si="4"/>
        <v>222363983.59999999</v>
      </c>
      <c r="S30" s="11">
        <f t="shared" si="4"/>
        <v>144320407</v>
      </c>
      <c r="T30" s="11">
        <f t="shared" si="4"/>
        <v>149296972.75862071</v>
      </c>
      <c r="U30" s="18">
        <f t="shared" si="5"/>
        <v>0.67140806861593172</v>
      </c>
      <c r="V30" s="18">
        <f t="shared" si="6"/>
        <v>-0.46002160399129199</v>
      </c>
    </row>
    <row r="31" spans="1:22" x14ac:dyDescent="0.3">
      <c r="A31" s="9" t="s">
        <v>137</v>
      </c>
      <c r="B31" s="10" t="s">
        <v>496</v>
      </c>
      <c r="C31" s="10" t="s">
        <v>20</v>
      </c>
      <c r="D31" s="10" t="s">
        <v>34</v>
      </c>
      <c r="E31" s="10" t="s">
        <v>693</v>
      </c>
      <c r="F31" s="10" t="s">
        <v>694</v>
      </c>
      <c r="G31" s="10" t="s">
        <v>697</v>
      </c>
      <c r="H31" s="11">
        <v>0</v>
      </c>
      <c r="I31" s="11">
        <v>5558716.7999999998</v>
      </c>
      <c r="J31" s="11">
        <v>550000</v>
      </c>
      <c r="K31" s="11">
        <f t="shared" si="3"/>
        <v>568965.51724137936</v>
      </c>
      <c r="L31" s="18">
        <f t="shared" si="0"/>
        <v>0.10235555033877232</v>
      </c>
      <c r="M31" s="18">
        <f t="shared" si="1"/>
        <v>0</v>
      </c>
      <c r="P31" s="10" t="s">
        <v>138</v>
      </c>
      <c r="Q31" s="11">
        <f t="shared" si="4"/>
        <v>180644793</v>
      </c>
      <c r="R31" s="11">
        <f t="shared" si="4"/>
        <v>190771108.54147276</v>
      </c>
      <c r="S31" s="11">
        <f t="shared" si="4"/>
        <v>81961000</v>
      </c>
      <c r="T31" s="11">
        <f t="shared" si="4"/>
        <v>84787241.379310355</v>
      </c>
      <c r="U31" s="18">
        <f t="shared" si="5"/>
        <v>0.44444487442330921</v>
      </c>
      <c r="V31" s="18">
        <f t="shared" si="6"/>
        <v>-0.53064109974478835</v>
      </c>
    </row>
    <row r="32" spans="1:22" x14ac:dyDescent="0.3">
      <c r="A32" s="9" t="s">
        <v>50</v>
      </c>
      <c r="B32" s="10" t="s">
        <v>421</v>
      </c>
      <c r="C32" s="10" t="s">
        <v>22</v>
      </c>
      <c r="D32" s="10" t="s">
        <v>40</v>
      </c>
      <c r="E32" s="10" t="s">
        <v>693</v>
      </c>
      <c r="F32" s="10" t="s">
        <v>694</v>
      </c>
      <c r="G32" s="10" t="s">
        <v>698</v>
      </c>
      <c r="H32" s="11">
        <v>967928</v>
      </c>
      <c r="I32" s="11">
        <v>11117433.6</v>
      </c>
      <c r="J32" s="11">
        <v>269550</v>
      </c>
      <c r="K32" s="11">
        <f t="shared" si="3"/>
        <v>278844.8275862069</v>
      </c>
      <c r="L32" s="18">
        <f t="shared" si="0"/>
        <v>2.5081762358014615E-2</v>
      </c>
      <c r="M32" s="18">
        <f t="shared" si="1"/>
        <v>-0.71191573382916207</v>
      </c>
      <c r="P32" s="5" t="s">
        <v>67</v>
      </c>
      <c r="Q32" s="13">
        <f>SUM(Q12:Q31)</f>
        <v>3303440999</v>
      </c>
      <c r="R32" s="13">
        <f>SUM(R12:R31)</f>
        <v>4688362744.6094723</v>
      </c>
      <c r="S32" s="13">
        <f>SUM(S12:S31)</f>
        <v>2699201398</v>
      </c>
      <c r="T32" s="13">
        <f>SUM(T12:T31)</f>
        <v>2792277308.2758622</v>
      </c>
      <c r="U32" s="14">
        <f t="shared" si="5"/>
        <v>0.59557620866395888</v>
      </c>
      <c r="V32" s="19">
        <f t="shared" si="6"/>
        <v>-0.15473673992629944</v>
      </c>
    </row>
    <row r="33" spans="1:13" x14ac:dyDescent="0.3">
      <c r="A33" s="9" t="s">
        <v>51</v>
      </c>
      <c r="B33" s="10" t="s">
        <v>422</v>
      </c>
      <c r="C33" s="10" t="s">
        <v>22</v>
      </c>
      <c r="D33" s="10" t="s">
        <v>28</v>
      </c>
      <c r="E33" s="10" t="s">
        <v>693</v>
      </c>
      <c r="F33" s="10" t="s">
        <v>694</v>
      </c>
      <c r="G33" s="10" t="s">
        <v>695</v>
      </c>
      <c r="H33" s="11">
        <v>0</v>
      </c>
      <c r="I33" s="11">
        <v>5050000</v>
      </c>
      <c r="J33" s="11">
        <v>0</v>
      </c>
      <c r="K33" s="11">
        <f t="shared" si="3"/>
        <v>0</v>
      </c>
      <c r="L33" s="18">
        <f t="shared" si="0"/>
        <v>0</v>
      </c>
      <c r="M33" s="18">
        <f t="shared" si="1"/>
        <v>0</v>
      </c>
    </row>
    <row r="34" spans="1:13" x14ac:dyDescent="0.3">
      <c r="A34" s="9" t="s">
        <v>139</v>
      </c>
      <c r="B34" s="10" t="s">
        <v>497</v>
      </c>
      <c r="C34" s="10" t="s">
        <v>20</v>
      </c>
      <c r="D34" s="10" t="s">
        <v>32</v>
      </c>
      <c r="E34" s="10" t="s">
        <v>693</v>
      </c>
      <c r="F34" s="10" t="s">
        <v>694</v>
      </c>
      <c r="G34" s="10" t="s">
        <v>696</v>
      </c>
      <c r="H34" s="11">
        <v>1900000</v>
      </c>
      <c r="I34" s="11">
        <v>2779358.4</v>
      </c>
      <c r="J34" s="11">
        <v>4500000</v>
      </c>
      <c r="K34" s="11">
        <f t="shared" si="3"/>
        <v>4655172.4137931038</v>
      </c>
      <c r="L34" s="18">
        <f t="shared" si="0"/>
        <v>1.6749090055435469</v>
      </c>
      <c r="M34" s="18">
        <f t="shared" si="1"/>
        <v>1.4500907441016335</v>
      </c>
    </row>
    <row r="35" spans="1:13" x14ac:dyDescent="0.3">
      <c r="A35" s="9" t="s">
        <v>92</v>
      </c>
      <c r="B35" s="10" t="s">
        <v>461</v>
      </c>
      <c r="C35" s="10" t="s">
        <v>22</v>
      </c>
      <c r="D35" s="10" t="s">
        <v>40</v>
      </c>
      <c r="E35" s="10" t="s">
        <v>693</v>
      </c>
      <c r="F35" s="10" t="s">
        <v>694</v>
      </c>
      <c r="G35" s="10" t="s">
        <v>698</v>
      </c>
      <c r="H35" s="11">
        <v>0</v>
      </c>
      <c r="I35" s="11">
        <v>1505485.8</v>
      </c>
      <c r="J35" s="11">
        <v>0</v>
      </c>
      <c r="K35" s="11">
        <f t="shared" si="3"/>
        <v>0</v>
      </c>
      <c r="L35" s="18">
        <f t="shared" si="0"/>
        <v>0</v>
      </c>
      <c r="M35" s="18">
        <f t="shared" si="1"/>
        <v>0</v>
      </c>
    </row>
    <row r="36" spans="1:13" x14ac:dyDescent="0.3">
      <c r="A36" s="9" t="s">
        <v>62</v>
      </c>
      <c r="B36" s="10" t="s">
        <v>433</v>
      </c>
      <c r="C36" s="10" t="s">
        <v>20</v>
      </c>
      <c r="D36" s="10" t="s">
        <v>34</v>
      </c>
      <c r="E36" s="10" t="s">
        <v>693</v>
      </c>
      <c r="F36" s="10" t="s">
        <v>694</v>
      </c>
      <c r="G36" s="10" t="s">
        <v>697</v>
      </c>
      <c r="H36" s="11">
        <v>41429550</v>
      </c>
      <c r="I36" s="11">
        <v>55616119.649999999</v>
      </c>
      <c r="J36" s="11">
        <v>10750000</v>
      </c>
      <c r="K36" s="11">
        <f t="shared" si="3"/>
        <v>11120689.655172413</v>
      </c>
      <c r="L36" s="18">
        <f t="shared" si="0"/>
        <v>0.19995443272843313</v>
      </c>
      <c r="M36" s="18">
        <f t="shared" si="1"/>
        <v>-0.73157590040991483</v>
      </c>
    </row>
    <row r="37" spans="1:13" x14ac:dyDescent="0.3">
      <c r="A37" s="9" t="s">
        <v>140</v>
      </c>
      <c r="B37" s="10" t="s">
        <v>498</v>
      </c>
      <c r="C37" s="10" t="s">
        <v>22</v>
      </c>
      <c r="D37" s="10" t="s">
        <v>28</v>
      </c>
      <c r="E37" s="10" t="s">
        <v>693</v>
      </c>
      <c r="F37" s="10" t="s">
        <v>694</v>
      </c>
      <c r="G37" s="10" t="s">
        <v>695</v>
      </c>
      <c r="H37" s="11">
        <v>0</v>
      </c>
      <c r="I37" s="11">
        <v>3300488.1</v>
      </c>
      <c r="J37" s="11">
        <v>4560000</v>
      </c>
      <c r="K37" s="11">
        <f t="shared" si="3"/>
        <v>4717241.3793103453</v>
      </c>
      <c r="L37" s="18">
        <f t="shared" si="0"/>
        <v>1.4292556847304934</v>
      </c>
      <c r="M37" s="18">
        <f t="shared" si="1"/>
        <v>0</v>
      </c>
    </row>
    <row r="38" spans="1:13" x14ac:dyDescent="0.3">
      <c r="A38" s="9" t="s">
        <v>141</v>
      </c>
      <c r="B38" s="10" t="s">
        <v>499</v>
      </c>
      <c r="C38" s="10" t="s">
        <v>22</v>
      </c>
      <c r="D38" s="10" t="s">
        <v>46</v>
      </c>
      <c r="E38" s="10" t="s">
        <v>693</v>
      </c>
      <c r="F38" s="10" t="s">
        <v>694</v>
      </c>
      <c r="G38" s="10" t="s">
        <v>700</v>
      </c>
      <c r="H38" s="11">
        <v>900000</v>
      </c>
      <c r="I38" s="11">
        <v>1505485.8</v>
      </c>
      <c r="J38" s="11">
        <v>1550000</v>
      </c>
      <c r="K38" s="11">
        <f t="shared" si="3"/>
        <v>1603448.2758620689</v>
      </c>
      <c r="L38" s="18">
        <f t="shared" si="0"/>
        <v>1.0650703419866656</v>
      </c>
      <c r="M38" s="18">
        <f t="shared" si="1"/>
        <v>0.78160919540229878</v>
      </c>
    </row>
    <row r="39" spans="1:13" x14ac:dyDescent="0.3">
      <c r="A39" s="9" t="s">
        <v>142</v>
      </c>
      <c r="B39" s="10" t="s">
        <v>500</v>
      </c>
      <c r="C39" s="10" t="s">
        <v>20</v>
      </c>
      <c r="D39" s="10" t="s">
        <v>32</v>
      </c>
      <c r="E39" s="10" t="s">
        <v>693</v>
      </c>
      <c r="F39" s="10" t="s">
        <v>694</v>
      </c>
      <c r="G39" s="10" t="s">
        <v>696</v>
      </c>
      <c r="H39" s="11">
        <v>0</v>
      </c>
      <c r="I39" s="11">
        <v>1505485.8</v>
      </c>
      <c r="J39" s="11">
        <v>9099</v>
      </c>
      <c r="K39" s="11">
        <f t="shared" si="3"/>
        <v>9412.7586206896558</v>
      </c>
      <c r="L39" s="18">
        <f t="shared" si="0"/>
        <v>6.2523064785397877E-3</v>
      </c>
      <c r="M39" s="18">
        <f t="shared" si="1"/>
        <v>0</v>
      </c>
    </row>
    <row r="40" spans="1:13" x14ac:dyDescent="0.3">
      <c r="A40" s="9" t="s">
        <v>143</v>
      </c>
      <c r="B40" s="10" t="s">
        <v>501</v>
      </c>
      <c r="C40" s="10" t="s">
        <v>22</v>
      </c>
      <c r="D40" s="10" t="s">
        <v>46</v>
      </c>
      <c r="E40" s="10" t="s">
        <v>693</v>
      </c>
      <c r="F40" s="10" t="s">
        <v>694</v>
      </c>
      <c r="G40" s="10" t="s">
        <v>700</v>
      </c>
      <c r="H40" s="11">
        <v>598109</v>
      </c>
      <c r="I40" s="11">
        <v>4169037.6</v>
      </c>
      <c r="J40" s="11">
        <v>850000</v>
      </c>
      <c r="K40" s="11">
        <f t="shared" si="3"/>
        <v>879310.3448275862</v>
      </c>
      <c r="L40" s="18">
        <f t="shared" si="0"/>
        <v>0.21091446736474292</v>
      </c>
      <c r="M40" s="18">
        <f t="shared" si="1"/>
        <v>0.47015066622904222</v>
      </c>
    </row>
    <row r="41" spans="1:13" x14ac:dyDescent="0.3">
      <c r="A41" s="9" t="s">
        <v>58</v>
      </c>
      <c r="B41" s="10" t="s">
        <v>429</v>
      </c>
      <c r="C41" s="10" t="s">
        <v>22</v>
      </c>
      <c r="D41" s="10" t="s">
        <v>48</v>
      </c>
      <c r="E41" s="10" t="s">
        <v>693</v>
      </c>
      <c r="F41" s="10" t="s">
        <v>694</v>
      </c>
      <c r="G41" s="10" t="s">
        <v>699</v>
      </c>
      <c r="H41" s="11">
        <v>0</v>
      </c>
      <c r="I41" s="11">
        <v>4632264</v>
      </c>
      <c r="J41" s="11">
        <v>300000</v>
      </c>
      <c r="K41" s="11">
        <f t="shared" si="3"/>
        <v>310344.8275862069</v>
      </c>
      <c r="L41" s="18">
        <f t="shared" si="0"/>
        <v>6.699636022174188E-2</v>
      </c>
      <c r="M41" s="18">
        <f t="shared" si="1"/>
        <v>0</v>
      </c>
    </row>
    <row r="42" spans="1:13" x14ac:dyDescent="0.3">
      <c r="A42" s="9" t="s">
        <v>74</v>
      </c>
      <c r="B42" s="10" t="s">
        <v>443</v>
      </c>
      <c r="C42" s="10" t="s">
        <v>20</v>
      </c>
      <c r="D42" s="10" t="s">
        <v>38</v>
      </c>
      <c r="E42" s="10" t="s">
        <v>693</v>
      </c>
      <c r="F42" s="10" t="s">
        <v>694</v>
      </c>
      <c r="G42" s="10" t="s">
        <v>696</v>
      </c>
      <c r="H42" s="11">
        <v>3000000</v>
      </c>
      <c r="I42" s="11">
        <v>1505485.8</v>
      </c>
      <c r="J42" s="11">
        <v>550000</v>
      </c>
      <c r="K42" s="11">
        <f t="shared" si="3"/>
        <v>568965.51724137936</v>
      </c>
      <c r="L42" s="18">
        <f t="shared" si="0"/>
        <v>0.37792818586623622</v>
      </c>
      <c r="M42" s="18">
        <f t="shared" si="1"/>
        <v>-0.81034482758620696</v>
      </c>
    </row>
    <row r="43" spans="1:13" x14ac:dyDescent="0.3">
      <c r="A43" s="9" t="s">
        <v>103</v>
      </c>
      <c r="B43" s="10" t="s">
        <v>472</v>
      </c>
      <c r="C43" s="10" t="s">
        <v>22</v>
      </c>
      <c r="D43" s="10" t="s">
        <v>44</v>
      </c>
      <c r="E43" s="10" t="s">
        <v>693</v>
      </c>
      <c r="F43" s="10" t="s">
        <v>694</v>
      </c>
      <c r="G43" s="10" t="s">
        <v>695</v>
      </c>
      <c r="H43" s="11">
        <v>0</v>
      </c>
      <c r="I43" s="11">
        <v>1852905.6</v>
      </c>
      <c r="J43" s="11">
        <v>0</v>
      </c>
      <c r="K43" s="11">
        <f t="shared" si="3"/>
        <v>0</v>
      </c>
      <c r="L43" s="18">
        <f t="shared" si="0"/>
        <v>0</v>
      </c>
      <c r="M43" s="18">
        <f t="shared" si="1"/>
        <v>0</v>
      </c>
    </row>
    <row r="44" spans="1:13" x14ac:dyDescent="0.3">
      <c r="A44" s="9" t="s">
        <v>144</v>
      </c>
      <c r="B44" s="10" t="s">
        <v>502</v>
      </c>
      <c r="C44" s="10" t="s">
        <v>22</v>
      </c>
      <c r="D44" s="10" t="s">
        <v>44</v>
      </c>
      <c r="E44" s="10" t="s">
        <v>693</v>
      </c>
      <c r="F44" s="10" t="s">
        <v>694</v>
      </c>
      <c r="G44" s="10" t="s">
        <v>695</v>
      </c>
      <c r="H44" s="11">
        <v>0</v>
      </c>
      <c r="I44" s="11">
        <v>1505485.8</v>
      </c>
      <c r="J44" s="11">
        <v>0</v>
      </c>
      <c r="K44" s="11">
        <f t="shared" si="3"/>
        <v>0</v>
      </c>
      <c r="L44" s="18">
        <f t="shared" si="0"/>
        <v>0</v>
      </c>
      <c r="M44" s="18">
        <f t="shared" si="1"/>
        <v>0</v>
      </c>
    </row>
    <row r="45" spans="1:13" x14ac:dyDescent="0.3">
      <c r="A45" s="9" t="s">
        <v>78</v>
      </c>
      <c r="B45" s="10" t="s">
        <v>447</v>
      </c>
      <c r="C45" s="10" t="s">
        <v>20</v>
      </c>
      <c r="D45" s="10" t="s">
        <v>32</v>
      </c>
      <c r="E45" s="10" t="s">
        <v>693</v>
      </c>
      <c r="F45" s="10" t="s">
        <v>694</v>
      </c>
      <c r="G45" s="10" t="s">
        <v>696</v>
      </c>
      <c r="H45" s="11">
        <v>2009910</v>
      </c>
      <c r="I45" s="11">
        <v>1505485.8</v>
      </c>
      <c r="J45" s="11">
        <v>0</v>
      </c>
      <c r="K45" s="11">
        <f t="shared" si="3"/>
        <v>0</v>
      </c>
      <c r="L45" s="18">
        <f t="shared" si="0"/>
        <v>0</v>
      </c>
      <c r="M45" s="18">
        <f t="shared" si="1"/>
        <v>-1</v>
      </c>
    </row>
    <row r="46" spans="1:13" x14ac:dyDescent="0.3">
      <c r="A46" s="9" t="s">
        <v>84</v>
      </c>
      <c r="B46" s="10" t="s">
        <v>453</v>
      </c>
      <c r="C46" s="10" t="s">
        <v>22</v>
      </c>
      <c r="D46" s="10" t="s">
        <v>48</v>
      </c>
      <c r="E46" s="10" t="s">
        <v>693</v>
      </c>
      <c r="F46" s="10" t="s">
        <v>694</v>
      </c>
      <c r="G46" s="10" t="s">
        <v>699</v>
      </c>
      <c r="H46" s="11">
        <v>0</v>
      </c>
      <c r="I46" s="11">
        <v>1505485.8</v>
      </c>
      <c r="J46" s="11">
        <v>0</v>
      </c>
      <c r="K46" s="11">
        <f t="shared" si="3"/>
        <v>0</v>
      </c>
      <c r="L46" s="18">
        <f t="shared" si="0"/>
        <v>0</v>
      </c>
      <c r="M46" s="18">
        <f t="shared" si="1"/>
        <v>0</v>
      </c>
    </row>
    <row r="47" spans="1:13" x14ac:dyDescent="0.3">
      <c r="A47" s="9" t="s">
        <v>145</v>
      </c>
      <c r="B47" s="10" t="s">
        <v>503</v>
      </c>
      <c r="C47" s="10" t="s">
        <v>20</v>
      </c>
      <c r="D47" s="10" t="s">
        <v>36</v>
      </c>
      <c r="E47" s="10" t="s">
        <v>693</v>
      </c>
      <c r="F47" s="10" t="s">
        <v>694</v>
      </c>
      <c r="G47" s="10" t="s">
        <v>697</v>
      </c>
      <c r="H47" s="11">
        <v>1000000</v>
      </c>
      <c r="I47" s="11">
        <v>2489841.9</v>
      </c>
      <c r="J47" s="11">
        <v>0</v>
      </c>
      <c r="K47" s="11">
        <f t="shared" si="3"/>
        <v>0</v>
      </c>
      <c r="L47" s="18">
        <f t="shared" si="0"/>
        <v>0</v>
      </c>
      <c r="M47" s="18">
        <f t="shared" si="1"/>
        <v>-1</v>
      </c>
    </row>
    <row r="48" spans="1:13" x14ac:dyDescent="0.3">
      <c r="A48" s="9" t="s">
        <v>146</v>
      </c>
      <c r="B48" s="10" t="s">
        <v>504</v>
      </c>
      <c r="C48" s="10" t="s">
        <v>20</v>
      </c>
      <c r="D48" s="10" t="s">
        <v>30</v>
      </c>
      <c r="E48" s="10" t="s">
        <v>693</v>
      </c>
      <c r="F48" s="10" t="s">
        <v>694</v>
      </c>
      <c r="G48" s="10" t="s">
        <v>696</v>
      </c>
      <c r="H48" s="11">
        <v>2350000</v>
      </c>
      <c r="I48" s="11">
        <v>2407619.2140000002</v>
      </c>
      <c r="J48" s="11">
        <v>551305</v>
      </c>
      <c r="K48" s="11">
        <f t="shared" si="3"/>
        <v>570315.51724137936</v>
      </c>
      <c r="L48" s="18">
        <f t="shared" si="0"/>
        <v>0.2368794508388482</v>
      </c>
      <c r="M48" s="18">
        <f t="shared" si="1"/>
        <v>-0.75731254585473229</v>
      </c>
    </row>
    <row r="49" spans="1:13" x14ac:dyDescent="0.3">
      <c r="A49" s="9" t="s">
        <v>27</v>
      </c>
      <c r="B49" s="10" t="s">
        <v>409</v>
      </c>
      <c r="C49" s="10" t="s">
        <v>20</v>
      </c>
      <c r="D49" s="10" t="s">
        <v>36</v>
      </c>
      <c r="E49" s="10" t="s">
        <v>693</v>
      </c>
      <c r="F49" s="10" t="s">
        <v>694</v>
      </c>
      <c r="G49" s="10" t="s">
        <v>697</v>
      </c>
      <c r="H49" s="11">
        <v>900000</v>
      </c>
      <c r="I49" s="11">
        <v>3126778.2</v>
      </c>
      <c r="J49" s="11">
        <v>4200000</v>
      </c>
      <c r="K49" s="11">
        <f t="shared" si="3"/>
        <v>4344827.5862068962</v>
      </c>
      <c r="L49" s="18">
        <f t="shared" si="0"/>
        <v>1.3895541379324239</v>
      </c>
      <c r="M49" s="18">
        <f t="shared" si="1"/>
        <v>3.8275862068965512</v>
      </c>
    </row>
    <row r="50" spans="1:13" x14ac:dyDescent="0.3">
      <c r="A50" s="9" t="s">
        <v>83</v>
      </c>
      <c r="B50" s="10" t="s">
        <v>452</v>
      </c>
      <c r="C50" s="10" t="s">
        <v>22</v>
      </c>
      <c r="D50" s="10" t="s">
        <v>28</v>
      </c>
      <c r="E50" s="10" t="s">
        <v>693</v>
      </c>
      <c r="F50" s="10" t="s">
        <v>694</v>
      </c>
      <c r="G50" s="10" t="s">
        <v>695</v>
      </c>
      <c r="H50" s="11">
        <v>0</v>
      </c>
      <c r="I50" s="11">
        <v>1505485.8</v>
      </c>
      <c r="J50" s="11">
        <v>0</v>
      </c>
      <c r="K50" s="11">
        <f t="shared" si="3"/>
        <v>0</v>
      </c>
      <c r="L50" s="18">
        <f t="shared" si="0"/>
        <v>0</v>
      </c>
      <c r="M50" s="18">
        <f t="shared" si="1"/>
        <v>0</v>
      </c>
    </row>
    <row r="51" spans="1:13" x14ac:dyDescent="0.3">
      <c r="A51" s="9" t="s">
        <v>70</v>
      </c>
      <c r="B51" s="10" t="s">
        <v>439</v>
      </c>
      <c r="C51" s="10" t="s">
        <v>20</v>
      </c>
      <c r="D51" s="10" t="s">
        <v>32</v>
      </c>
      <c r="E51" s="10" t="s">
        <v>693</v>
      </c>
      <c r="F51" s="10" t="s">
        <v>694</v>
      </c>
      <c r="G51" s="10" t="s">
        <v>696</v>
      </c>
      <c r="H51" s="11">
        <v>202703</v>
      </c>
      <c r="I51" s="11">
        <v>1505485.8</v>
      </c>
      <c r="J51" s="11">
        <v>0</v>
      </c>
      <c r="K51" s="11">
        <f t="shared" si="3"/>
        <v>0</v>
      </c>
      <c r="L51" s="18">
        <f t="shared" si="0"/>
        <v>0</v>
      </c>
      <c r="M51" s="18">
        <f t="shared" si="1"/>
        <v>-1</v>
      </c>
    </row>
    <row r="52" spans="1:13" x14ac:dyDescent="0.3">
      <c r="A52" s="9" t="s">
        <v>100</v>
      </c>
      <c r="B52" s="10" t="s">
        <v>469</v>
      </c>
      <c r="C52" s="10" t="s">
        <v>20</v>
      </c>
      <c r="D52" s="10" t="s">
        <v>38</v>
      </c>
      <c r="E52" s="10" t="s">
        <v>693</v>
      </c>
      <c r="F52" s="10" t="s">
        <v>694</v>
      </c>
      <c r="G52" s="10" t="s">
        <v>696</v>
      </c>
      <c r="H52" s="11">
        <v>0</v>
      </c>
      <c r="I52" s="11">
        <v>1505485.8</v>
      </c>
      <c r="J52" s="11">
        <v>2250000</v>
      </c>
      <c r="K52" s="11">
        <f t="shared" si="3"/>
        <v>2327586.2068965519</v>
      </c>
      <c r="L52" s="18">
        <f t="shared" si="0"/>
        <v>1.5460698512709663</v>
      </c>
      <c r="M52" s="18">
        <f t="shared" si="1"/>
        <v>0</v>
      </c>
    </row>
    <row r="53" spans="1:13" x14ac:dyDescent="0.3">
      <c r="A53" s="9" t="s">
        <v>147</v>
      </c>
      <c r="B53" s="10" t="s">
        <v>505</v>
      </c>
      <c r="C53" s="10" t="s">
        <v>22</v>
      </c>
      <c r="D53" s="10" t="s">
        <v>42</v>
      </c>
      <c r="E53" s="10" t="s">
        <v>693</v>
      </c>
      <c r="F53" s="10" t="s">
        <v>694</v>
      </c>
      <c r="G53" s="10" t="s">
        <v>699</v>
      </c>
      <c r="H53" s="11">
        <v>0</v>
      </c>
      <c r="I53" s="11">
        <v>4690167.3</v>
      </c>
      <c r="J53" s="11">
        <v>1000000</v>
      </c>
      <c r="K53" s="11">
        <f t="shared" si="3"/>
        <v>1034482.7586206896</v>
      </c>
      <c r="L53" s="18">
        <f t="shared" si="0"/>
        <v>0.22056414887816256</v>
      </c>
      <c r="M53" s="18">
        <f t="shared" si="1"/>
        <v>0</v>
      </c>
    </row>
    <row r="54" spans="1:13" x14ac:dyDescent="0.3">
      <c r="A54" s="9" t="s">
        <v>148</v>
      </c>
      <c r="B54" s="10" t="s">
        <v>506</v>
      </c>
      <c r="C54" s="10" t="s">
        <v>22</v>
      </c>
      <c r="D54" s="10" t="s">
        <v>46</v>
      </c>
      <c r="E54" s="10" t="s">
        <v>693</v>
      </c>
      <c r="F54" s="10" t="s">
        <v>694</v>
      </c>
      <c r="G54" s="10" t="s">
        <v>700</v>
      </c>
      <c r="H54" s="11">
        <v>205315</v>
      </c>
      <c r="I54" s="11">
        <v>3828566.196</v>
      </c>
      <c r="J54" s="11">
        <v>0</v>
      </c>
      <c r="K54" s="11">
        <f t="shared" si="3"/>
        <v>0</v>
      </c>
      <c r="L54" s="18">
        <f t="shared" si="0"/>
        <v>0</v>
      </c>
      <c r="M54" s="18">
        <f t="shared" si="1"/>
        <v>-1</v>
      </c>
    </row>
    <row r="55" spans="1:13" x14ac:dyDescent="0.3">
      <c r="A55" s="9" t="s">
        <v>72</v>
      </c>
      <c r="B55" s="10" t="s">
        <v>441</v>
      </c>
      <c r="C55" s="10" t="s">
        <v>20</v>
      </c>
      <c r="D55" s="10" t="s">
        <v>30</v>
      </c>
      <c r="E55" s="10" t="s">
        <v>693</v>
      </c>
      <c r="F55" s="10" t="s">
        <v>694</v>
      </c>
      <c r="G55" s="10" t="s">
        <v>696</v>
      </c>
      <c r="H55" s="11">
        <v>1000000</v>
      </c>
      <c r="I55" s="11">
        <v>4748070.5999999996</v>
      </c>
      <c r="J55" s="11">
        <v>2700000</v>
      </c>
      <c r="K55" s="11">
        <f t="shared" si="3"/>
        <v>2793103.4482758623</v>
      </c>
      <c r="L55" s="18">
        <f t="shared" si="0"/>
        <v>0.58826072389822137</v>
      </c>
      <c r="M55" s="18">
        <f t="shared" si="1"/>
        <v>1.7931034482758623</v>
      </c>
    </row>
    <row r="56" spans="1:13" x14ac:dyDescent="0.3">
      <c r="A56" s="9" t="s">
        <v>87</v>
      </c>
      <c r="B56" s="10" t="s">
        <v>456</v>
      </c>
      <c r="C56" s="10" t="s">
        <v>20</v>
      </c>
      <c r="D56" s="10" t="s">
        <v>38</v>
      </c>
      <c r="E56" s="10" t="s">
        <v>693</v>
      </c>
      <c r="F56" s="10" t="s">
        <v>694</v>
      </c>
      <c r="G56" s="10" t="s">
        <v>696</v>
      </c>
      <c r="H56" s="11">
        <v>1000000</v>
      </c>
      <c r="I56" s="11">
        <v>1505485.8</v>
      </c>
      <c r="J56" s="11">
        <v>0</v>
      </c>
      <c r="K56" s="11">
        <f t="shared" si="3"/>
        <v>0</v>
      </c>
      <c r="L56" s="18">
        <f t="shared" si="0"/>
        <v>0</v>
      </c>
      <c r="M56" s="18">
        <f t="shared" si="1"/>
        <v>-1</v>
      </c>
    </row>
    <row r="57" spans="1:13" x14ac:dyDescent="0.3">
      <c r="A57" s="9" t="s">
        <v>85</v>
      </c>
      <c r="B57" s="10" t="s">
        <v>454</v>
      </c>
      <c r="C57" s="10" t="s">
        <v>22</v>
      </c>
      <c r="D57" s="10" t="s">
        <v>46</v>
      </c>
      <c r="E57" s="10" t="s">
        <v>693</v>
      </c>
      <c r="F57" s="10" t="s">
        <v>694</v>
      </c>
      <c r="G57" s="10" t="s">
        <v>700</v>
      </c>
      <c r="H57" s="11">
        <v>550000</v>
      </c>
      <c r="I57" s="11">
        <v>3995327.7</v>
      </c>
      <c r="J57" s="11">
        <v>212613</v>
      </c>
      <c r="K57" s="11">
        <f t="shared" si="3"/>
        <v>219944.48275862067</v>
      </c>
      <c r="L57" s="18">
        <f t="shared" si="0"/>
        <v>5.5050423713334115E-2</v>
      </c>
      <c r="M57" s="18">
        <f t="shared" si="1"/>
        <v>-0.60010094043887152</v>
      </c>
    </row>
    <row r="58" spans="1:13" x14ac:dyDescent="0.3">
      <c r="A58" s="9" t="s">
        <v>37</v>
      </c>
      <c r="B58" s="10" t="s">
        <v>414</v>
      </c>
      <c r="C58" s="10" t="s">
        <v>20</v>
      </c>
      <c r="D58" s="10" t="s">
        <v>38</v>
      </c>
      <c r="E58" s="10" t="s">
        <v>693</v>
      </c>
      <c r="F58" s="10" t="s">
        <v>694</v>
      </c>
      <c r="G58" s="10" t="s">
        <v>696</v>
      </c>
      <c r="H58" s="11">
        <v>0</v>
      </c>
      <c r="I58" s="11">
        <v>2316132</v>
      </c>
      <c r="J58" s="11">
        <v>0</v>
      </c>
      <c r="K58" s="11">
        <f t="shared" si="3"/>
        <v>0</v>
      </c>
      <c r="L58" s="18">
        <f t="shared" si="0"/>
        <v>0</v>
      </c>
      <c r="M58" s="18">
        <f t="shared" si="1"/>
        <v>0</v>
      </c>
    </row>
    <row r="59" spans="1:13" x14ac:dyDescent="0.3">
      <c r="A59" s="9" t="s">
        <v>93</v>
      </c>
      <c r="B59" s="10" t="s">
        <v>462</v>
      </c>
      <c r="C59" s="10" t="s">
        <v>22</v>
      </c>
      <c r="D59" s="10" t="s">
        <v>42</v>
      </c>
      <c r="E59" s="10" t="s">
        <v>693</v>
      </c>
      <c r="F59" s="10" t="s">
        <v>694</v>
      </c>
      <c r="G59" s="10" t="s">
        <v>699</v>
      </c>
      <c r="H59" s="11">
        <v>900000</v>
      </c>
      <c r="I59" s="11">
        <v>1852905.6</v>
      </c>
      <c r="J59" s="11">
        <v>900000</v>
      </c>
      <c r="K59" s="11">
        <f t="shared" si="3"/>
        <v>931034.48275862064</v>
      </c>
      <c r="L59" s="18">
        <f t="shared" si="0"/>
        <v>0.50247270166306401</v>
      </c>
      <c r="M59" s="18">
        <f t="shared" si="1"/>
        <v>3.4482758620689599E-2</v>
      </c>
    </row>
    <row r="60" spans="1:13" x14ac:dyDescent="0.3">
      <c r="A60" s="9" t="s">
        <v>149</v>
      </c>
      <c r="B60" s="10" t="s">
        <v>507</v>
      </c>
      <c r="C60" s="10" t="s">
        <v>22</v>
      </c>
      <c r="D60" s="10" t="s">
        <v>46</v>
      </c>
      <c r="E60" s="10" t="s">
        <v>693</v>
      </c>
      <c r="F60" s="10" t="s">
        <v>694</v>
      </c>
      <c r="G60" s="10" t="s">
        <v>700</v>
      </c>
      <c r="H60" s="11">
        <v>625855</v>
      </c>
      <c r="I60" s="11">
        <v>1505485.8</v>
      </c>
      <c r="J60" s="11">
        <v>222523</v>
      </c>
      <c r="K60" s="11">
        <f t="shared" si="3"/>
        <v>230196.20689655171</v>
      </c>
      <c r="L60" s="18">
        <f t="shared" si="0"/>
        <v>0.1529049340063863</v>
      </c>
      <c r="M60" s="18">
        <f t="shared" si="1"/>
        <v>-0.63218923409327765</v>
      </c>
    </row>
    <row r="61" spans="1:13" x14ac:dyDescent="0.3">
      <c r="A61" s="9" t="s">
        <v>150</v>
      </c>
      <c r="B61" s="10" t="s">
        <v>508</v>
      </c>
      <c r="C61" s="10" t="s">
        <v>20</v>
      </c>
      <c r="D61" s="10" t="s">
        <v>30</v>
      </c>
      <c r="E61" s="10" t="s">
        <v>693</v>
      </c>
      <c r="F61" s="10" t="s">
        <v>694</v>
      </c>
      <c r="G61" s="10" t="s">
        <v>696</v>
      </c>
      <c r="H61" s="11">
        <v>1845856</v>
      </c>
      <c r="I61" s="11">
        <v>4632264</v>
      </c>
      <c r="J61" s="11">
        <v>550000</v>
      </c>
      <c r="K61" s="11">
        <f t="shared" si="3"/>
        <v>568965.51724137936</v>
      </c>
      <c r="L61" s="18">
        <f t="shared" si="0"/>
        <v>0.12282666040652677</v>
      </c>
      <c r="M61" s="18">
        <f t="shared" si="1"/>
        <v>-0.69176061554022672</v>
      </c>
    </row>
    <row r="62" spans="1:13" x14ac:dyDescent="0.3">
      <c r="A62" s="9" t="s">
        <v>86</v>
      </c>
      <c r="B62" s="10" t="s">
        <v>455</v>
      </c>
      <c r="C62" s="10" t="s">
        <v>22</v>
      </c>
      <c r="D62" s="10" t="s">
        <v>48</v>
      </c>
      <c r="E62" s="10" t="s">
        <v>693</v>
      </c>
      <c r="F62" s="10" t="s">
        <v>694</v>
      </c>
      <c r="G62" s="10" t="s">
        <v>699</v>
      </c>
      <c r="H62" s="11">
        <v>0</v>
      </c>
      <c r="I62" s="11">
        <v>1505485.8</v>
      </c>
      <c r="J62" s="11">
        <v>0</v>
      </c>
      <c r="K62" s="11">
        <f t="shared" si="3"/>
        <v>0</v>
      </c>
      <c r="L62" s="18">
        <f t="shared" si="0"/>
        <v>0</v>
      </c>
      <c r="M62" s="18">
        <f t="shared" si="1"/>
        <v>0</v>
      </c>
    </row>
    <row r="63" spans="1:13" x14ac:dyDescent="0.3">
      <c r="A63" s="9" t="s">
        <v>111</v>
      </c>
      <c r="B63" s="10" t="s">
        <v>480</v>
      </c>
      <c r="C63" s="10" t="s">
        <v>20</v>
      </c>
      <c r="D63" s="10" t="s">
        <v>38</v>
      </c>
      <c r="E63" s="10" t="s">
        <v>693</v>
      </c>
      <c r="F63" s="10" t="s">
        <v>694</v>
      </c>
      <c r="G63" s="10" t="s">
        <v>696</v>
      </c>
      <c r="H63" s="11">
        <v>0</v>
      </c>
      <c r="I63" s="11">
        <v>1264608.0719999999</v>
      </c>
      <c r="J63" s="11">
        <v>9910</v>
      </c>
      <c r="K63" s="11">
        <f t="shared" si="3"/>
        <v>10251.724137931034</v>
      </c>
      <c r="L63" s="18">
        <f t="shared" si="0"/>
        <v>8.1066413894683997E-3</v>
      </c>
      <c r="M63" s="18">
        <f t="shared" si="1"/>
        <v>0</v>
      </c>
    </row>
    <row r="64" spans="1:13" x14ac:dyDescent="0.3">
      <c r="A64" s="9" t="s">
        <v>151</v>
      </c>
      <c r="B64" s="10" t="s">
        <v>509</v>
      </c>
      <c r="C64" s="10" t="s">
        <v>22</v>
      </c>
      <c r="D64" s="10" t="s">
        <v>48</v>
      </c>
      <c r="E64" s="10" t="s">
        <v>693</v>
      </c>
      <c r="F64" s="10" t="s">
        <v>701</v>
      </c>
      <c r="G64" s="10" t="s">
        <v>699</v>
      </c>
      <c r="H64" s="11">
        <v>0</v>
      </c>
      <c r="I64" s="11">
        <v>1505485.8</v>
      </c>
      <c r="J64" s="11">
        <v>0</v>
      </c>
      <c r="K64" s="11">
        <f t="shared" si="3"/>
        <v>0</v>
      </c>
      <c r="L64" s="18">
        <f t="shared" si="0"/>
        <v>0</v>
      </c>
      <c r="M64" s="18">
        <f t="shared" si="1"/>
        <v>0</v>
      </c>
    </row>
    <row r="65" spans="1:13" x14ac:dyDescent="0.3">
      <c r="A65" s="9" t="s">
        <v>96</v>
      </c>
      <c r="B65" s="10" t="s">
        <v>465</v>
      </c>
      <c r="C65" s="10" t="s">
        <v>22</v>
      </c>
      <c r="D65" s="10" t="s">
        <v>40</v>
      </c>
      <c r="E65" s="10" t="s">
        <v>693</v>
      </c>
      <c r="F65" s="10" t="s">
        <v>694</v>
      </c>
      <c r="G65" s="10" t="s">
        <v>698</v>
      </c>
      <c r="H65" s="11">
        <v>0</v>
      </c>
      <c r="I65" s="11">
        <v>4169037.6</v>
      </c>
      <c r="J65" s="11">
        <v>0</v>
      </c>
      <c r="K65" s="11">
        <f t="shared" si="3"/>
        <v>0</v>
      </c>
      <c r="L65" s="18">
        <f t="shared" si="0"/>
        <v>0</v>
      </c>
      <c r="M65" s="18">
        <f t="shared" si="1"/>
        <v>0</v>
      </c>
    </row>
    <row r="66" spans="1:13" x14ac:dyDescent="0.3">
      <c r="A66" s="9" t="s">
        <v>81</v>
      </c>
      <c r="B66" s="10" t="s">
        <v>450</v>
      </c>
      <c r="C66" s="10" t="s">
        <v>22</v>
      </c>
      <c r="D66" s="10" t="s">
        <v>28</v>
      </c>
      <c r="E66" s="10" t="s">
        <v>693</v>
      </c>
      <c r="F66" s="10" t="s">
        <v>694</v>
      </c>
      <c r="G66" s="10" t="s">
        <v>695</v>
      </c>
      <c r="H66" s="11">
        <v>0</v>
      </c>
      <c r="I66" s="11">
        <v>3821617.8</v>
      </c>
      <c r="J66" s="11">
        <v>0</v>
      </c>
      <c r="K66" s="11">
        <f t="shared" si="3"/>
        <v>0</v>
      </c>
      <c r="L66" s="18">
        <f t="shared" si="0"/>
        <v>0</v>
      </c>
      <c r="M66" s="18">
        <f t="shared" si="1"/>
        <v>0</v>
      </c>
    </row>
    <row r="67" spans="1:13" x14ac:dyDescent="0.3">
      <c r="A67" s="9" t="s">
        <v>97</v>
      </c>
      <c r="B67" s="10" t="s">
        <v>466</v>
      </c>
      <c r="C67" s="10" t="s">
        <v>20</v>
      </c>
      <c r="D67" s="10" t="s">
        <v>36</v>
      </c>
      <c r="E67" s="10" t="s">
        <v>693</v>
      </c>
      <c r="F67" s="10" t="s">
        <v>694</v>
      </c>
      <c r="G67" s="10" t="s">
        <v>697</v>
      </c>
      <c r="H67" s="11">
        <v>900000</v>
      </c>
      <c r="I67" s="11">
        <v>1621292.4</v>
      </c>
      <c r="J67" s="11">
        <v>1000000</v>
      </c>
      <c r="K67" s="11">
        <f t="shared" si="3"/>
        <v>1034482.7586206896</v>
      </c>
      <c r="L67" s="18">
        <f t="shared" si="0"/>
        <v>0.6380605735403988</v>
      </c>
      <c r="M67" s="18">
        <f t="shared" si="1"/>
        <v>0.1494252873563218</v>
      </c>
    </row>
    <row r="68" spans="1:13" x14ac:dyDescent="0.3">
      <c r="A68" s="9" t="s">
        <v>95</v>
      </c>
      <c r="B68" s="10" t="s">
        <v>464</v>
      </c>
      <c r="C68" s="10" t="s">
        <v>20</v>
      </c>
      <c r="D68" s="10" t="s">
        <v>34</v>
      </c>
      <c r="E68" s="10" t="s">
        <v>693</v>
      </c>
      <c r="F68" s="10" t="s">
        <v>694</v>
      </c>
      <c r="G68" s="10" t="s">
        <v>697</v>
      </c>
      <c r="H68" s="11">
        <v>550000</v>
      </c>
      <c r="I68" s="11">
        <v>2026615.5</v>
      </c>
      <c r="J68" s="11">
        <v>550000</v>
      </c>
      <c r="K68" s="11">
        <f t="shared" si="3"/>
        <v>568965.51724137936</v>
      </c>
      <c r="L68" s="18">
        <f t="shared" si="0"/>
        <v>0.28074665235777552</v>
      </c>
      <c r="M68" s="18">
        <f t="shared" si="1"/>
        <v>3.4482758620689752E-2</v>
      </c>
    </row>
    <row r="69" spans="1:13" x14ac:dyDescent="0.3">
      <c r="A69" s="9" t="s">
        <v>69</v>
      </c>
      <c r="B69" s="10" t="s">
        <v>438</v>
      </c>
      <c r="C69" s="10" t="s">
        <v>20</v>
      </c>
      <c r="D69" s="10" t="s">
        <v>38</v>
      </c>
      <c r="E69" s="10" t="s">
        <v>693</v>
      </c>
      <c r="F69" s="10" t="s">
        <v>694</v>
      </c>
      <c r="G69" s="10" t="s">
        <v>696</v>
      </c>
      <c r="H69" s="11">
        <v>0</v>
      </c>
      <c r="I69" s="11">
        <v>2779358.4</v>
      </c>
      <c r="J69" s="11">
        <v>222523</v>
      </c>
      <c r="K69" s="11">
        <f t="shared" si="3"/>
        <v>230196.20689655171</v>
      </c>
      <c r="L69" s="18">
        <f t="shared" ref="L69:L132" si="7">IFERROR((K69/I69),0)</f>
        <v>8.2823505920125925E-2</v>
      </c>
      <c r="M69" s="18">
        <f t="shared" ref="M69:M132" si="8">IFERROR((K69-H69)/H69,0)</f>
        <v>0</v>
      </c>
    </row>
    <row r="70" spans="1:13" x14ac:dyDescent="0.3">
      <c r="A70" s="9" t="s">
        <v>80</v>
      </c>
      <c r="B70" s="10" t="s">
        <v>449</v>
      </c>
      <c r="C70" s="10" t="s">
        <v>22</v>
      </c>
      <c r="D70" s="10" t="s">
        <v>28</v>
      </c>
      <c r="E70" s="10" t="s">
        <v>693</v>
      </c>
      <c r="F70" s="10" t="s">
        <v>694</v>
      </c>
      <c r="G70" s="10" t="s">
        <v>695</v>
      </c>
      <c r="H70" s="11">
        <v>0</v>
      </c>
      <c r="I70" s="11">
        <v>1505485.8</v>
      </c>
      <c r="J70" s="11">
        <v>0</v>
      </c>
      <c r="K70" s="11">
        <f t="shared" ref="K70:K133" si="9">IFERROR(J70/$A$1*$B$1,0)</f>
        <v>0</v>
      </c>
      <c r="L70" s="18">
        <f t="shared" si="7"/>
        <v>0</v>
      </c>
      <c r="M70" s="18">
        <f t="shared" si="8"/>
        <v>0</v>
      </c>
    </row>
    <row r="71" spans="1:13" x14ac:dyDescent="0.3">
      <c r="A71" s="9" t="s">
        <v>101</v>
      </c>
      <c r="B71" s="10" t="s">
        <v>470</v>
      </c>
      <c r="C71" s="10" t="s">
        <v>22</v>
      </c>
      <c r="D71" s="10" t="s">
        <v>48</v>
      </c>
      <c r="E71" s="10" t="s">
        <v>693</v>
      </c>
      <c r="F71" s="10" t="s">
        <v>694</v>
      </c>
      <c r="G71" s="10" t="s">
        <v>699</v>
      </c>
      <c r="H71" s="11">
        <v>9910</v>
      </c>
      <c r="I71" s="11">
        <v>4226940.9000000004</v>
      </c>
      <c r="J71" s="11">
        <v>0</v>
      </c>
      <c r="K71" s="11">
        <f t="shared" si="9"/>
        <v>0</v>
      </c>
      <c r="L71" s="18">
        <f t="shared" si="7"/>
        <v>0</v>
      </c>
      <c r="M71" s="18">
        <f t="shared" si="8"/>
        <v>-1</v>
      </c>
    </row>
    <row r="72" spans="1:13" x14ac:dyDescent="0.3">
      <c r="A72" s="9" t="s">
        <v>104</v>
      </c>
      <c r="B72" s="10" t="s">
        <v>473</v>
      </c>
      <c r="C72" s="10" t="s">
        <v>22</v>
      </c>
      <c r="D72" s="10" t="s">
        <v>28</v>
      </c>
      <c r="E72" s="10" t="s">
        <v>693</v>
      </c>
      <c r="F72" s="10" t="s">
        <v>694</v>
      </c>
      <c r="G72" s="10" t="s">
        <v>695</v>
      </c>
      <c r="H72" s="11">
        <v>0</v>
      </c>
      <c r="I72" s="11">
        <v>2374035.2999999998</v>
      </c>
      <c r="J72" s="11">
        <v>0</v>
      </c>
      <c r="K72" s="11">
        <f t="shared" si="9"/>
        <v>0</v>
      </c>
      <c r="L72" s="18">
        <f t="shared" si="7"/>
        <v>0</v>
      </c>
      <c r="M72" s="18">
        <f t="shared" si="8"/>
        <v>0</v>
      </c>
    </row>
    <row r="73" spans="1:13" x14ac:dyDescent="0.3">
      <c r="A73" s="9" t="s">
        <v>88</v>
      </c>
      <c r="B73" s="10" t="s">
        <v>457</v>
      </c>
      <c r="C73" s="10" t="s">
        <v>22</v>
      </c>
      <c r="D73" s="10" t="s">
        <v>48</v>
      </c>
      <c r="E73" s="10" t="s">
        <v>693</v>
      </c>
      <c r="F73" s="10" t="s">
        <v>694</v>
      </c>
      <c r="G73" s="10" t="s">
        <v>699</v>
      </c>
      <c r="H73" s="11">
        <v>0</v>
      </c>
      <c r="I73" s="11">
        <v>3126778.2</v>
      </c>
      <c r="J73" s="11">
        <v>0</v>
      </c>
      <c r="K73" s="11">
        <f t="shared" si="9"/>
        <v>0</v>
      </c>
      <c r="L73" s="18">
        <f t="shared" si="7"/>
        <v>0</v>
      </c>
      <c r="M73" s="18">
        <f t="shared" si="8"/>
        <v>0</v>
      </c>
    </row>
    <row r="74" spans="1:13" x14ac:dyDescent="0.3">
      <c r="A74" s="9" t="s">
        <v>77</v>
      </c>
      <c r="B74" s="10" t="s">
        <v>446</v>
      </c>
      <c r="C74" s="10" t="s">
        <v>20</v>
      </c>
      <c r="D74" s="10" t="s">
        <v>36</v>
      </c>
      <c r="E74" s="10" t="s">
        <v>693</v>
      </c>
      <c r="F74" s="10" t="s">
        <v>694</v>
      </c>
      <c r="G74" s="10" t="s">
        <v>697</v>
      </c>
      <c r="H74" s="11">
        <v>0</v>
      </c>
      <c r="I74" s="11">
        <v>6890492.7000000002</v>
      </c>
      <c r="J74" s="11">
        <v>1900000</v>
      </c>
      <c r="K74" s="11">
        <f t="shared" si="9"/>
        <v>1965517.2413793104</v>
      </c>
      <c r="L74" s="18">
        <f t="shared" si="7"/>
        <v>0.28525060934747237</v>
      </c>
      <c r="M74" s="18">
        <f t="shared" si="8"/>
        <v>0</v>
      </c>
    </row>
    <row r="75" spans="1:13" x14ac:dyDescent="0.3">
      <c r="A75" s="9" t="s">
        <v>107</v>
      </c>
      <c r="B75" s="10" t="s">
        <v>476</v>
      </c>
      <c r="C75" s="10" t="s">
        <v>22</v>
      </c>
      <c r="D75" s="10" t="s">
        <v>40</v>
      </c>
      <c r="E75" s="10" t="s">
        <v>693</v>
      </c>
      <c r="F75" s="10" t="s">
        <v>694</v>
      </c>
      <c r="G75" s="10" t="s">
        <v>698</v>
      </c>
      <c r="H75" s="11">
        <v>0</v>
      </c>
      <c r="I75" s="11">
        <v>1505485.8</v>
      </c>
      <c r="J75" s="11">
        <v>0</v>
      </c>
      <c r="K75" s="11">
        <f t="shared" si="9"/>
        <v>0</v>
      </c>
      <c r="L75" s="18">
        <f t="shared" si="7"/>
        <v>0</v>
      </c>
      <c r="M75" s="18">
        <f t="shared" si="8"/>
        <v>0</v>
      </c>
    </row>
    <row r="76" spans="1:13" x14ac:dyDescent="0.3">
      <c r="A76" s="9" t="s">
        <v>82</v>
      </c>
      <c r="B76" s="10" t="s">
        <v>451</v>
      </c>
      <c r="C76" s="10" t="s">
        <v>22</v>
      </c>
      <c r="D76" s="10" t="s">
        <v>44</v>
      </c>
      <c r="E76" s="10" t="s">
        <v>693</v>
      </c>
      <c r="F76" s="10" t="s">
        <v>694</v>
      </c>
      <c r="G76" s="10" t="s">
        <v>698</v>
      </c>
      <c r="H76" s="11">
        <v>1000000</v>
      </c>
      <c r="I76" s="11">
        <v>5269200.3</v>
      </c>
      <c r="J76" s="11">
        <v>2600000</v>
      </c>
      <c r="K76" s="11">
        <f t="shared" si="9"/>
        <v>2689655.1724137929</v>
      </c>
      <c r="L76" s="18">
        <f t="shared" si="7"/>
        <v>0.51044845883231904</v>
      </c>
      <c r="M76" s="18">
        <f t="shared" si="8"/>
        <v>1.6896551724137929</v>
      </c>
    </row>
    <row r="77" spans="1:13" x14ac:dyDescent="0.3">
      <c r="A77" s="9" t="s">
        <v>89</v>
      </c>
      <c r="B77" s="10" t="s">
        <v>458</v>
      </c>
      <c r="C77" s="10" t="s">
        <v>22</v>
      </c>
      <c r="D77" s="10" t="s">
        <v>40</v>
      </c>
      <c r="E77" s="10" t="s">
        <v>693</v>
      </c>
      <c r="F77" s="10" t="s">
        <v>694</v>
      </c>
      <c r="G77" s="10" t="s">
        <v>698</v>
      </c>
      <c r="H77" s="11">
        <v>0</v>
      </c>
      <c r="I77" s="11">
        <v>3879521.1</v>
      </c>
      <c r="J77" s="11">
        <v>0</v>
      </c>
      <c r="K77" s="11">
        <f t="shared" si="9"/>
        <v>0</v>
      </c>
      <c r="L77" s="18">
        <f t="shared" si="7"/>
        <v>0</v>
      </c>
      <c r="M77" s="18">
        <f t="shared" si="8"/>
        <v>0</v>
      </c>
    </row>
    <row r="78" spans="1:13" x14ac:dyDescent="0.3">
      <c r="A78" s="9" t="s">
        <v>94</v>
      </c>
      <c r="B78" s="10" t="s">
        <v>463</v>
      </c>
      <c r="C78" s="10" t="s">
        <v>22</v>
      </c>
      <c r="D78" s="10" t="s">
        <v>40</v>
      </c>
      <c r="E78" s="10" t="s">
        <v>693</v>
      </c>
      <c r="F78" s="10" t="s">
        <v>694</v>
      </c>
      <c r="G78" s="10" t="s">
        <v>698</v>
      </c>
      <c r="H78" s="11">
        <v>0</v>
      </c>
      <c r="I78" s="11">
        <v>1505485.8</v>
      </c>
      <c r="J78" s="11">
        <v>0</v>
      </c>
      <c r="K78" s="11">
        <f t="shared" si="9"/>
        <v>0</v>
      </c>
      <c r="L78" s="18">
        <f t="shared" si="7"/>
        <v>0</v>
      </c>
      <c r="M78" s="18">
        <f t="shared" si="8"/>
        <v>0</v>
      </c>
    </row>
    <row r="79" spans="1:13" x14ac:dyDescent="0.3">
      <c r="A79" s="9" t="s">
        <v>99</v>
      </c>
      <c r="B79" s="10" t="s">
        <v>468</v>
      </c>
      <c r="C79" s="10" t="s">
        <v>22</v>
      </c>
      <c r="D79" s="10" t="s">
        <v>44</v>
      </c>
      <c r="E79" s="10" t="s">
        <v>693</v>
      </c>
      <c r="F79" s="10" t="s">
        <v>694</v>
      </c>
      <c r="G79" s="10" t="s">
        <v>698</v>
      </c>
      <c r="H79" s="11">
        <v>0</v>
      </c>
      <c r="I79" s="11">
        <v>8801301.5999999996</v>
      </c>
      <c r="J79" s="11">
        <v>2700000</v>
      </c>
      <c r="K79" s="11">
        <f t="shared" si="9"/>
        <v>2793103.4482758623</v>
      </c>
      <c r="L79" s="18">
        <f t="shared" si="7"/>
        <v>0.31735117999772472</v>
      </c>
      <c r="M79" s="18">
        <f t="shared" si="8"/>
        <v>0</v>
      </c>
    </row>
    <row r="80" spans="1:13" x14ac:dyDescent="0.3">
      <c r="A80" s="9" t="s">
        <v>152</v>
      </c>
      <c r="B80" s="10" t="s">
        <v>510</v>
      </c>
      <c r="C80" s="10" t="s">
        <v>22</v>
      </c>
      <c r="D80" s="10" t="s">
        <v>46</v>
      </c>
      <c r="E80" s="10" t="s">
        <v>693</v>
      </c>
      <c r="F80" s="10" t="s">
        <v>694</v>
      </c>
      <c r="G80" s="10" t="s">
        <v>700</v>
      </c>
      <c r="H80" s="11">
        <v>550000</v>
      </c>
      <c r="I80" s="11">
        <v>2677448.5920000002</v>
      </c>
      <c r="J80" s="11">
        <v>550000</v>
      </c>
      <c r="K80" s="11">
        <f t="shared" si="9"/>
        <v>568965.51724137936</v>
      </c>
      <c r="L80" s="18">
        <f t="shared" si="7"/>
        <v>0.21250287267565185</v>
      </c>
      <c r="M80" s="18">
        <f t="shared" si="8"/>
        <v>3.4482758620689752E-2</v>
      </c>
    </row>
    <row r="81" spans="1:13" x14ac:dyDescent="0.3">
      <c r="A81" s="9" t="s">
        <v>153</v>
      </c>
      <c r="B81" s="10" t="s">
        <v>511</v>
      </c>
      <c r="C81" s="10" t="s">
        <v>22</v>
      </c>
      <c r="D81" s="10" t="s">
        <v>46</v>
      </c>
      <c r="E81" s="10" t="s">
        <v>693</v>
      </c>
      <c r="F81" s="10" t="s">
        <v>694</v>
      </c>
      <c r="G81" s="10" t="s">
        <v>700</v>
      </c>
      <c r="H81" s="11">
        <v>1000000</v>
      </c>
      <c r="I81" s="11">
        <v>2517635.4839999997</v>
      </c>
      <c r="J81" s="11">
        <v>0</v>
      </c>
      <c r="K81" s="11">
        <f t="shared" si="9"/>
        <v>0</v>
      </c>
      <c r="L81" s="18">
        <f t="shared" si="7"/>
        <v>0</v>
      </c>
      <c r="M81" s="18">
        <f t="shared" si="8"/>
        <v>-1</v>
      </c>
    </row>
    <row r="82" spans="1:13" x14ac:dyDescent="0.3">
      <c r="A82" s="9" t="s">
        <v>154</v>
      </c>
      <c r="B82" s="10" t="s">
        <v>512</v>
      </c>
      <c r="C82" s="10" t="s">
        <v>22</v>
      </c>
      <c r="D82" s="10" t="s">
        <v>46</v>
      </c>
      <c r="E82" s="10" t="s">
        <v>693</v>
      </c>
      <c r="F82" s="10" t="s">
        <v>694</v>
      </c>
      <c r="G82" s="10" t="s">
        <v>700</v>
      </c>
      <c r="H82" s="11">
        <v>1517928</v>
      </c>
      <c r="I82" s="11">
        <v>1852905.6</v>
      </c>
      <c r="J82" s="11">
        <v>1550000</v>
      </c>
      <c r="K82" s="11">
        <f t="shared" si="9"/>
        <v>1603448.2758620689</v>
      </c>
      <c r="L82" s="18">
        <f t="shared" si="7"/>
        <v>0.86536965286416578</v>
      </c>
      <c r="M82" s="18">
        <f t="shared" si="8"/>
        <v>5.6340139889420889E-2</v>
      </c>
    </row>
    <row r="83" spans="1:13" x14ac:dyDescent="0.3">
      <c r="A83" s="9" t="s">
        <v>155</v>
      </c>
      <c r="B83" s="10" t="s">
        <v>513</v>
      </c>
      <c r="C83" s="10" t="s">
        <v>22</v>
      </c>
      <c r="D83" s="10" t="s">
        <v>42</v>
      </c>
      <c r="E83" s="10" t="s">
        <v>693</v>
      </c>
      <c r="F83" s="10" t="s">
        <v>694</v>
      </c>
      <c r="G83" s="10" t="s">
        <v>699</v>
      </c>
      <c r="H83" s="11">
        <v>0</v>
      </c>
      <c r="I83" s="11">
        <v>1505485.8</v>
      </c>
      <c r="J83" s="11">
        <v>1000000</v>
      </c>
      <c r="K83" s="11">
        <f t="shared" si="9"/>
        <v>1034482.7586206896</v>
      </c>
      <c r="L83" s="18">
        <f t="shared" si="7"/>
        <v>0.68714215612042939</v>
      </c>
      <c r="M83" s="18">
        <f t="shared" si="8"/>
        <v>0</v>
      </c>
    </row>
    <row r="84" spans="1:13" x14ac:dyDescent="0.3">
      <c r="A84" s="9" t="s">
        <v>108</v>
      </c>
      <c r="B84" s="10" t="s">
        <v>477</v>
      </c>
      <c r="C84" s="10" t="s">
        <v>22</v>
      </c>
      <c r="D84" s="10" t="s">
        <v>40</v>
      </c>
      <c r="E84" s="10" t="s">
        <v>693</v>
      </c>
      <c r="F84" s="10" t="s">
        <v>694</v>
      </c>
      <c r="G84" s="10" t="s">
        <v>698</v>
      </c>
      <c r="H84" s="11">
        <v>0</v>
      </c>
      <c r="I84" s="11">
        <v>1679195.7</v>
      </c>
      <c r="J84" s="11">
        <v>0</v>
      </c>
      <c r="K84" s="11">
        <f t="shared" si="9"/>
        <v>0</v>
      </c>
      <c r="L84" s="18">
        <f t="shared" si="7"/>
        <v>0</v>
      </c>
      <c r="M84" s="18">
        <f t="shared" si="8"/>
        <v>0</v>
      </c>
    </row>
    <row r="85" spans="1:13" x14ac:dyDescent="0.3">
      <c r="A85" s="9" t="s">
        <v>114</v>
      </c>
      <c r="B85" s="10" t="s">
        <v>483</v>
      </c>
      <c r="C85" s="10" t="s">
        <v>22</v>
      </c>
      <c r="D85" s="10" t="s">
        <v>44</v>
      </c>
      <c r="E85" s="10" t="s">
        <v>693</v>
      </c>
      <c r="F85" s="10" t="s">
        <v>694</v>
      </c>
      <c r="G85" s="10" t="s">
        <v>698</v>
      </c>
      <c r="H85" s="11">
        <v>195405</v>
      </c>
      <c r="I85" s="11">
        <v>1505485.8</v>
      </c>
      <c r="J85" s="11">
        <v>202703</v>
      </c>
      <c r="K85" s="11">
        <f t="shared" si="9"/>
        <v>209692.75862068965</v>
      </c>
      <c r="L85" s="18">
        <f t="shared" si="7"/>
        <v>0.1392857764720794</v>
      </c>
      <c r="M85" s="18">
        <f t="shared" si="8"/>
        <v>7.311869512392033E-2</v>
      </c>
    </row>
    <row r="86" spans="1:13" x14ac:dyDescent="0.3">
      <c r="A86" s="9" t="s">
        <v>110</v>
      </c>
      <c r="B86" s="10" t="s">
        <v>479</v>
      </c>
      <c r="C86" s="10" t="s">
        <v>22</v>
      </c>
      <c r="D86" s="10" t="s">
        <v>44</v>
      </c>
      <c r="E86" s="10" t="s">
        <v>693</v>
      </c>
      <c r="F86" s="10" t="s">
        <v>694</v>
      </c>
      <c r="G86" s="10" t="s">
        <v>698</v>
      </c>
      <c r="H86" s="11">
        <v>0</v>
      </c>
      <c r="I86" s="11">
        <v>1505485.8</v>
      </c>
      <c r="J86" s="11">
        <v>0</v>
      </c>
      <c r="K86" s="11">
        <f t="shared" si="9"/>
        <v>0</v>
      </c>
      <c r="L86" s="18">
        <f t="shared" si="7"/>
        <v>0</v>
      </c>
      <c r="M86" s="18">
        <f t="shared" si="8"/>
        <v>0</v>
      </c>
    </row>
    <row r="87" spans="1:13" x14ac:dyDescent="0.3">
      <c r="A87" s="9" t="s">
        <v>91</v>
      </c>
      <c r="B87" s="10" t="s">
        <v>460</v>
      </c>
      <c r="C87" s="10" t="s">
        <v>20</v>
      </c>
      <c r="D87" s="10" t="s">
        <v>38</v>
      </c>
      <c r="E87" s="10" t="s">
        <v>693</v>
      </c>
      <c r="F87" s="10" t="s">
        <v>694</v>
      </c>
      <c r="G87" s="10" t="s">
        <v>696</v>
      </c>
      <c r="H87" s="11">
        <v>0</v>
      </c>
      <c r="I87" s="11">
        <v>1505485.8</v>
      </c>
      <c r="J87" s="11">
        <v>2050000</v>
      </c>
      <c r="K87" s="11">
        <f t="shared" si="9"/>
        <v>2120689.6551724141</v>
      </c>
      <c r="L87" s="18">
        <f t="shared" si="7"/>
        <v>1.4086414200468806</v>
      </c>
      <c r="M87" s="18">
        <f t="shared" si="8"/>
        <v>0</v>
      </c>
    </row>
    <row r="88" spans="1:13" x14ac:dyDescent="0.3">
      <c r="A88" s="9" t="s">
        <v>156</v>
      </c>
      <c r="B88" s="10" t="s">
        <v>514</v>
      </c>
      <c r="C88" s="10" t="s">
        <v>22</v>
      </c>
      <c r="D88" s="10" t="s">
        <v>46</v>
      </c>
      <c r="E88" s="10" t="s">
        <v>693</v>
      </c>
      <c r="F88" s="10" t="s">
        <v>694</v>
      </c>
      <c r="G88" s="10" t="s">
        <v>700</v>
      </c>
      <c r="H88" s="11">
        <v>600000</v>
      </c>
      <c r="I88" s="11">
        <v>1505485.8</v>
      </c>
      <c r="J88" s="11">
        <v>850000</v>
      </c>
      <c r="K88" s="11">
        <f t="shared" si="9"/>
        <v>879310.3448275862</v>
      </c>
      <c r="L88" s="18">
        <f t="shared" si="7"/>
        <v>0.58407083270236504</v>
      </c>
      <c r="M88" s="18">
        <f t="shared" si="8"/>
        <v>0.46551724137931033</v>
      </c>
    </row>
    <row r="89" spans="1:13" x14ac:dyDescent="0.3">
      <c r="A89" s="9" t="s">
        <v>71</v>
      </c>
      <c r="B89" s="10" t="s">
        <v>440</v>
      </c>
      <c r="C89" s="10" t="s">
        <v>20</v>
      </c>
      <c r="D89" s="10" t="s">
        <v>36</v>
      </c>
      <c r="E89" s="10" t="s">
        <v>693</v>
      </c>
      <c r="F89" s="10" t="s">
        <v>694</v>
      </c>
      <c r="G89" s="10" t="s">
        <v>697</v>
      </c>
      <c r="H89" s="11">
        <v>0</v>
      </c>
      <c r="I89" s="11">
        <v>1621292.4</v>
      </c>
      <c r="J89" s="11">
        <v>1000000</v>
      </c>
      <c r="K89" s="11">
        <f t="shared" si="9"/>
        <v>1034482.7586206896</v>
      </c>
      <c r="L89" s="18">
        <f t="shared" si="7"/>
        <v>0.6380605735403988</v>
      </c>
      <c r="M89" s="18">
        <f t="shared" si="8"/>
        <v>0</v>
      </c>
    </row>
    <row r="90" spans="1:13" x14ac:dyDescent="0.3">
      <c r="A90" s="9" t="s">
        <v>112</v>
      </c>
      <c r="B90" s="10" t="s">
        <v>481</v>
      </c>
      <c r="C90" s="10" t="s">
        <v>20</v>
      </c>
      <c r="D90" s="10" t="s">
        <v>30</v>
      </c>
      <c r="E90" s="10" t="s">
        <v>693</v>
      </c>
      <c r="F90" s="10" t="s">
        <v>694</v>
      </c>
      <c r="G90" s="10" t="s">
        <v>696</v>
      </c>
      <c r="H90" s="11">
        <v>0</v>
      </c>
      <c r="I90" s="11">
        <v>1505485.8</v>
      </c>
      <c r="J90" s="11">
        <v>0</v>
      </c>
      <c r="K90" s="11">
        <f t="shared" si="9"/>
        <v>0</v>
      </c>
      <c r="L90" s="18">
        <f t="shared" si="7"/>
        <v>0</v>
      </c>
      <c r="M90" s="18">
        <f t="shared" si="8"/>
        <v>0</v>
      </c>
    </row>
    <row r="91" spans="1:13" x14ac:dyDescent="0.3">
      <c r="A91" s="9" t="s">
        <v>39</v>
      </c>
      <c r="B91" s="10" t="s">
        <v>415</v>
      </c>
      <c r="C91" s="10" t="s">
        <v>22</v>
      </c>
      <c r="D91" s="10" t="s">
        <v>42</v>
      </c>
      <c r="E91" s="10" t="s">
        <v>693</v>
      </c>
      <c r="F91" s="10" t="s">
        <v>694</v>
      </c>
      <c r="G91" s="10" t="s">
        <v>699</v>
      </c>
      <c r="H91" s="11">
        <v>0</v>
      </c>
      <c r="I91" s="11">
        <v>1505485.8</v>
      </c>
      <c r="J91" s="11">
        <v>900000</v>
      </c>
      <c r="K91" s="11">
        <f t="shared" si="9"/>
        <v>931034.48275862064</v>
      </c>
      <c r="L91" s="18">
        <f t="shared" si="7"/>
        <v>0.61842794050838645</v>
      </c>
      <c r="M91" s="18">
        <f t="shared" si="8"/>
        <v>0</v>
      </c>
    </row>
    <row r="92" spans="1:13" x14ac:dyDescent="0.3">
      <c r="A92" s="9" t="s">
        <v>106</v>
      </c>
      <c r="B92" s="10" t="s">
        <v>475</v>
      </c>
      <c r="C92" s="10" t="s">
        <v>20</v>
      </c>
      <c r="D92" s="10" t="s">
        <v>38</v>
      </c>
      <c r="E92" s="10" t="s">
        <v>693</v>
      </c>
      <c r="F92" s="10" t="s">
        <v>694</v>
      </c>
      <c r="G92" s="10" t="s">
        <v>696</v>
      </c>
      <c r="H92" s="11">
        <v>1000000</v>
      </c>
      <c r="I92" s="11">
        <v>6369363</v>
      </c>
      <c r="J92" s="11">
        <v>212613</v>
      </c>
      <c r="K92" s="11">
        <f t="shared" si="9"/>
        <v>219944.48275862067</v>
      </c>
      <c r="L92" s="18">
        <f t="shared" si="7"/>
        <v>3.4531629420182314E-2</v>
      </c>
      <c r="M92" s="18">
        <f t="shared" si="8"/>
        <v>-0.78005551724137934</v>
      </c>
    </row>
    <row r="93" spans="1:13" x14ac:dyDescent="0.3">
      <c r="A93" s="9" t="s">
        <v>98</v>
      </c>
      <c r="B93" s="10" t="s">
        <v>467</v>
      </c>
      <c r="C93" s="10" t="s">
        <v>20</v>
      </c>
      <c r="D93" s="10" t="s">
        <v>30</v>
      </c>
      <c r="E93" s="10" t="s">
        <v>693</v>
      </c>
      <c r="F93" s="10" t="s">
        <v>694</v>
      </c>
      <c r="G93" s="10" t="s">
        <v>696</v>
      </c>
      <c r="H93" s="11">
        <v>0</v>
      </c>
      <c r="I93" s="11">
        <v>3995327.7</v>
      </c>
      <c r="J93" s="11">
        <v>0</v>
      </c>
      <c r="K93" s="11">
        <f t="shared" si="9"/>
        <v>0</v>
      </c>
      <c r="L93" s="18">
        <f t="shared" si="7"/>
        <v>0</v>
      </c>
      <c r="M93" s="18">
        <f t="shared" si="8"/>
        <v>0</v>
      </c>
    </row>
    <row r="94" spans="1:13" x14ac:dyDescent="0.3">
      <c r="A94" s="9" t="s">
        <v>105</v>
      </c>
      <c r="B94" s="10" t="s">
        <v>474</v>
      </c>
      <c r="C94" s="10" t="s">
        <v>20</v>
      </c>
      <c r="D94" s="10" t="s">
        <v>32</v>
      </c>
      <c r="E94" s="10" t="s">
        <v>693</v>
      </c>
      <c r="F94" s="10" t="s">
        <v>694</v>
      </c>
      <c r="G94" s="10" t="s">
        <v>696</v>
      </c>
      <c r="H94" s="11">
        <v>900000</v>
      </c>
      <c r="I94" s="11">
        <v>1910808.9</v>
      </c>
      <c r="J94" s="11">
        <v>0</v>
      </c>
      <c r="K94" s="11">
        <f t="shared" si="9"/>
        <v>0</v>
      </c>
      <c r="L94" s="18">
        <f t="shared" si="7"/>
        <v>0</v>
      </c>
      <c r="M94" s="18">
        <f t="shared" si="8"/>
        <v>-1</v>
      </c>
    </row>
    <row r="95" spans="1:13" x14ac:dyDescent="0.3">
      <c r="A95" s="9" t="s">
        <v>109</v>
      </c>
      <c r="B95" s="10" t="s">
        <v>478</v>
      </c>
      <c r="C95" s="10" t="s">
        <v>20</v>
      </c>
      <c r="D95" s="10" t="s">
        <v>30</v>
      </c>
      <c r="E95" s="10" t="s">
        <v>693</v>
      </c>
      <c r="F95" s="10" t="s">
        <v>694</v>
      </c>
      <c r="G95" s="10" t="s">
        <v>696</v>
      </c>
      <c r="H95" s="11">
        <v>2000000</v>
      </c>
      <c r="I95" s="11">
        <v>1505485.8</v>
      </c>
      <c r="J95" s="11">
        <v>0</v>
      </c>
      <c r="K95" s="11">
        <f t="shared" si="9"/>
        <v>0</v>
      </c>
      <c r="L95" s="18">
        <f t="shared" si="7"/>
        <v>0</v>
      </c>
      <c r="M95" s="18">
        <f t="shared" si="8"/>
        <v>-1</v>
      </c>
    </row>
    <row r="96" spans="1:13" x14ac:dyDescent="0.3">
      <c r="A96" s="9" t="s">
        <v>113</v>
      </c>
      <c r="B96" s="10" t="s">
        <v>482</v>
      </c>
      <c r="C96" s="10" t="s">
        <v>20</v>
      </c>
      <c r="D96" s="10" t="s">
        <v>30</v>
      </c>
      <c r="E96" s="10" t="s">
        <v>693</v>
      </c>
      <c r="F96" s="10" t="s">
        <v>694</v>
      </c>
      <c r="G96" s="10" t="s">
        <v>696</v>
      </c>
      <c r="H96" s="11">
        <v>550000</v>
      </c>
      <c r="I96" s="11">
        <v>1505485.8</v>
      </c>
      <c r="J96" s="11">
        <v>1100000</v>
      </c>
      <c r="K96" s="11">
        <f t="shared" si="9"/>
        <v>1137931.0344827587</v>
      </c>
      <c r="L96" s="18">
        <f t="shared" si="7"/>
        <v>0.75585637173247244</v>
      </c>
      <c r="M96" s="18">
        <f t="shared" si="8"/>
        <v>1.0689655172413794</v>
      </c>
    </row>
    <row r="97" spans="1:13" x14ac:dyDescent="0.3">
      <c r="A97" s="9" t="s">
        <v>157</v>
      </c>
      <c r="B97" s="10" t="s">
        <v>515</v>
      </c>
      <c r="C97" s="10" t="s">
        <v>20</v>
      </c>
      <c r="D97" s="10" t="s">
        <v>32</v>
      </c>
      <c r="E97" s="10" t="s">
        <v>693</v>
      </c>
      <c r="F97" s="10" t="s">
        <v>694</v>
      </c>
      <c r="G97" s="10" t="s">
        <v>696</v>
      </c>
      <c r="H97" s="11">
        <v>1000000</v>
      </c>
      <c r="I97" s="11">
        <v>4516457.4000000004</v>
      </c>
      <c r="J97" s="11">
        <v>6500000</v>
      </c>
      <c r="K97" s="11">
        <f t="shared" si="9"/>
        <v>6724137.931034483</v>
      </c>
      <c r="L97" s="18">
        <f t="shared" si="7"/>
        <v>1.4888080049275971</v>
      </c>
      <c r="M97" s="18">
        <f t="shared" si="8"/>
        <v>5.7241379310344831</v>
      </c>
    </row>
    <row r="98" spans="1:13" x14ac:dyDescent="0.3">
      <c r="A98" s="9" t="s">
        <v>102</v>
      </c>
      <c r="B98" s="10" t="s">
        <v>471</v>
      </c>
      <c r="C98" s="10" t="s">
        <v>22</v>
      </c>
      <c r="D98" s="10" t="s">
        <v>28</v>
      </c>
      <c r="E98" s="10" t="s">
        <v>693</v>
      </c>
      <c r="F98" s="10" t="s">
        <v>694</v>
      </c>
      <c r="G98" s="10" t="s">
        <v>695</v>
      </c>
      <c r="H98" s="11">
        <v>0</v>
      </c>
      <c r="I98" s="11">
        <v>1505485.8</v>
      </c>
      <c r="J98" s="11">
        <v>0</v>
      </c>
      <c r="K98" s="11">
        <f t="shared" si="9"/>
        <v>0</v>
      </c>
      <c r="L98" s="18">
        <f t="shared" si="7"/>
        <v>0</v>
      </c>
      <c r="M98" s="18">
        <f t="shared" si="8"/>
        <v>0</v>
      </c>
    </row>
    <row r="99" spans="1:13" x14ac:dyDescent="0.3">
      <c r="A99" s="9" t="s">
        <v>90</v>
      </c>
      <c r="B99" s="10" t="s">
        <v>459</v>
      </c>
      <c r="C99" s="10" t="s">
        <v>22</v>
      </c>
      <c r="D99" s="10" t="s">
        <v>42</v>
      </c>
      <c r="E99" s="10" t="s">
        <v>693</v>
      </c>
      <c r="F99" s="10" t="s">
        <v>694</v>
      </c>
      <c r="G99" s="10" t="s">
        <v>699</v>
      </c>
      <c r="H99" s="11">
        <v>0</v>
      </c>
      <c r="I99" s="11">
        <v>11031736.716</v>
      </c>
      <c r="J99" s="11">
        <v>1000000</v>
      </c>
      <c r="K99" s="11">
        <f t="shared" si="9"/>
        <v>1034482.7586206896</v>
      </c>
      <c r="L99" s="18">
        <f t="shared" si="7"/>
        <v>9.3773336443056715E-2</v>
      </c>
      <c r="M99" s="18">
        <f t="shared" si="8"/>
        <v>0</v>
      </c>
    </row>
    <row r="100" spans="1:13" x14ac:dyDescent="0.3">
      <c r="A100" s="9" t="s">
        <v>158</v>
      </c>
      <c r="B100" s="10" t="s">
        <v>516</v>
      </c>
      <c r="C100" s="10" t="s">
        <v>22</v>
      </c>
      <c r="D100" s="10" t="s">
        <v>40</v>
      </c>
      <c r="E100" s="10" t="s">
        <v>693</v>
      </c>
      <c r="F100" s="10" t="s">
        <v>694</v>
      </c>
      <c r="G100" s="10" t="s">
        <v>698</v>
      </c>
      <c r="H100" s="11">
        <v>1000000</v>
      </c>
      <c r="I100" s="11">
        <v>2084518.8</v>
      </c>
      <c r="J100" s="11">
        <v>0</v>
      </c>
      <c r="K100" s="11">
        <f t="shared" si="9"/>
        <v>0</v>
      </c>
      <c r="L100" s="18">
        <f t="shared" si="7"/>
        <v>0</v>
      </c>
      <c r="M100" s="18">
        <f t="shared" si="8"/>
        <v>-1</v>
      </c>
    </row>
    <row r="101" spans="1:13" x14ac:dyDescent="0.3">
      <c r="A101" s="9" t="s">
        <v>115</v>
      </c>
      <c r="B101" s="10" t="s">
        <v>484</v>
      </c>
      <c r="C101" s="10" t="s">
        <v>22</v>
      </c>
      <c r="D101" s="10" t="s">
        <v>40</v>
      </c>
      <c r="E101" s="10" t="s">
        <v>693</v>
      </c>
      <c r="F101" s="10" t="s">
        <v>694</v>
      </c>
      <c r="G101" s="10" t="s">
        <v>698</v>
      </c>
      <c r="H101" s="11">
        <v>212613</v>
      </c>
      <c r="I101" s="11">
        <v>3010971.6</v>
      </c>
      <c r="J101" s="11">
        <v>0</v>
      </c>
      <c r="K101" s="11">
        <f t="shared" si="9"/>
        <v>0</v>
      </c>
      <c r="L101" s="18">
        <f t="shared" si="7"/>
        <v>0</v>
      </c>
      <c r="M101" s="18">
        <f t="shared" si="8"/>
        <v>-1</v>
      </c>
    </row>
    <row r="102" spans="1:13" x14ac:dyDescent="0.3">
      <c r="A102" s="9" t="s">
        <v>159</v>
      </c>
      <c r="B102" s="10" t="s">
        <v>517</v>
      </c>
      <c r="C102" s="10" t="s">
        <v>20</v>
      </c>
      <c r="D102" s="10" t="s">
        <v>34</v>
      </c>
      <c r="E102" s="10" t="s">
        <v>693</v>
      </c>
      <c r="F102" s="10" t="s">
        <v>694</v>
      </c>
      <c r="G102" s="10" t="s">
        <v>697</v>
      </c>
      <c r="H102" s="11">
        <v>1500000</v>
      </c>
      <c r="I102" s="11">
        <v>12738726</v>
      </c>
      <c r="J102" s="11">
        <v>2725000</v>
      </c>
      <c r="K102" s="11">
        <f t="shared" si="9"/>
        <v>2818965.5172413792</v>
      </c>
      <c r="L102" s="18">
        <f t="shared" si="7"/>
        <v>0.22129100800514739</v>
      </c>
      <c r="M102" s="18">
        <f t="shared" si="8"/>
        <v>0.87931034482758619</v>
      </c>
    </row>
    <row r="103" spans="1:13" x14ac:dyDescent="0.3">
      <c r="A103" s="9" t="s">
        <v>61</v>
      </c>
      <c r="B103" s="10" t="s">
        <v>432</v>
      </c>
      <c r="C103" s="10" t="s">
        <v>22</v>
      </c>
      <c r="D103" s="10" t="s">
        <v>48</v>
      </c>
      <c r="E103" s="10" t="s">
        <v>693</v>
      </c>
      <c r="F103" s="10" t="s">
        <v>694</v>
      </c>
      <c r="G103" s="10" t="s">
        <v>699</v>
      </c>
      <c r="H103" s="11">
        <v>2800000</v>
      </c>
      <c r="I103" s="11">
        <v>23450836.5</v>
      </c>
      <c r="J103" s="11">
        <v>3600000</v>
      </c>
      <c r="K103" s="11">
        <f t="shared" si="9"/>
        <v>3724137.9310344825</v>
      </c>
      <c r="L103" s="18">
        <f t="shared" si="7"/>
        <v>0.15880618719227702</v>
      </c>
      <c r="M103" s="18">
        <f t="shared" si="8"/>
        <v>0.33004926108374377</v>
      </c>
    </row>
    <row r="104" spans="1:13" x14ac:dyDescent="0.3">
      <c r="A104" s="9" t="s">
        <v>160</v>
      </c>
      <c r="B104" s="10" t="s">
        <v>518</v>
      </c>
      <c r="C104" s="10" t="s">
        <v>22</v>
      </c>
      <c r="D104" s="10" t="s">
        <v>40</v>
      </c>
      <c r="E104" s="10" t="s">
        <v>693</v>
      </c>
      <c r="F104" s="10" t="s">
        <v>694</v>
      </c>
      <c r="G104" s="10" t="s">
        <v>698</v>
      </c>
      <c r="H104" s="11">
        <v>615945</v>
      </c>
      <c r="I104" s="11">
        <v>1737099</v>
      </c>
      <c r="J104" s="11">
        <v>850451</v>
      </c>
      <c r="K104" s="11">
        <f t="shared" si="9"/>
        <v>879776.89655172417</v>
      </c>
      <c r="L104" s="18">
        <f t="shared" si="7"/>
        <v>0.50646330263947203</v>
      </c>
      <c r="M104" s="18">
        <f t="shared" si="8"/>
        <v>0.428336777718342</v>
      </c>
    </row>
    <row r="105" spans="1:13" x14ac:dyDescent="0.3">
      <c r="A105" s="9" t="s">
        <v>45</v>
      </c>
      <c r="B105" s="10" t="s">
        <v>418</v>
      </c>
      <c r="C105" s="10" t="s">
        <v>22</v>
      </c>
      <c r="D105" s="10" t="s">
        <v>44</v>
      </c>
      <c r="E105" s="10" t="s">
        <v>693</v>
      </c>
      <c r="F105" s="10" t="s">
        <v>694</v>
      </c>
      <c r="G105" s="10" t="s">
        <v>698</v>
      </c>
      <c r="H105" s="11">
        <v>11189100</v>
      </c>
      <c r="I105" s="11">
        <v>33641817.299999997</v>
      </c>
      <c r="J105" s="11">
        <v>4600000</v>
      </c>
      <c r="K105" s="11">
        <f t="shared" si="9"/>
        <v>4758620.6896551717</v>
      </c>
      <c r="L105" s="18">
        <f t="shared" si="7"/>
        <v>0.1414495729294378</v>
      </c>
      <c r="M105" s="18">
        <f t="shared" si="8"/>
        <v>-0.57470925367945846</v>
      </c>
    </row>
    <row r="106" spans="1:13" x14ac:dyDescent="0.3">
      <c r="A106" s="9" t="s">
        <v>161</v>
      </c>
      <c r="B106" s="10" t="s">
        <v>519</v>
      </c>
      <c r="C106" s="10" t="s">
        <v>22</v>
      </c>
      <c r="D106" s="10" t="s">
        <v>48</v>
      </c>
      <c r="E106" s="10" t="s">
        <v>693</v>
      </c>
      <c r="F106" s="10" t="s">
        <v>694</v>
      </c>
      <c r="G106" s="10" t="s">
        <v>699</v>
      </c>
      <c r="H106" s="11">
        <v>24809010</v>
      </c>
      <c r="I106" s="11">
        <v>53306936.046000004</v>
      </c>
      <c r="J106" s="11">
        <v>25430000</v>
      </c>
      <c r="K106" s="11">
        <f t="shared" si="9"/>
        <v>26306896.55172414</v>
      </c>
      <c r="L106" s="18">
        <f t="shared" si="7"/>
        <v>0.493498567034939</v>
      </c>
      <c r="M106" s="18">
        <f t="shared" si="8"/>
        <v>6.0376716028738737E-2</v>
      </c>
    </row>
    <row r="107" spans="1:13" x14ac:dyDescent="0.3">
      <c r="A107" s="9" t="s">
        <v>43</v>
      </c>
      <c r="B107" s="10" t="s">
        <v>417</v>
      </c>
      <c r="C107" s="10" t="s">
        <v>22</v>
      </c>
      <c r="D107" s="10" t="s">
        <v>44</v>
      </c>
      <c r="E107" s="10" t="s">
        <v>693</v>
      </c>
      <c r="F107" s="10" t="s">
        <v>694</v>
      </c>
      <c r="G107" s="10" t="s">
        <v>698</v>
      </c>
      <c r="H107" s="11">
        <v>117119100</v>
      </c>
      <c r="I107" s="11">
        <v>85002044.400000006</v>
      </c>
      <c r="J107" s="11">
        <v>82108650</v>
      </c>
      <c r="K107" s="11">
        <f t="shared" si="9"/>
        <v>84939982.758620694</v>
      </c>
      <c r="L107" s="18">
        <f t="shared" si="7"/>
        <v>0.99926988060325628</v>
      </c>
      <c r="M107" s="18">
        <f t="shared" si="8"/>
        <v>-0.27475550308514413</v>
      </c>
    </row>
    <row r="108" spans="1:13" x14ac:dyDescent="0.3">
      <c r="A108" s="9" t="s">
        <v>19</v>
      </c>
      <c r="B108" s="10" t="s">
        <v>404</v>
      </c>
      <c r="C108" s="10" t="s">
        <v>22</v>
      </c>
      <c r="D108" s="10" t="s">
        <v>28</v>
      </c>
      <c r="E108" s="10" t="s">
        <v>693</v>
      </c>
      <c r="F108" s="10" t="s">
        <v>694</v>
      </c>
      <c r="G108" s="10" t="s">
        <v>695</v>
      </c>
      <c r="H108" s="11">
        <v>900000</v>
      </c>
      <c r="I108" s="11">
        <v>5385006.9000000004</v>
      </c>
      <c r="J108" s="11">
        <v>1700000</v>
      </c>
      <c r="K108" s="11">
        <f t="shared" si="9"/>
        <v>1758620.6896551724</v>
      </c>
      <c r="L108" s="18">
        <f t="shared" si="7"/>
        <v>0.32657723979056968</v>
      </c>
      <c r="M108" s="18">
        <f t="shared" si="8"/>
        <v>0.95402298850574707</v>
      </c>
    </row>
    <row r="109" spans="1:13" x14ac:dyDescent="0.3">
      <c r="A109" s="9" t="s">
        <v>66</v>
      </c>
      <c r="B109" s="10" t="s">
        <v>436</v>
      </c>
      <c r="C109" s="10" t="s">
        <v>22</v>
      </c>
      <c r="D109" s="10" t="s">
        <v>42</v>
      </c>
      <c r="E109" s="10" t="s">
        <v>693</v>
      </c>
      <c r="F109" s="10" t="s">
        <v>694</v>
      </c>
      <c r="G109" s="10" t="s">
        <v>699</v>
      </c>
      <c r="H109" s="11">
        <v>0</v>
      </c>
      <c r="I109" s="11">
        <v>2721455.1</v>
      </c>
      <c r="J109" s="11">
        <v>550000</v>
      </c>
      <c r="K109" s="11">
        <f t="shared" si="9"/>
        <v>568965.51724137936</v>
      </c>
      <c r="L109" s="18">
        <f t="shared" si="7"/>
        <v>0.20906665601110941</v>
      </c>
      <c r="M109" s="18">
        <f t="shared" si="8"/>
        <v>0</v>
      </c>
    </row>
    <row r="110" spans="1:13" x14ac:dyDescent="0.3">
      <c r="A110" s="9" t="s">
        <v>35</v>
      </c>
      <c r="B110" s="10" t="s">
        <v>413</v>
      </c>
      <c r="C110" s="10" t="s">
        <v>22</v>
      </c>
      <c r="D110" s="10" t="s">
        <v>40</v>
      </c>
      <c r="E110" s="10" t="s">
        <v>693</v>
      </c>
      <c r="F110" s="10" t="s">
        <v>694</v>
      </c>
      <c r="G110" s="10" t="s">
        <v>698</v>
      </c>
      <c r="H110" s="11">
        <v>900000</v>
      </c>
      <c r="I110" s="11">
        <v>3763714.5</v>
      </c>
      <c r="J110" s="11">
        <v>300000</v>
      </c>
      <c r="K110" s="11">
        <f t="shared" si="9"/>
        <v>310344.8275862069</v>
      </c>
      <c r="L110" s="18">
        <f t="shared" si="7"/>
        <v>8.2457058734451541E-2</v>
      </c>
      <c r="M110" s="18">
        <f t="shared" si="8"/>
        <v>-0.65517241379310354</v>
      </c>
    </row>
    <row r="111" spans="1:13" x14ac:dyDescent="0.3">
      <c r="A111" s="9" t="s">
        <v>53</v>
      </c>
      <c r="B111" s="10" t="s">
        <v>424</v>
      </c>
      <c r="C111" s="10" t="s">
        <v>22</v>
      </c>
      <c r="D111" s="10" t="s">
        <v>28</v>
      </c>
      <c r="E111" s="10" t="s">
        <v>693</v>
      </c>
      <c r="F111" s="10" t="s">
        <v>694</v>
      </c>
      <c r="G111" s="10" t="s">
        <v>695</v>
      </c>
      <c r="H111" s="11">
        <v>212613</v>
      </c>
      <c r="I111" s="11">
        <v>1505485.8</v>
      </c>
      <c r="J111" s="11">
        <v>0</v>
      </c>
      <c r="K111" s="11">
        <f t="shared" si="9"/>
        <v>0</v>
      </c>
      <c r="L111" s="18">
        <f t="shared" si="7"/>
        <v>0</v>
      </c>
      <c r="M111" s="18">
        <f t="shared" si="8"/>
        <v>-1</v>
      </c>
    </row>
    <row r="112" spans="1:13" x14ac:dyDescent="0.3">
      <c r="A112" s="9" t="s">
        <v>31</v>
      </c>
      <c r="B112" s="10" t="s">
        <v>411</v>
      </c>
      <c r="C112" s="10" t="s">
        <v>20</v>
      </c>
      <c r="D112" s="10" t="s">
        <v>32</v>
      </c>
      <c r="E112" s="10" t="s">
        <v>693</v>
      </c>
      <c r="F112" s="10" t="s">
        <v>694</v>
      </c>
      <c r="G112" s="10" t="s">
        <v>696</v>
      </c>
      <c r="H112" s="11">
        <v>762613</v>
      </c>
      <c r="I112" s="11">
        <v>1505485.8</v>
      </c>
      <c r="J112" s="11">
        <v>0</v>
      </c>
      <c r="K112" s="11">
        <f t="shared" si="9"/>
        <v>0</v>
      </c>
      <c r="L112" s="18">
        <f t="shared" si="7"/>
        <v>0</v>
      </c>
      <c r="M112" s="18">
        <f t="shared" si="8"/>
        <v>-1</v>
      </c>
    </row>
    <row r="113" spans="1:13" x14ac:dyDescent="0.3">
      <c r="A113" s="9" t="s">
        <v>162</v>
      </c>
      <c r="B113" s="10" t="s">
        <v>520</v>
      </c>
      <c r="C113" s="10" t="s">
        <v>20</v>
      </c>
      <c r="D113" s="10" t="s">
        <v>30</v>
      </c>
      <c r="E113" s="10" t="s">
        <v>693</v>
      </c>
      <c r="F113" s="10" t="s">
        <v>694</v>
      </c>
      <c r="G113" s="10" t="s">
        <v>696</v>
      </c>
      <c r="H113" s="11">
        <v>54255135</v>
      </c>
      <c r="I113" s="11">
        <v>56166201</v>
      </c>
      <c r="J113" s="11">
        <v>48499910</v>
      </c>
      <c r="K113" s="11">
        <f t="shared" si="9"/>
        <v>50172320.68965517</v>
      </c>
      <c r="L113" s="18">
        <f t="shared" si="7"/>
        <v>0.89328314531465591</v>
      </c>
      <c r="M113" s="18">
        <f t="shared" si="8"/>
        <v>-7.5252127017006412E-2</v>
      </c>
    </row>
    <row r="114" spans="1:13" x14ac:dyDescent="0.3">
      <c r="A114" s="9" t="s">
        <v>68</v>
      </c>
      <c r="B114" s="10" t="s">
        <v>437</v>
      </c>
      <c r="C114" s="10" t="s">
        <v>22</v>
      </c>
      <c r="D114" s="10" t="s">
        <v>28</v>
      </c>
      <c r="E114" s="10" t="s">
        <v>693</v>
      </c>
      <c r="F114" s="10" t="s">
        <v>694</v>
      </c>
      <c r="G114" s="10" t="s">
        <v>695</v>
      </c>
      <c r="H114" s="11">
        <v>0</v>
      </c>
      <c r="I114" s="11">
        <v>3532101.3</v>
      </c>
      <c r="J114" s="11">
        <v>0</v>
      </c>
      <c r="K114" s="11">
        <f t="shared" si="9"/>
        <v>0</v>
      </c>
      <c r="L114" s="18">
        <f t="shared" si="7"/>
        <v>0</v>
      </c>
      <c r="M114" s="18">
        <f t="shared" si="8"/>
        <v>0</v>
      </c>
    </row>
    <row r="115" spans="1:13" x14ac:dyDescent="0.3">
      <c r="A115" s="9" t="s">
        <v>76</v>
      </c>
      <c r="B115" s="10" t="s">
        <v>445</v>
      </c>
      <c r="C115" s="10" t="s">
        <v>22</v>
      </c>
      <c r="D115" s="10" t="s">
        <v>48</v>
      </c>
      <c r="E115" s="10" t="s">
        <v>693</v>
      </c>
      <c r="F115" s="10" t="s">
        <v>694</v>
      </c>
      <c r="G115" s="10" t="s">
        <v>699</v>
      </c>
      <c r="H115" s="11">
        <v>0</v>
      </c>
      <c r="I115" s="11">
        <v>6079846.5</v>
      </c>
      <c r="J115" s="11">
        <v>0</v>
      </c>
      <c r="K115" s="11">
        <f t="shared" si="9"/>
        <v>0</v>
      </c>
      <c r="L115" s="18">
        <f t="shared" si="7"/>
        <v>0</v>
      </c>
      <c r="M115" s="18">
        <f t="shared" si="8"/>
        <v>0</v>
      </c>
    </row>
    <row r="116" spans="1:13" x14ac:dyDescent="0.3">
      <c r="A116" s="9" t="s">
        <v>73</v>
      </c>
      <c r="B116" s="10" t="s">
        <v>442</v>
      </c>
      <c r="C116" s="10" t="s">
        <v>22</v>
      </c>
      <c r="D116" s="10" t="s">
        <v>44</v>
      </c>
      <c r="E116" s="10" t="s">
        <v>693</v>
      </c>
      <c r="F116" s="10" t="s">
        <v>694</v>
      </c>
      <c r="G116" s="10" t="s">
        <v>699</v>
      </c>
      <c r="H116" s="11">
        <v>0</v>
      </c>
      <c r="I116" s="11">
        <v>2200325.4</v>
      </c>
      <c r="J116" s="11">
        <v>0</v>
      </c>
      <c r="K116" s="11">
        <f t="shared" si="9"/>
        <v>0</v>
      </c>
      <c r="L116" s="18">
        <f t="shared" si="7"/>
        <v>0</v>
      </c>
      <c r="M116" s="18">
        <f t="shared" si="8"/>
        <v>0</v>
      </c>
    </row>
    <row r="117" spans="1:13" x14ac:dyDescent="0.3">
      <c r="A117" s="9" t="s">
        <v>79</v>
      </c>
      <c r="B117" s="10" t="s">
        <v>448</v>
      </c>
      <c r="C117" s="10" t="s">
        <v>22</v>
      </c>
      <c r="D117" s="10" t="s">
        <v>40</v>
      </c>
      <c r="E117" s="10" t="s">
        <v>693</v>
      </c>
      <c r="F117" s="10" t="s">
        <v>694</v>
      </c>
      <c r="G117" s="10" t="s">
        <v>698</v>
      </c>
      <c r="H117" s="11">
        <v>900000</v>
      </c>
      <c r="I117" s="11">
        <v>2953068.3</v>
      </c>
      <c r="J117" s="11">
        <v>0</v>
      </c>
      <c r="K117" s="11">
        <f t="shared" si="9"/>
        <v>0</v>
      </c>
      <c r="L117" s="18">
        <f t="shared" si="7"/>
        <v>0</v>
      </c>
      <c r="M117" s="18">
        <f t="shared" si="8"/>
        <v>-1</v>
      </c>
    </row>
    <row r="118" spans="1:13" x14ac:dyDescent="0.3">
      <c r="A118" s="9" t="s">
        <v>75</v>
      </c>
      <c r="B118" s="10" t="s">
        <v>444</v>
      </c>
      <c r="C118" s="10" t="s">
        <v>22</v>
      </c>
      <c r="D118" s="10" t="s">
        <v>28</v>
      </c>
      <c r="E118" s="10" t="s">
        <v>693</v>
      </c>
      <c r="F118" s="10" t="s">
        <v>694</v>
      </c>
      <c r="G118" s="10" t="s">
        <v>695</v>
      </c>
      <c r="H118" s="11">
        <v>0</v>
      </c>
      <c r="I118" s="11">
        <v>1505485.8</v>
      </c>
      <c r="J118" s="11">
        <v>0</v>
      </c>
      <c r="K118" s="11">
        <f t="shared" si="9"/>
        <v>0</v>
      </c>
      <c r="L118" s="18">
        <f t="shared" si="7"/>
        <v>0</v>
      </c>
      <c r="M118" s="18">
        <f t="shared" si="8"/>
        <v>0</v>
      </c>
    </row>
    <row r="119" spans="1:13" x14ac:dyDescent="0.3">
      <c r="A119" s="9" t="s">
        <v>55</v>
      </c>
      <c r="B119" s="10" t="s">
        <v>426</v>
      </c>
      <c r="C119" s="10" t="s">
        <v>20</v>
      </c>
      <c r="D119" s="10" t="s">
        <v>36</v>
      </c>
      <c r="E119" s="10" t="s">
        <v>693</v>
      </c>
      <c r="F119" s="10" t="s">
        <v>694</v>
      </c>
      <c r="G119" s="10" t="s">
        <v>697</v>
      </c>
      <c r="H119" s="11">
        <v>1350000</v>
      </c>
      <c r="I119" s="11">
        <v>3300488.1</v>
      </c>
      <c r="J119" s="11">
        <v>0</v>
      </c>
      <c r="K119" s="11">
        <f t="shared" si="9"/>
        <v>0</v>
      </c>
      <c r="L119" s="18">
        <f t="shared" si="7"/>
        <v>0</v>
      </c>
      <c r="M119" s="18">
        <f t="shared" si="8"/>
        <v>-1</v>
      </c>
    </row>
    <row r="120" spans="1:13" x14ac:dyDescent="0.3">
      <c r="A120" s="9" t="s">
        <v>29</v>
      </c>
      <c r="B120" s="10" t="s">
        <v>410</v>
      </c>
      <c r="C120" s="10" t="s">
        <v>20</v>
      </c>
      <c r="D120" s="10" t="s">
        <v>38</v>
      </c>
      <c r="E120" s="10" t="s">
        <v>693</v>
      </c>
      <c r="F120" s="10" t="s">
        <v>694</v>
      </c>
      <c r="G120" s="10" t="s">
        <v>696</v>
      </c>
      <c r="H120" s="11">
        <v>35450000</v>
      </c>
      <c r="I120" s="11">
        <v>22987610.100000001</v>
      </c>
      <c r="J120" s="11">
        <v>41800000</v>
      </c>
      <c r="K120" s="11">
        <f t="shared" si="9"/>
        <v>43241379.31034483</v>
      </c>
      <c r="L120" s="18">
        <f t="shared" si="7"/>
        <v>1.8810732878379919</v>
      </c>
      <c r="M120" s="18">
        <f t="shared" si="8"/>
        <v>0.21978502991099663</v>
      </c>
    </row>
    <row r="121" spans="1:13" x14ac:dyDescent="0.3">
      <c r="A121" s="9" t="s">
        <v>163</v>
      </c>
      <c r="B121" s="10" t="s">
        <v>521</v>
      </c>
      <c r="C121" s="10" t="s">
        <v>118</v>
      </c>
      <c r="D121" s="10" t="s">
        <v>123</v>
      </c>
      <c r="E121" s="10" t="s">
        <v>702</v>
      </c>
      <c r="F121" s="10" t="s">
        <v>694</v>
      </c>
      <c r="G121" s="10" t="s">
        <v>696</v>
      </c>
      <c r="H121" s="11">
        <v>18301900</v>
      </c>
      <c r="I121" s="11">
        <v>9595000</v>
      </c>
      <c r="J121" s="11">
        <v>7034599</v>
      </c>
      <c r="K121" s="11">
        <f t="shared" si="9"/>
        <v>7277171.3793103453</v>
      </c>
      <c r="L121" s="18">
        <f t="shared" si="7"/>
        <v>0.7584337028984206</v>
      </c>
      <c r="M121" s="18">
        <f t="shared" si="8"/>
        <v>-0.60238164456639232</v>
      </c>
    </row>
    <row r="122" spans="1:13" x14ac:dyDescent="0.3">
      <c r="A122" s="9" t="s">
        <v>164</v>
      </c>
      <c r="B122" s="10" t="s">
        <v>522</v>
      </c>
      <c r="C122" s="10" t="s">
        <v>118</v>
      </c>
      <c r="D122" s="10" t="s">
        <v>138</v>
      </c>
      <c r="E122" s="10" t="s">
        <v>702</v>
      </c>
      <c r="F122" s="10" t="s">
        <v>694</v>
      </c>
      <c r="G122" s="10" t="s">
        <v>698</v>
      </c>
      <c r="H122" s="11">
        <v>55334883</v>
      </c>
      <c r="I122" s="11">
        <v>56189362.32</v>
      </c>
      <c r="J122" s="11">
        <v>20841000</v>
      </c>
      <c r="K122" s="11">
        <f t="shared" si="9"/>
        <v>21559655.172413796</v>
      </c>
      <c r="L122" s="18">
        <f t="shared" si="7"/>
        <v>0.3836963845510642</v>
      </c>
      <c r="M122" s="18">
        <f t="shared" si="8"/>
        <v>-0.61037858935359457</v>
      </c>
    </row>
    <row r="123" spans="1:13" x14ac:dyDescent="0.3">
      <c r="A123" s="9" t="s">
        <v>165</v>
      </c>
      <c r="B123" s="10" t="s">
        <v>523</v>
      </c>
      <c r="C123" s="10" t="s">
        <v>118</v>
      </c>
      <c r="D123" s="10" t="s">
        <v>138</v>
      </c>
      <c r="E123" s="10" t="s">
        <v>703</v>
      </c>
      <c r="F123" s="10" t="s">
        <v>694</v>
      </c>
      <c r="G123" s="10" t="s">
        <v>698</v>
      </c>
      <c r="H123" s="11">
        <v>17700000</v>
      </c>
      <c r="I123" s="11">
        <v>19918735.199999999</v>
      </c>
      <c r="J123" s="11">
        <v>2500000</v>
      </c>
      <c r="K123" s="11">
        <f t="shared" si="9"/>
        <v>2586206.8965517245</v>
      </c>
      <c r="L123" s="18">
        <f t="shared" si="7"/>
        <v>0.12983790740647652</v>
      </c>
      <c r="M123" s="18">
        <f t="shared" si="8"/>
        <v>-0.85388661601402682</v>
      </c>
    </row>
    <row r="124" spans="1:13" x14ac:dyDescent="0.3">
      <c r="A124" s="9" t="s">
        <v>166</v>
      </c>
      <c r="B124" s="10" t="s">
        <v>524</v>
      </c>
      <c r="C124" s="10" t="s">
        <v>118</v>
      </c>
      <c r="D124" s="10" t="s">
        <v>138</v>
      </c>
      <c r="E124" s="10" t="s">
        <v>703</v>
      </c>
      <c r="F124" s="10" t="s">
        <v>694</v>
      </c>
      <c r="G124" s="10" t="s">
        <v>698</v>
      </c>
      <c r="H124" s="11">
        <v>21450000</v>
      </c>
      <c r="I124" s="11">
        <v>14313695.76</v>
      </c>
      <c r="J124" s="11">
        <v>10950000</v>
      </c>
      <c r="K124" s="11">
        <f t="shared" si="9"/>
        <v>11327586.206896551</v>
      </c>
      <c r="L124" s="18">
        <f t="shared" si="7"/>
        <v>0.79138095407559161</v>
      </c>
      <c r="M124" s="18">
        <f t="shared" si="8"/>
        <v>-0.47190740294188571</v>
      </c>
    </row>
    <row r="125" spans="1:13" x14ac:dyDescent="0.3">
      <c r="A125" s="9" t="s">
        <v>167</v>
      </c>
      <c r="B125" s="10" t="s">
        <v>525</v>
      </c>
      <c r="C125" s="10" t="s">
        <v>118</v>
      </c>
      <c r="D125" s="10" t="s">
        <v>138</v>
      </c>
      <c r="E125" s="10" t="s">
        <v>703</v>
      </c>
      <c r="F125" s="10" t="s">
        <v>694</v>
      </c>
      <c r="G125" s="10" t="s">
        <v>700</v>
      </c>
      <c r="H125" s="11">
        <v>3800000</v>
      </c>
      <c r="I125" s="11">
        <v>6392524.3200000003</v>
      </c>
      <c r="J125" s="11">
        <v>3000000</v>
      </c>
      <c r="K125" s="11">
        <f t="shared" si="9"/>
        <v>3103448.2758620693</v>
      </c>
      <c r="L125" s="18">
        <f t="shared" si="7"/>
        <v>0.48548087117204258</v>
      </c>
      <c r="M125" s="18">
        <f t="shared" si="8"/>
        <v>-0.18330308529945544</v>
      </c>
    </row>
    <row r="126" spans="1:13" x14ac:dyDescent="0.3">
      <c r="A126" s="9" t="s">
        <v>168</v>
      </c>
      <c r="B126" s="10" t="s">
        <v>526</v>
      </c>
      <c r="C126" s="10" t="s">
        <v>118</v>
      </c>
      <c r="D126" s="10" t="s">
        <v>123</v>
      </c>
      <c r="E126" s="10" t="s">
        <v>703</v>
      </c>
      <c r="F126" s="10" t="s">
        <v>694</v>
      </c>
      <c r="G126" s="10" t="s">
        <v>696</v>
      </c>
      <c r="H126" s="11">
        <v>23010000</v>
      </c>
      <c r="I126" s="11">
        <v>55550000</v>
      </c>
      <c r="J126" s="11">
        <v>24350000</v>
      </c>
      <c r="K126" s="11">
        <f t="shared" si="9"/>
        <v>25189655.172413796</v>
      </c>
      <c r="L126" s="18">
        <f t="shared" si="7"/>
        <v>0.45345913901735008</v>
      </c>
      <c r="M126" s="18">
        <f t="shared" si="8"/>
        <v>9.4726430787214086E-2</v>
      </c>
    </row>
    <row r="127" spans="1:13" x14ac:dyDescent="0.3">
      <c r="A127" s="9" t="s">
        <v>169</v>
      </c>
      <c r="B127" s="10" t="s">
        <v>527</v>
      </c>
      <c r="C127" s="10" t="s">
        <v>118</v>
      </c>
      <c r="D127" s="10" t="s">
        <v>138</v>
      </c>
      <c r="E127" s="10" t="s">
        <v>703</v>
      </c>
      <c r="F127" s="10" t="s">
        <v>694</v>
      </c>
      <c r="G127" s="10" t="s">
        <v>699</v>
      </c>
      <c r="H127" s="11">
        <v>17850000</v>
      </c>
      <c r="I127" s="11">
        <v>29600166.960000001</v>
      </c>
      <c r="J127" s="11">
        <v>10320000</v>
      </c>
      <c r="K127" s="11">
        <f t="shared" si="9"/>
        <v>10675862.068965517</v>
      </c>
      <c r="L127" s="18">
        <f t="shared" si="7"/>
        <v>0.36066898147541787</v>
      </c>
      <c r="M127" s="18">
        <f t="shared" si="8"/>
        <v>-0.40191248913358446</v>
      </c>
    </row>
    <row r="128" spans="1:13" x14ac:dyDescent="0.3">
      <c r="A128" s="9" t="s">
        <v>170</v>
      </c>
      <c r="B128" s="10" t="s">
        <v>528</v>
      </c>
      <c r="C128" s="10" t="s">
        <v>118</v>
      </c>
      <c r="D128" s="10" t="s">
        <v>123</v>
      </c>
      <c r="E128" s="10" t="s">
        <v>703</v>
      </c>
      <c r="F128" s="10" t="s">
        <v>694</v>
      </c>
      <c r="G128" s="10" t="s">
        <v>696</v>
      </c>
      <c r="H128" s="11">
        <v>72015315</v>
      </c>
      <c r="I128" s="11">
        <v>75750000</v>
      </c>
      <c r="J128" s="11">
        <v>42032613</v>
      </c>
      <c r="K128" s="11">
        <f t="shared" si="9"/>
        <v>43482013.448275864</v>
      </c>
      <c r="L128" s="18">
        <f t="shared" si="7"/>
        <v>0.5740199795151929</v>
      </c>
      <c r="M128" s="18">
        <f t="shared" si="8"/>
        <v>-0.39621157738078538</v>
      </c>
    </row>
    <row r="129" spans="1:13" x14ac:dyDescent="0.3">
      <c r="A129" s="9" t="s">
        <v>171</v>
      </c>
      <c r="B129" s="10" t="s">
        <v>529</v>
      </c>
      <c r="C129" s="10" t="s">
        <v>118</v>
      </c>
      <c r="D129" s="10" t="s">
        <v>138</v>
      </c>
      <c r="E129" s="10" t="s">
        <v>703</v>
      </c>
      <c r="F129" s="10" t="s">
        <v>694</v>
      </c>
      <c r="G129" s="10" t="s">
        <v>699</v>
      </c>
      <c r="H129" s="11">
        <v>14900000</v>
      </c>
      <c r="I129" s="11">
        <v>24731850.500266671</v>
      </c>
      <c r="J129" s="11">
        <v>11700000</v>
      </c>
      <c r="K129" s="11">
        <f t="shared" si="9"/>
        <v>12103448.27586207</v>
      </c>
      <c r="L129" s="18">
        <f t="shared" si="7"/>
        <v>0.48938708713816481</v>
      </c>
      <c r="M129" s="18">
        <f t="shared" si="8"/>
        <v>-0.1876880351770423</v>
      </c>
    </row>
    <row r="130" spans="1:13" x14ac:dyDescent="0.3">
      <c r="A130" s="9" t="s">
        <v>172</v>
      </c>
      <c r="B130" s="10" t="s">
        <v>530</v>
      </c>
      <c r="C130" s="10" t="s">
        <v>118</v>
      </c>
      <c r="D130" s="10" t="s">
        <v>138</v>
      </c>
      <c r="E130" s="10" t="s">
        <v>703</v>
      </c>
      <c r="F130" s="10" t="s">
        <v>694</v>
      </c>
      <c r="G130" s="10" t="s">
        <v>695</v>
      </c>
      <c r="H130" s="11">
        <v>20700000</v>
      </c>
      <c r="I130" s="11">
        <v>4539618.72</v>
      </c>
      <c r="J130" s="11">
        <v>7650000</v>
      </c>
      <c r="K130" s="11">
        <f t="shared" si="9"/>
        <v>7913793.1034482764</v>
      </c>
      <c r="L130" s="18">
        <f t="shared" si="7"/>
        <v>1.7432726384228754</v>
      </c>
      <c r="M130" s="18">
        <f t="shared" si="8"/>
        <v>-0.61769115442278866</v>
      </c>
    </row>
    <row r="131" spans="1:13" x14ac:dyDescent="0.3">
      <c r="A131" s="9" t="s">
        <v>173</v>
      </c>
      <c r="B131" s="10" t="s">
        <v>531</v>
      </c>
      <c r="C131" s="10" t="s">
        <v>118</v>
      </c>
      <c r="D131" s="10" t="s">
        <v>138</v>
      </c>
      <c r="E131" s="10" t="s">
        <v>703</v>
      </c>
      <c r="F131" s="10" t="s">
        <v>694</v>
      </c>
      <c r="G131" s="10" t="s">
        <v>698</v>
      </c>
      <c r="H131" s="11">
        <v>8500000</v>
      </c>
      <c r="I131" s="11">
        <v>20474606.879999999</v>
      </c>
      <c r="J131" s="11">
        <v>3900000</v>
      </c>
      <c r="K131" s="11">
        <f t="shared" si="9"/>
        <v>4034482.7586206896</v>
      </c>
      <c r="L131" s="18">
        <f t="shared" si="7"/>
        <v>0.19704811829924082</v>
      </c>
      <c r="M131" s="18">
        <f t="shared" si="8"/>
        <v>-0.52535496957403649</v>
      </c>
    </row>
    <row r="132" spans="1:13" x14ac:dyDescent="0.3">
      <c r="A132" s="9" t="s">
        <v>174</v>
      </c>
      <c r="B132" s="10" t="s">
        <v>532</v>
      </c>
      <c r="C132" s="10" t="s">
        <v>118</v>
      </c>
      <c r="D132" s="10" t="s">
        <v>138</v>
      </c>
      <c r="E132" s="10" t="s">
        <v>703</v>
      </c>
      <c r="F132" s="10" t="s">
        <v>694</v>
      </c>
      <c r="G132" s="10" t="s">
        <v>698</v>
      </c>
      <c r="H132" s="11">
        <v>5950000</v>
      </c>
      <c r="I132" s="11">
        <v>3983747.04</v>
      </c>
      <c r="J132" s="11">
        <v>2700000</v>
      </c>
      <c r="K132" s="11">
        <f t="shared" si="9"/>
        <v>2793103.4482758623</v>
      </c>
      <c r="L132" s="18">
        <f t="shared" si="7"/>
        <v>0.70112469999497318</v>
      </c>
      <c r="M132" s="18">
        <f t="shared" si="8"/>
        <v>-0.53057084902926688</v>
      </c>
    </row>
    <row r="133" spans="1:13" x14ac:dyDescent="0.3">
      <c r="A133" s="9" t="s">
        <v>175</v>
      </c>
      <c r="B133" s="10" t="s">
        <v>533</v>
      </c>
      <c r="C133" s="10" t="s">
        <v>118</v>
      </c>
      <c r="D133" s="10" t="s">
        <v>136</v>
      </c>
      <c r="E133" s="10" t="s">
        <v>704</v>
      </c>
      <c r="F133" s="10" t="s">
        <v>694</v>
      </c>
      <c r="G133" s="10" t="s">
        <v>696</v>
      </c>
      <c r="H133" s="11">
        <v>82321802</v>
      </c>
      <c r="I133" s="11">
        <v>65807100.450000003</v>
      </c>
      <c r="J133" s="11">
        <v>37920000</v>
      </c>
      <c r="K133" s="11">
        <f t="shared" si="9"/>
        <v>39227586.206896551</v>
      </c>
      <c r="L133" s="18">
        <f t="shared" ref="L133:L196" si="10">IFERROR((K133/I133),0)</f>
        <v>0.59609959926287182</v>
      </c>
      <c r="M133" s="18">
        <f t="shared" ref="M133:M196" si="11">IFERROR((K133-H133)/H133,0)</f>
        <v>-0.5234848454010208</v>
      </c>
    </row>
    <row r="134" spans="1:13" x14ac:dyDescent="0.3">
      <c r="A134" s="9" t="s">
        <v>176</v>
      </c>
      <c r="B134" s="10" t="s">
        <v>534</v>
      </c>
      <c r="C134" s="10" t="s">
        <v>118</v>
      </c>
      <c r="D134" s="10" t="s">
        <v>136</v>
      </c>
      <c r="E134" s="10" t="s">
        <v>704</v>
      </c>
      <c r="F134" s="10" t="s">
        <v>694</v>
      </c>
      <c r="G134" s="10" t="s">
        <v>697</v>
      </c>
      <c r="H134" s="11">
        <v>29400000</v>
      </c>
      <c r="I134" s="11">
        <v>22640190.300000001</v>
      </c>
      <c r="J134" s="11">
        <v>12550000</v>
      </c>
      <c r="K134" s="11">
        <f t="shared" ref="K134:K196" si="12">IFERROR(J134/$A$1*$B$1,0)</f>
        <v>12982758.620689657</v>
      </c>
      <c r="L134" s="18">
        <f t="shared" si="10"/>
        <v>0.57343858194909503</v>
      </c>
      <c r="M134" s="18">
        <f t="shared" si="11"/>
        <v>-0.55840957072484165</v>
      </c>
    </row>
    <row r="135" spans="1:13" x14ac:dyDescent="0.3">
      <c r="A135" s="9" t="s">
        <v>177</v>
      </c>
      <c r="B135" s="10" t="s">
        <v>535</v>
      </c>
      <c r="C135" s="10" t="s">
        <v>118</v>
      </c>
      <c r="D135" s="10" t="s">
        <v>134</v>
      </c>
      <c r="E135" s="10" t="s">
        <v>704</v>
      </c>
      <c r="F135" s="10" t="s">
        <v>694</v>
      </c>
      <c r="G135" s="10" t="s">
        <v>695</v>
      </c>
      <c r="H135" s="11">
        <v>3000000</v>
      </c>
      <c r="I135" s="11">
        <v>12548408.333333332</v>
      </c>
      <c r="J135" s="11">
        <v>2900000</v>
      </c>
      <c r="K135" s="11">
        <f t="shared" si="12"/>
        <v>3000000</v>
      </c>
      <c r="L135" s="18">
        <f t="shared" si="10"/>
        <v>0.23907414552576059</v>
      </c>
      <c r="M135" s="18">
        <f t="shared" si="11"/>
        <v>0</v>
      </c>
    </row>
    <row r="136" spans="1:13" x14ac:dyDescent="0.3">
      <c r="A136" s="9" t="s">
        <v>178</v>
      </c>
      <c r="B136" s="10" t="s">
        <v>536</v>
      </c>
      <c r="C136" s="10" t="s">
        <v>118</v>
      </c>
      <c r="D136" s="10" t="s">
        <v>134</v>
      </c>
      <c r="E136" s="10" t="s">
        <v>704</v>
      </c>
      <c r="F136" s="10" t="s">
        <v>694</v>
      </c>
      <c r="G136" s="10" t="s">
        <v>699</v>
      </c>
      <c r="H136" s="11">
        <v>43105315</v>
      </c>
      <c r="I136" s="11">
        <v>35177317.472000003</v>
      </c>
      <c r="J136" s="11">
        <v>28580000</v>
      </c>
      <c r="K136" s="11">
        <f t="shared" si="12"/>
        <v>29565517.241379313</v>
      </c>
      <c r="L136" s="18">
        <f t="shared" si="10"/>
        <v>0.84047105822985224</v>
      </c>
      <c r="M136" s="18">
        <f t="shared" si="11"/>
        <v>-0.31410970453691583</v>
      </c>
    </row>
    <row r="137" spans="1:13" x14ac:dyDescent="0.3">
      <c r="A137" s="9" t="s">
        <v>179</v>
      </c>
      <c r="B137" s="10" t="s">
        <v>537</v>
      </c>
      <c r="C137" s="10" t="s">
        <v>118</v>
      </c>
      <c r="D137" s="10" t="s">
        <v>134</v>
      </c>
      <c r="E137" s="10" t="s">
        <v>704</v>
      </c>
      <c r="F137" s="10" t="s">
        <v>694</v>
      </c>
      <c r="G137" s="10" t="s">
        <v>698</v>
      </c>
      <c r="H137" s="11">
        <v>28800000</v>
      </c>
      <c r="I137" s="11">
        <v>32526599.742000002</v>
      </c>
      <c r="J137" s="11">
        <v>10820000</v>
      </c>
      <c r="K137" s="11">
        <f t="shared" si="12"/>
        <v>11193103.448275862</v>
      </c>
      <c r="L137" s="18">
        <f t="shared" si="10"/>
        <v>0.34412153551429348</v>
      </c>
      <c r="M137" s="18">
        <f t="shared" si="11"/>
        <v>-0.61135057471264365</v>
      </c>
    </row>
    <row r="138" spans="1:13" x14ac:dyDescent="0.3">
      <c r="A138" s="9" t="s">
        <v>180</v>
      </c>
      <c r="B138" s="10" t="s">
        <v>538</v>
      </c>
      <c r="C138" s="10" t="s">
        <v>118</v>
      </c>
      <c r="D138" s="10" t="s">
        <v>136</v>
      </c>
      <c r="E138" s="10" t="s">
        <v>704</v>
      </c>
      <c r="F138" s="10" t="s">
        <v>694</v>
      </c>
      <c r="G138" s="10" t="s">
        <v>697</v>
      </c>
      <c r="H138" s="11">
        <v>5650000</v>
      </c>
      <c r="I138" s="11">
        <v>5790330</v>
      </c>
      <c r="J138" s="11">
        <v>7970000</v>
      </c>
      <c r="K138" s="11">
        <f t="shared" si="12"/>
        <v>8244827.5862068972</v>
      </c>
      <c r="L138" s="18">
        <f t="shared" si="10"/>
        <v>1.4238959759127541</v>
      </c>
      <c r="M138" s="18">
        <f t="shared" si="11"/>
        <v>0.45926151968263668</v>
      </c>
    </row>
    <row r="139" spans="1:13" x14ac:dyDescent="0.3">
      <c r="A139" s="9" t="s">
        <v>181</v>
      </c>
      <c r="B139" s="10" t="s">
        <v>539</v>
      </c>
      <c r="C139" s="10" t="s">
        <v>118</v>
      </c>
      <c r="D139" s="10" t="s">
        <v>136</v>
      </c>
      <c r="E139" s="10" t="s">
        <v>704</v>
      </c>
      <c r="F139" s="10" t="s">
        <v>694</v>
      </c>
      <c r="G139" s="10" t="s">
        <v>697</v>
      </c>
      <c r="H139" s="11">
        <v>0</v>
      </c>
      <c r="I139" s="11">
        <v>4166721.4680000003</v>
      </c>
      <c r="J139" s="11">
        <v>0</v>
      </c>
      <c r="K139" s="11">
        <f t="shared" si="12"/>
        <v>0</v>
      </c>
      <c r="L139" s="18">
        <f t="shared" si="10"/>
        <v>0</v>
      </c>
      <c r="M139" s="18">
        <f t="shared" si="11"/>
        <v>0</v>
      </c>
    </row>
    <row r="140" spans="1:13" x14ac:dyDescent="0.3">
      <c r="A140" s="9" t="s">
        <v>182</v>
      </c>
      <c r="B140" s="10" t="s">
        <v>540</v>
      </c>
      <c r="C140" s="10" t="s">
        <v>118</v>
      </c>
      <c r="D140" s="10" t="s">
        <v>136</v>
      </c>
      <c r="E140" s="10" t="s">
        <v>704</v>
      </c>
      <c r="F140" s="10" t="s">
        <v>694</v>
      </c>
      <c r="G140" s="10" t="s">
        <v>697</v>
      </c>
      <c r="H140" s="11">
        <v>9300000</v>
      </c>
      <c r="I140" s="11">
        <v>14302115.1</v>
      </c>
      <c r="J140" s="11">
        <v>1112613</v>
      </c>
      <c r="K140" s="11">
        <f t="shared" si="12"/>
        <v>1150978.9655172413</v>
      </c>
      <c r="L140" s="18">
        <f t="shared" si="10"/>
        <v>8.0476136394486253E-2</v>
      </c>
      <c r="M140" s="18">
        <f t="shared" si="11"/>
        <v>-0.87623882091212457</v>
      </c>
    </row>
    <row r="141" spans="1:13" x14ac:dyDescent="0.3">
      <c r="A141" s="9" t="s">
        <v>183</v>
      </c>
      <c r="B141" s="10" t="s">
        <v>541</v>
      </c>
      <c r="C141" s="10" t="s">
        <v>118</v>
      </c>
      <c r="D141" s="10" t="s">
        <v>134</v>
      </c>
      <c r="E141" s="10" t="s">
        <v>704</v>
      </c>
      <c r="F141" s="10" t="s">
        <v>694</v>
      </c>
      <c r="G141" s="10" t="s">
        <v>698</v>
      </c>
      <c r="H141" s="11">
        <v>35808018</v>
      </c>
      <c r="I141" s="11">
        <v>72089608.5</v>
      </c>
      <c r="J141" s="11">
        <v>20600000</v>
      </c>
      <c r="K141" s="11">
        <f t="shared" si="12"/>
        <v>21310344.827586204</v>
      </c>
      <c r="L141" s="18">
        <f t="shared" si="10"/>
        <v>0.29560910748441926</v>
      </c>
      <c r="M141" s="18">
        <f t="shared" si="11"/>
        <v>-0.40487225996182746</v>
      </c>
    </row>
    <row r="142" spans="1:13" x14ac:dyDescent="0.3">
      <c r="A142" s="9" t="s">
        <v>184</v>
      </c>
      <c r="B142" s="10" t="s">
        <v>542</v>
      </c>
      <c r="C142" s="10" t="s">
        <v>118</v>
      </c>
      <c r="D142" s="10" t="s">
        <v>136</v>
      </c>
      <c r="E142" s="10" t="s">
        <v>704</v>
      </c>
      <c r="F142" s="10" t="s">
        <v>694</v>
      </c>
      <c r="G142" s="10" t="s">
        <v>697</v>
      </c>
      <c r="H142" s="11">
        <v>0</v>
      </c>
      <c r="I142" s="11">
        <v>3474198</v>
      </c>
      <c r="J142" s="11">
        <v>0</v>
      </c>
      <c r="K142" s="11">
        <f t="shared" si="12"/>
        <v>0</v>
      </c>
      <c r="L142" s="18">
        <f t="shared" si="10"/>
        <v>0</v>
      </c>
      <c r="M142" s="18">
        <f t="shared" si="11"/>
        <v>0</v>
      </c>
    </row>
    <row r="143" spans="1:13" x14ac:dyDescent="0.3">
      <c r="A143" s="9" t="s">
        <v>185</v>
      </c>
      <c r="B143" s="10" t="s">
        <v>543</v>
      </c>
      <c r="C143" s="10" t="s">
        <v>118</v>
      </c>
      <c r="D143" s="10" t="s">
        <v>134</v>
      </c>
      <c r="E143" s="10" t="s">
        <v>704</v>
      </c>
      <c r="F143" s="10" t="s">
        <v>694</v>
      </c>
      <c r="G143" s="10" t="s">
        <v>700</v>
      </c>
      <c r="H143" s="11">
        <v>2000000</v>
      </c>
      <c r="I143" s="11">
        <v>9611947.8000000007</v>
      </c>
      <c r="J143" s="11">
        <v>0</v>
      </c>
      <c r="K143" s="11">
        <f t="shared" si="12"/>
        <v>0</v>
      </c>
      <c r="L143" s="18">
        <f t="shared" si="10"/>
        <v>0</v>
      </c>
      <c r="M143" s="18">
        <f t="shared" si="11"/>
        <v>-1</v>
      </c>
    </row>
    <row r="144" spans="1:13" x14ac:dyDescent="0.3">
      <c r="A144" s="9" t="s">
        <v>186</v>
      </c>
      <c r="B144" s="10" t="s">
        <v>544</v>
      </c>
      <c r="C144" s="10" t="s">
        <v>118</v>
      </c>
      <c r="D144" s="10" t="s">
        <v>134</v>
      </c>
      <c r="E144" s="10" t="s">
        <v>704</v>
      </c>
      <c r="F144" s="10" t="s">
        <v>694</v>
      </c>
      <c r="G144" s="10" t="s">
        <v>698</v>
      </c>
      <c r="H144" s="11">
        <v>1350000</v>
      </c>
      <c r="I144" s="11">
        <v>4169037.6</v>
      </c>
      <c r="J144" s="11">
        <v>2800000</v>
      </c>
      <c r="K144" s="11">
        <f t="shared" si="12"/>
        <v>2896551.7241379307</v>
      </c>
      <c r="L144" s="18">
        <f t="shared" si="10"/>
        <v>0.69477706896621194</v>
      </c>
      <c r="M144" s="18">
        <f t="shared" si="11"/>
        <v>1.1455938697318004</v>
      </c>
    </row>
    <row r="145" spans="1:13" x14ac:dyDescent="0.3">
      <c r="A145" s="9" t="s">
        <v>187</v>
      </c>
      <c r="B145" s="10" t="s">
        <v>545</v>
      </c>
      <c r="C145" s="10" t="s">
        <v>118</v>
      </c>
      <c r="D145" s="10" t="s">
        <v>136</v>
      </c>
      <c r="E145" s="10" t="s">
        <v>704</v>
      </c>
      <c r="F145" s="10" t="s">
        <v>694</v>
      </c>
      <c r="G145" s="10" t="s">
        <v>697</v>
      </c>
      <c r="H145" s="11">
        <v>2200000</v>
      </c>
      <c r="I145" s="11">
        <v>5674523.4000000004</v>
      </c>
      <c r="J145" s="11">
        <v>1375000</v>
      </c>
      <c r="K145" s="11">
        <f t="shared" si="12"/>
        <v>1422413.7931034483</v>
      </c>
      <c r="L145" s="18">
        <f t="shared" si="10"/>
        <v>0.25066665389087095</v>
      </c>
      <c r="M145" s="18">
        <f t="shared" si="11"/>
        <v>-0.35344827586206895</v>
      </c>
    </row>
    <row r="146" spans="1:13" x14ac:dyDescent="0.3">
      <c r="A146" s="9" t="s">
        <v>188</v>
      </c>
      <c r="B146" s="10" t="s">
        <v>546</v>
      </c>
      <c r="C146" s="10" t="s">
        <v>118</v>
      </c>
      <c r="D146" s="10" t="s">
        <v>134</v>
      </c>
      <c r="E146" s="10" t="s">
        <v>704</v>
      </c>
      <c r="F146" s="10" t="s">
        <v>694</v>
      </c>
      <c r="G146" s="10" t="s">
        <v>700</v>
      </c>
      <c r="H146" s="11">
        <v>0</v>
      </c>
      <c r="I146" s="11">
        <v>1505485.8</v>
      </c>
      <c r="J146" s="11">
        <v>0</v>
      </c>
      <c r="K146" s="11">
        <f t="shared" si="12"/>
        <v>0</v>
      </c>
      <c r="L146" s="18">
        <f t="shared" si="10"/>
        <v>0</v>
      </c>
      <c r="M146" s="18">
        <f t="shared" si="11"/>
        <v>0</v>
      </c>
    </row>
    <row r="147" spans="1:13" x14ac:dyDescent="0.3">
      <c r="A147" s="9" t="s">
        <v>189</v>
      </c>
      <c r="B147" s="10" t="s">
        <v>547</v>
      </c>
      <c r="C147" s="10" t="s">
        <v>118</v>
      </c>
      <c r="D147" s="10" t="s">
        <v>136</v>
      </c>
      <c r="E147" s="10" t="s">
        <v>704</v>
      </c>
      <c r="F147" s="10" t="s">
        <v>694</v>
      </c>
      <c r="G147" s="10" t="s">
        <v>696</v>
      </c>
      <c r="H147" s="11">
        <v>135915135</v>
      </c>
      <c r="I147" s="11">
        <v>89607672.881999999</v>
      </c>
      <c r="J147" s="11">
        <v>70592794</v>
      </c>
      <c r="K147" s="11">
        <f t="shared" si="12"/>
        <v>73027028.275862068</v>
      </c>
      <c r="L147" s="18">
        <f t="shared" si="10"/>
        <v>0.81496400840615313</v>
      </c>
      <c r="M147" s="18">
        <f t="shared" si="11"/>
        <v>-0.46270127844215386</v>
      </c>
    </row>
    <row r="148" spans="1:13" x14ac:dyDescent="0.3">
      <c r="A148" s="9" t="s">
        <v>190</v>
      </c>
      <c r="B148" s="10" t="s">
        <v>548</v>
      </c>
      <c r="C148" s="10" t="s">
        <v>118</v>
      </c>
      <c r="D148" s="10" t="s">
        <v>134</v>
      </c>
      <c r="E148" s="10" t="s">
        <v>704</v>
      </c>
      <c r="F148" s="10" t="s">
        <v>694</v>
      </c>
      <c r="G148" s="10" t="s">
        <v>699</v>
      </c>
      <c r="H148" s="11">
        <v>0</v>
      </c>
      <c r="I148" s="11">
        <v>6369363</v>
      </c>
      <c r="J148" s="11">
        <v>1000000</v>
      </c>
      <c r="K148" s="11">
        <f t="shared" si="12"/>
        <v>1034482.7586206896</v>
      </c>
      <c r="L148" s="18">
        <f t="shared" si="10"/>
        <v>0.16241541871937423</v>
      </c>
      <c r="M148" s="18">
        <f t="shared" si="11"/>
        <v>0</v>
      </c>
    </row>
    <row r="149" spans="1:13" x14ac:dyDescent="0.3">
      <c r="A149" s="9" t="s">
        <v>191</v>
      </c>
      <c r="B149" s="10" t="s">
        <v>549</v>
      </c>
      <c r="C149" s="10" t="s">
        <v>118</v>
      </c>
      <c r="D149" s="10" t="s">
        <v>128</v>
      </c>
      <c r="E149" s="10" t="s">
        <v>704</v>
      </c>
      <c r="F149" s="10" t="s">
        <v>694</v>
      </c>
      <c r="G149" s="10" t="s">
        <v>698</v>
      </c>
      <c r="H149" s="11">
        <v>3080000</v>
      </c>
      <c r="I149" s="11">
        <v>16965666.899999999</v>
      </c>
      <c r="J149" s="11">
        <v>5100000</v>
      </c>
      <c r="K149" s="11">
        <f t="shared" si="12"/>
        <v>5275862.068965517</v>
      </c>
      <c r="L149" s="18">
        <f t="shared" si="10"/>
        <v>0.31097286655825579</v>
      </c>
      <c r="M149" s="18">
        <f t="shared" si="11"/>
        <v>0.71294223018360936</v>
      </c>
    </row>
    <row r="150" spans="1:13" x14ac:dyDescent="0.3">
      <c r="A150" s="9" t="s">
        <v>192</v>
      </c>
      <c r="B150" s="10" t="s">
        <v>550</v>
      </c>
      <c r="C150" s="10" t="s">
        <v>118</v>
      </c>
      <c r="D150" s="10" t="s">
        <v>134</v>
      </c>
      <c r="E150" s="10" t="s">
        <v>704</v>
      </c>
      <c r="F150" s="10" t="s">
        <v>694</v>
      </c>
      <c r="G150" s="10" t="s">
        <v>699</v>
      </c>
      <c r="H150" s="11">
        <v>38712703</v>
      </c>
      <c r="I150" s="11">
        <v>24812722.116</v>
      </c>
      <c r="J150" s="11">
        <v>19150000</v>
      </c>
      <c r="K150" s="11">
        <f t="shared" si="12"/>
        <v>19810344.827586204</v>
      </c>
      <c r="L150" s="18">
        <f t="shared" si="10"/>
        <v>0.7983946596013296</v>
      </c>
      <c r="M150" s="18">
        <f t="shared" si="11"/>
        <v>-0.48827275564854761</v>
      </c>
    </row>
    <row r="151" spans="1:13" x14ac:dyDescent="0.3">
      <c r="A151" s="9" t="s">
        <v>193</v>
      </c>
      <c r="B151" s="10" t="s">
        <v>551</v>
      </c>
      <c r="C151" s="10" t="s">
        <v>22</v>
      </c>
      <c r="D151" s="10" t="s">
        <v>44</v>
      </c>
      <c r="E151" s="10" t="s">
        <v>693</v>
      </c>
      <c r="F151" s="10" t="s">
        <v>694</v>
      </c>
      <c r="G151" s="10" t="s">
        <v>698</v>
      </c>
      <c r="H151" s="11">
        <v>3800000</v>
      </c>
      <c r="I151" s="11">
        <v>20150348.399999999</v>
      </c>
      <c r="J151" s="11">
        <v>2800000</v>
      </c>
      <c r="K151" s="11">
        <f t="shared" si="12"/>
        <v>2896551.7241379307</v>
      </c>
      <c r="L151" s="18">
        <f t="shared" si="10"/>
        <v>0.14374697978611281</v>
      </c>
      <c r="M151" s="18">
        <f t="shared" si="11"/>
        <v>-0.23774954627949194</v>
      </c>
    </row>
    <row r="152" spans="1:13" x14ac:dyDescent="0.3">
      <c r="A152" s="9" t="s">
        <v>194</v>
      </c>
      <c r="B152" s="10" t="s">
        <v>552</v>
      </c>
      <c r="C152" s="10" t="s">
        <v>116</v>
      </c>
      <c r="D152" s="10" t="s">
        <v>131</v>
      </c>
      <c r="E152" s="10" t="s">
        <v>705</v>
      </c>
      <c r="F152" s="10" t="s">
        <v>694</v>
      </c>
      <c r="G152" s="10" t="s">
        <v>696</v>
      </c>
      <c r="H152" s="11">
        <v>208720000</v>
      </c>
      <c r="I152" s="11">
        <v>316152018</v>
      </c>
      <c r="J152" s="11">
        <v>226600000</v>
      </c>
      <c r="K152" s="11">
        <f t="shared" si="12"/>
        <v>234413793.10344827</v>
      </c>
      <c r="L152" s="18">
        <f t="shared" si="10"/>
        <v>0.74145910750899668</v>
      </c>
      <c r="M152" s="18">
        <f t="shared" si="11"/>
        <v>0.12310173008551299</v>
      </c>
    </row>
    <row r="153" spans="1:13" x14ac:dyDescent="0.3">
      <c r="A153" s="9" t="s">
        <v>195</v>
      </c>
      <c r="B153" s="10" t="s">
        <v>553</v>
      </c>
      <c r="C153" s="10" t="s">
        <v>116</v>
      </c>
      <c r="D153" s="10" t="s">
        <v>131</v>
      </c>
      <c r="E153" s="10" t="s">
        <v>705</v>
      </c>
      <c r="F153" s="10" t="s">
        <v>694</v>
      </c>
      <c r="G153" s="10" t="s">
        <v>696</v>
      </c>
      <c r="H153" s="11">
        <v>341400000</v>
      </c>
      <c r="I153" s="11">
        <v>457792754.32800001</v>
      </c>
      <c r="J153" s="11">
        <v>289900000</v>
      </c>
      <c r="K153" s="11">
        <f t="shared" si="12"/>
        <v>299896551.7241379</v>
      </c>
      <c r="L153" s="18">
        <f t="shared" si="10"/>
        <v>0.65509239473298342</v>
      </c>
      <c r="M153" s="18">
        <f t="shared" si="11"/>
        <v>-0.12156838979455799</v>
      </c>
    </row>
    <row r="154" spans="1:13" x14ac:dyDescent="0.3">
      <c r="A154" s="9" t="s">
        <v>196</v>
      </c>
      <c r="B154" s="10" t="s">
        <v>554</v>
      </c>
      <c r="C154" s="10" t="s">
        <v>116</v>
      </c>
      <c r="D154" s="10" t="s">
        <v>129</v>
      </c>
      <c r="E154" s="10" t="s">
        <v>705</v>
      </c>
      <c r="F154" s="10" t="s">
        <v>694</v>
      </c>
      <c r="G154" s="10" t="s">
        <v>697</v>
      </c>
      <c r="H154" s="11">
        <v>228731802</v>
      </c>
      <c r="I154" s="11">
        <v>305912398.42800003</v>
      </c>
      <c r="J154" s="11">
        <v>192886396</v>
      </c>
      <c r="K154" s="11">
        <f t="shared" si="12"/>
        <v>199537651.03448275</v>
      </c>
      <c r="L154" s="18">
        <f t="shared" si="10"/>
        <v>0.6522705586954044</v>
      </c>
      <c r="M154" s="18">
        <f t="shared" si="11"/>
        <v>-0.12763485755040418</v>
      </c>
    </row>
    <row r="155" spans="1:13" x14ac:dyDescent="0.3">
      <c r="A155" s="9" t="s">
        <v>197</v>
      </c>
      <c r="B155" s="10" t="s">
        <v>555</v>
      </c>
      <c r="C155" s="10" t="s">
        <v>116</v>
      </c>
      <c r="D155" s="10" t="s">
        <v>129</v>
      </c>
      <c r="E155" s="10" t="s">
        <v>705</v>
      </c>
      <c r="F155" s="10" t="s">
        <v>694</v>
      </c>
      <c r="G155" s="10" t="s">
        <v>697</v>
      </c>
      <c r="H155" s="11">
        <v>60350000</v>
      </c>
      <c r="I155" s="11">
        <v>73363481.099999994</v>
      </c>
      <c r="J155" s="11">
        <v>58912703</v>
      </c>
      <c r="K155" s="11">
        <f t="shared" si="12"/>
        <v>60944175.517241374</v>
      </c>
      <c r="L155" s="18">
        <f t="shared" si="10"/>
        <v>0.83071542685072208</v>
      </c>
      <c r="M155" s="18">
        <f t="shared" si="11"/>
        <v>9.845493243436183E-3</v>
      </c>
    </row>
    <row r="156" spans="1:13" x14ac:dyDescent="0.3">
      <c r="A156" s="9" t="s">
        <v>198</v>
      </c>
      <c r="B156" s="10" t="s">
        <v>556</v>
      </c>
      <c r="C156" s="10" t="s">
        <v>116</v>
      </c>
      <c r="D156" s="10" t="s">
        <v>129</v>
      </c>
      <c r="E156" s="10" t="s">
        <v>705</v>
      </c>
      <c r="F156" s="10" t="s">
        <v>694</v>
      </c>
      <c r="G156" s="10" t="s">
        <v>697</v>
      </c>
      <c r="H156" s="11">
        <v>329245946</v>
      </c>
      <c r="I156" s="11">
        <v>431553294.89999998</v>
      </c>
      <c r="J156" s="11">
        <v>273004279</v>
      </c>
      <c r="K156" s="11">
        <f t="shared" si="12"/>
        <v>282418219.65517241</v>
      </c>
      <c r="L156" s="18">
        <f t="shared" si="10"/>
        <v>0.65442257768096679</v>
      </c>
      <c r="M156" s="18">
        <f t="shared" si="11"/>
        <v>-0.14222719190239502</v>
      </c>
    </row>
    <row r="157" spans="1:13" x14ac:dyDescent="0.3">
      <c r="A157" s="9" t="s">
        <v>199</v>
      </c>
      <c r="B157" s="10" t="s">
        <v>557</v>
      </c>
      <c r="C157" s="10" t="s">
        <v>116</v>
      </c>
      <c r="D157" s="10" t="s">
        <v>132</v>
      </c>
      <c r="E157" s="10" t="s">
        <v>705</v>
      </c>
      <c r="F157" s="10" t="s">
        <v>694</v>
      </c>
      <c r="G157" s="10" t="s">
        <v>699</v>
      </c>
      <c r="H157" s="11">
        <v>12900000</v>
      </c>
      <c r="I157" s="11">
        <v>43672439.894337207</v>
      </c>
      <c r="J157" s="11">
        <v>22050000</v>
      </c>
      <c r="K157" s="11">
        <f t="shared" si="12"/>
        <v>22810344.827586204</v>
      </c>
      <c r="L157" s="18">
        <f t="shared" si="10"/>
        <v>0.52230525436120434</v>
      </c>
      <c r="M157" s="18">
        <f t="shared" si="11"/>
        <v>0.76824378508420188</v>
      </c>
    </row>
    <row r="158" spans="1:13" x14ac:dyDescent="0.3">
      <c r="A158" s="9" t="s">
        <v>200</v>
      </c>
      <c r="B158" s="10" t="s">
        <v>558</v>
      </c>
      <c r="C158" s="10" t="s">
        <v>116</v>
      </c>
      <c r="D158" s="10" t="s">
        <v>132</v>
      </c>
      <c r="E158" s="10" t="s">
        <v>705</v>
      </c>
      <c r="F158" s="10" t="s">
        <v>694</v>
      </c>
      <c r="G158" s="10" t="s">
        <v>698</v>
      </c>
      <c r="H158" s="11">
        <v>0</v>
      </c>
      <c r="I158" s="11">
        <v>17163606.592380766</v>
      </c>
      <c r="J158" s="11">
        <v>2900000</v>
      </c>
      <c r="K158" s="11">
        <f t="shared" si="12"/>
        <v>3000000</v>
      </c>
      <c r="L158" s="18">
        <f t="shared" si="10"/>
        <v>0.17478843877322112</v>
      </c>
      <c r="M158" s="18">
        <f t="shared" si="11"/>
        <v>0</v>
      </c>
    </row>
    <row r="159" spans="1:13" x14ac:dyDescent="0.3">
      <c r="A159" s="9" t="s">
        <v>201</v>
      </c>
      <c r="B159" s="10" t="s">
        <v>559</v>
      </c>
      <c r="C159" s="10" t="s">
        <v>116</v>
      </c>
      <c r="D159" s="10" t="s">
        <v>132</v>
      </c>
      <c r="E159" s="10" t="s">
        <v>705</v>
      </c>
      <c r="F159" s="10" t="s">
        <v>694</v>
      </c>
      <c r="G159" s="10" t="s">
        <v>698</v>
      </c>
      <c r="H159" s="11">
        <v>185956667</v>
      </c>
      <c r="I159" s="11">
        <v>264617623.54557636</v>
      </c>
      <c r="J159" s="11">
        <v>176370000</v>
      </c>
      <c r="K159" s="11">
        <f t="shared" si="12"/>
        <v>182451724.13793105</v>
      </c>
      <c r="L159" s="18">
        <f t="shared" si="10"/>
        <v>0.68949196086520859</v>
      </c>
      <c r="M159" s="18">
        <f t="shared" si="11"/>
        <v>-1.8848169945253703E-2</v>
      </c>
    </row>
    <row r="160" spans="1:13" x14ac:dyDescent="0.3">
      <c r="A160" s="9" t="s">
        <v>202</v>
      </c>
      <c r="B160" s="10" t="s">
        <v>560</v>
      </c>
      <c r="C160" s="10" t="s">
        <v>116</v>
      </c>
      <c r="D160" s="10" t="s">
        <v>131</v>
      </c>
      <c r="E160" s="10" t="s">
        <v>705</v>
      </c>
      <c r="F160" s="10" t="s">
        <v>694</v>
      </c>
      <c r="G160" s="10" t="s">
        <v>697</v>
      </c>
      <c r="H160" s="11">
        <v>39100000</v>
      </c>
      <c r="I160" s="11">
        <v>84145075.560000002</v>
      </c>
      <c r="J160" s="11">
        <v>33700000</v>
      </c>
      <c r="K160" s="11">
        <f t="shared" si="12"/>
        <v>34862068.965517238</v>
      </c>
      <c r="L160" s="18">
        <f t="shared" si="10"/>
        <v>0.41430908147035522</v>
      </c>
      <c r="M160" s="18">
        <f t="shared" si="11"/>
        <v>-0.10838698297909878</v>
      </c>
    </row>
    <row r="161" spans="1:13" x14ac:dyDescent="0.3">
      <c r="A161" s="9" t="s">
        <v>203</v>
      </c>
      <c r="B161" s="10" t="s">
        <v>561</v>
      </c>
      <c r="C161" s="10" t="s">
        <v>116</v>
      </c>
      <c r="D161" s="10" t="s">
        <v>133</v>
      </c>
      <c r="E161" s="10" t="s">
        <v>705</v>
      </c>
      <c r="F161" s="10" t="s">
        <v>694</v>
      </c>
      <c r="G161" s="10" t="s">
        <v>700</v>
      </c>
      <c r="H161" s="11">
        <v>17600000</v>
      </c>
      <c r="I161" s="11">
        <v>24666805.800000001</v>
      </c>
      <c r="J161" s="11">
        <v>11950000</v>
      </c>
      <c r="K161" s="11">
        <f t="shared" si="12"/>
        <v>12362068.965517242</v>
      </c>
      <c r="L161" s="18">
        <f t="shared" si="10"/>
        <v>0.50116213123619113</v>
      </c>
      <c r="M161" s="18">
        <f t="shared" si="11"/>
        <v>-0.29760971786833856</v>
      </c>
    </row>
    <row r="162" spans="1:13" x14ac:dyDescent="0.3">
      <c r="A162" s="9" t="s">
        <v>204</v>
      </c>
      <c r="B162" s="10" t="s">
        <v>562</v>
      </c>
      <c r="C162" s="10" t="s">
        <v>116</v>
      </c>
      <c r="D162" s="10" t="s">
        <v>131</v>
      </c>
      <c r="E162" s="10" t="s">
        <v>705</v>
      </c>
      <c r="F162" s="10" t="s">
        <v>694</v>
      </c>
      <c r="G162" s="10" t="s">
        <v>696</v>
      </c>
      <c r="H162" s="11">
        <v>27480000</v>
      </c>
      <c r="I162" s="11">
        <v>38191858.614</v>
      </c>
      <c r="J162" s="11">
        <v>24270000</v>
      </c>
      <c r="K162" s="11">
        <f t="shared" si="12"/>
        <v>25106896.55172414</v>
      </c>
      <c r="L162" s="18">
        <f t="shared" si="10"/>
        <v>0.65738870698795204</v>
      </c>
      <c r="M162" s="18">
        <f t="shared" si="11"/>
        <v>-8.6357476283692156E-2</v>
      </c>
    </row>
    <row r="163" spans="1:13" x14ac:dyDescent="0.3">
      <c r="A163" s="9" t="s">
        <v>205</v>
      </c>
      <c r="B163" s="10" t="s">
        <v>563</v>
      </c>
      <c r="C163" s="10" t="s">
        <v>116</v>
      </c>
      <c r="D163" s="10" t="s">
        <v>132</v>
      </c>
      <c r="E163" s="10" t="s">
        <v>705</v>
      </c>
      <c r="F163" s="10" t="s">
        <v>694</v>
      </c>
      <c r="G163" s="10" t="s">
        <v>695</v>
      </c>
      <c r="H163" s="11">
        <v>75800000</v>
      </c>
      <c r="I163" s="11">
        <v>97499117.946790487</v>
      </c>
      <c r="J163" s="11">
        <v>67500000</v>
      </c>
      <c r="K163" s="11">
        <f t="shared" si="12"/>
        <v>69827586.206896558</v>
      </c>
      <c r="L163" s="18">
        <f t="shared" si="10"/>
        <v>0.71618685048006803</v>
      </c>
      <c r="M163" s="18">
        <f t="shared" si="11"/>
        <v>-7.8791738695296057E-2</v>
      </c>
    </row>
    <row r="164" spans="1:13" x14ac:dyDescent="0.3">
      <c r="A164" s="9" t="s">
        <v>206</v>
      </c>
      <c r="B164" s="10" t="s">
        <v>564</v>
      </c>
      <c r="C164" s="10" t="s">
        <v>116</v>
      </c>
      <c r="D164" s="10" t="s">
        <v>133</v>
      </c>
      <c r="E164" s="10" t="s">
        <v>705</v>
      </c>
      <c r="F164" s="10" t="s">
        <v>694</v>
      </c>
      <c r="G164" s="10" t="s">
        <v>698</v>
      </c>
      <c r="H164" s="11">
        <v>24300000</v>
      </c>
      <c r="I164" s="11">
        <v>47943932.399999999</v>
      </c>
      <c r="J164" s="11">
        <v>12000000</v>
      </c>
      <c r="K164" s="11">
        <f t="shared" si="12"/>
        <v>12413793.103448277</v>
      </c>
      <c r="L164" s="18">
        <f t="shared" si="10"/>
        <v>0.25892313129175609</v>
      </c>
      <c r="M164" s="18">
        <f t="shared" si="11"/>
        <v>-0.48914431673052355</v>
      </c>
    </row>
    <row r="165" spans="1:13" x14ac:dyDescent="0.3">
      <c r="A165" s="9" t="s">
        <v>207</v>
      </c>
      <c r="B165" s="10" t="s">
        <v>565</v>
      </c>
      <c r="C165" s="10" t="s">
        <v>116</v>
      </c>
      <c r="D165" s="10" t="s">
        <v>133</v>
      </c>
      <c r="E165" s="10" t="s">
        <v>705</v>
      </c>
      <c r="F165" s="10" t="s">
        <v>694</v>
      </c>
      <c r="G165" s="10" t="s">
        <v>699</v>
      </c>
      <c r="H165" s="11">
        <v>37155000</v>
      </c>
      <c r="I165" s="11">
        <v>98259583.967999995</v>
      </c>
      <c r="J165" s="11">
        <v>34400000</v>
      </c>
      <c r="K165" s="11">
        <f t="shared" si="12"/>
        <v>35586206.896551721</v>
      </c>
      <c r="L165" s="18">
        <f t="shared" si="10"/>
        <v>0.36216525105725067</v>
      </c>
      <c r="M165" s="18">
        <f t="shared" si="11"/>
        <v>-4.2222933749112616E-2</v>
      </c>
    </row>
    <row r="166" spans="1:13" x14ac:dyDescent="0.3">
      <c r="A166" s="9" t="s">
        <v>208</v>
      </c>
      <c r="B166" s="10" t="s">
        <v>566</v>
      </c>
      <c r="C166" s="10" t="s">
        <v>116</v>
      </c>
      <c r="D166" s="10" t="s">
        <v>131</v>
      </c>
      <c r="E166" s="10" t="s">
        <v>705</v>
      </c>
      <c r="F166" s="10" t="s">
        <v>694</v>
      </c>
      <c r="G166" s="10" t="s">
        <v>697</v>
      </c>
      <c r="H166" s="11">
        <v>15150000</v>
      </c>
      <c r="I166" s="11">
        <v>30225522.600000001</v>
      </c>
      <c r="J166" s="11">
        <v>6100000</v>
      </c>
      <c r="K166" s="11">
        <f t="shared" si="12"/>
        <v>6310344.8275862066</v>
      </c>
      <c r="L166" s="18">
        <f t="shared" si="10"/>
        <v>0.20877537540364005</v>
      </c>
      <c r="M166" s="18">
        <f t="shared" si="11"/>
        <v>-0.58347558893820417</v>
      </c>
    </row>
    <row r="167" spans="1:13" x14ac:dyDescent="0.3">
      <c r="A167" s="9" t="s">
        <v>209</v>
      </c>
      <c r="B167" s="10" t="s">
        <v>567</v>
      </c>
      <c r="C167" s="10" t="s">
        <v>118</v>
      </c>
      <c r="D167" s="10" t="s">
        <v>128</v>
      </c>
      <c r="E167" s="10" t="s">
        <v>705</v>
      </c>
      <c r="F167" s="10" t="s">
        <v>694</v>
      </c>
      <c r="G167" s="10" t="s">
        <v>698</v>
      </c>
      <c r="H167" s="11">
        <v>2000000</v>
      </c>
      <c r="I167" s="11">
        <v>46727963.100000001</v>
      </c>
      <c r="J167" s="11">
        <v>4000000</v>
      </c>
      <c r="K167" s="11">
        <f t="shared" si="12"/>
        <v>4137931.0344827585</v>
      </c>
      <c r="L167" s="18">
        <f t="shared" si="10"/>
        <v>8.8553635980823622E-2</v>
      </c>
      <c r="M167" s="18">
        <f t="shared" si="11"/>
        <v>1.0689655172413792</v>
      </c>
    </row>
    <row r="168" spans="1:13" x14ac:dyDescent="0.3">
      <c r="A168" s="9" t="s">
        <v>210</v>
      </c>
      <c r="B168" s="10" t="s">
        <v>568</v>
      </c>
      <c r="C168" s="10" t="s">
        <v>116</v>
      </c>
      <c r="D168" s="10" t="s">
        <v>133</v>
      </c>
      <c r="E168" s="10" t="s">
        <v>705</v>
      </c>
      <c r="F168" s="10" t="s">
        <v>694</v>
      </c>
      <c r="G168" s="10" t="s">
        <v>700</v>
      </c>
      <c r="H168" s="11">
        <v>4300000</v>
      </c>
      <c r="I168" s="11">
        <v>9206624.6999999993</v>
      </c>
      <c r="J168" s="11">
        <v>6900000</v>
      </c>
      <c r="K168" s="11">
        <f t="shared" si="12"/>
        <v>7137931.0344827585</v>
      </c>
      <c r="L168" s="18">
        <f t="shared" si="10"/>
        <v>0.77530379124531479</v>
      </c>
      <c r="M168" s="18">
        <f t="shared" si="11"/>
        <v>0.65998396150761829</v>
      </c>
    </row>
    <row r="169" spans="1:13" x14ac:dyDescent="0.3">
      <c r="A169" s="9" t="s">
        <v>211</v>
      </c>
      <c r="B169" s="10" t="s">
        <v>569</v>
      </c>
      <c r="C169" s="10" t="s">
        <v>116</v>
      </c>
      <c r="D169" s="10" t="s">
        <v>133</v>
      </c>
      <c r="E169" s="10" t="s">
        <v>705</v>
      </c>
      <c r="F169" s="10" t="s">
        <v>694</v>
      </c>
      <c r="G169" s="10" t="s">
        <v>699</v>
      </c>
      <c r="H169" s="11">
        <v>145610000</v>
      </c>
      <c r="I169" s="11">
        <v>206702042.27400002</v>
      </c>
      <c r="J169" s="11">
        <v>128530000</v>
      </c>
      <c r="K169" s="11">
        <f t="shared" si="12"/>
        <v>132962068.96551725</v>
      </c>
      <c r="L169" s="18">
        <f t="shared" si="10"/>
        <v>0.64325474244354797</v>
      </c>
      <c r="M169" s="18">
        <f t="shared" si="11"/>
        <v>-8.6861692428286161E-2</v>
      </c>
    </row>
    <row r="170" spans="1:13" x14ac:dyDescent="0.3">
      <c r="A170" s="9" t="s">
        <v>212</v>
      </c>
      <c r="B170" s="10" t="s">
        <v>570</v>
      </c>
      <c r="C170" s="10" t="s">
        <v>116</v>
      </c>
      <c r="D170" s="10" t="s">
        <v>129</v>
      </c>
      <c r="E170" s="10" t="s">
        <v>705</v>
      </c>
      <c r="F170" s="10" t="s">
        <v>694</v>
      </c>
      <c r="G170" s="10" t="s">
        <v>697</v>
      </c>
      <c r="H170" s="11">
        <v>21750000</v>
      </c>
      <c r="I170" s="11">
        <v>26172291.600000001</v>
      </c>
      <c r="J170" s="11">
        <v>24950000</v>
      </c>
      <c r="K170" s="11">
        <f t="shared" si="12"/>
        <v>25810344.827586204</v>
      </c>
      <c r="L170" s="18">
        <f t="shared" si="10"/>
        <v>0.9861706121135454</v>
      </c>
      <c r="M170" s="18">
        <f t="shared" si="11"/>
        <v>0.1866825208085611</v>
      </c>
    </row>
    <row r="171" spans="1:13" x14ac:dyDescent="0.3">
      <c r="A171" s="9" t="s">
        <v>213</v>
      </c>
      <c r="B171" s="10" t="s">
        <v>571</v>
      </c>
      <c r="C171" s="10" t="s">
        <v>116</v>
      </c>
      <c r="D171" s="10" t="s">
        <v>133</v>
      </c>
      <c r="E171" s="10" t="s">
        <v>705</v>
      </c>
      <c r="F171" s="10" t="s">
        <v>694</v>
      </c>
      <c r="G171" s="10" t="s">
        <v>695</v>
      </c>
      <c r="H171" s="11">
        <v>14400000</v>
      </c>
      <c r="I171" s="11">
        <v>40069083.600000001</v>
      </c>
      <c r="J171" s="11">
        <v>17750000</v>
      </c>
      <c r="K171" s="11">
        <f t="shared" si="12"/>
        <v>18362068.965517242</v>
      </c>
      <c r="L171" s="18">
        <f t="shared" si="10"/>
        <v>0.45826026741268527</v>
      </c>
      <c r="M171" s="18">
        <f t="shared" si="11"/>
        <v>0.27514367816091956</v>
      </c>
    </row>
    <row r="172" spans="1:13" x14ac:dyDescent="0.3">
      <c r="A172" s="9" t="s">
        <v>214</v>
      </c>
      <c r="B172" s="10" t="s">
        <v>572</v>
      </c>
      <c r="C172" s="10" t="s">
        <v>116</v>
      </c>
      <c r="D172" s="10" t="s">
        <v>133</v>
      </c>
      <c r="E172" s="10" t="s">
        <v>705</v>
      </c>
      <c r="F172" s="10" t="s">
        <v>694</v>
      </c>
      <c r="G172" s="10" t="s">
        <v>695</v>
      </c>
      <c r="H172" s="11">
        <v>10000000</v>
      </c>
      <c r="I172" s="11">
        <v>35957949.299999997</v>
      </c>
      <c r="J172" s="11">
        <v>5400000</v>
      </c>
      <c r="K172" s="11">
        <f t="shared" si="12"/>
        <v>5586206.8965517245</v>
      </c>
      <c r="L172" s="18">
        <f t="shared" si="10"/>
        <v>0.15535387877505363</v>
      </c>
      <c r="M172" s="18">
        <f t="shared" si="11"/>
        <v>-0.44137931034482752</v>
      </c>
    </row>
    <row r="173" spans="1:13" x14ac:dyDescent="0.3">
      <c r="A173" s="9" t="s">
        <v>215</v>
      </c>
      <c r="B173" s="10" t="s">
        <v>573</v>
      </c>
      <c r="C173" s="10" t="s">
        <v>116</v>
      </c>
      <c r="D173" s="10" t="s">
        <v>132</v>
      </c>
      <c r="E173" s="10" t="s">
        <v>705</v>
      </c>
      <c r="F173" s="10" t="s">
        <v>694</v>
      </c>
      <c r="G173" s="10" t="s">
        <v>698</v>
      </c>
      <c r="H173" s="11">
        <v>64600000</v>
      </c>
      <c r="I173" s="11">
        <v>90911331.760273501</v>
      </c>
      <c r="J173" s="11">
        <v>35450000</v>
      </c>
      <c r="K173" s="11">
        <f t="shared" si="12"/>
        <v>36672413.793103449</v>
      </c>
      <c r="L173" s="18">
        <f t="shared" si="10"/>
        <v>0.40338660850119223</v>
      </c>
      <c r="M173" s="18">
        <f t="shared" si="11"/>
        <v>-0.43231557595815095</v>
      </c>
    </row>
    <row r="174" spans="1:13" x14ac:dyDescent="0.3">
      <c r="A174" s="9" t="s">
        <v>216</v>
      </c>
      <c r="B174" s="10" t="s">
        <v>574</v>
      </c>
      <c r="C174" s="10" t="s">
        <v>116</v>
      </c>
      <c r="D174" s="10" t="s">
        <v>129</v>
      </c>
      <c r="E174" s="10" t="s">
        <v>705</v>
      </c>
      <c r="F174" s="10" t="s">
        <v>694</v>
      </c>
      <c r="G174" s="10" t="s">
        <v>697</v>
      </c>
      <c r="H174" s="11">
        <v>23050000</v>
      </c>
      <c r="I174" s="11">
        <v>41169246.299999997</v>
      </c>
      <c r="J174" s="11">
        <v>8650000</v>
      </c>
      <c r="K174" s="11">
        <f t="shared" si="12"/>
        <v>8948275.862068966</v>
      </c>
      <c r="L174" s="18">
        <f t="shared" si="10"/>
        <v>0.21735340493879693</v>
      </c>
      <c r="M174" s="18">
        <f t="shared" si="11"/>
        <v>-0.61178846585384095</v>
      </c>
    </row>
    <row r="175" spans="1:13" x14ac:dyDescent="0.3">
      <c r="A175" s="9" t="s">
        <v>217</v>
      </c>
      <c r="B175" s="10" t="s">
        <v>575</v>
      </c>
      <c r="C175" s="10" t="s">
        <v>116</v>
      </c>
      <c r="D175" s="10" t="s">
        <v>129</v>
      </c>
      <c r="E175" s="10" t="s">
        <v>705</v>
      </c>
      <c r="F175" s="10" t="s">
        <v>694</v>
      </c>
      <c r="G175" s="10" t="s">
        <v>697</v>
      </c>
      <c r="H175" s="11">
        <v>4750000</v>
      </c>
      <c r="I175" s="11">
        <v>5790330</v>
      </c>
      <c r="J175" s="11">
        <v>2200000</v>
      </c>
      <c r="K175" s="11">
        <f t="shared" si="12"/>
        <v>2275862.0689655175</v>
      </c>
      <c r="L175" s="18">
        <f t="shared" si="10"/>
        <v>0.39304531330088571</v>
      </c>
      <c r="M175" s="18">
        <f t="shared" si="11"/>
        <v>-0.52087114337568052</v>
      </c>
    </row>
    <row r="176" spans="1:13" x14ac:dyDescent="0.3">
      <c r="A176" s="9" t="s">
        <v>26</v>
      </c>
      <c r="B176" s="10" t="s">
        <v>408</v>
      </c>
      <c r="C176" s="10" t="s">
        <v>20</v>
      </c>
      <c r="D176" s="10" t="s">
        <v>34</v>
      </c>
      <c r="E176" s="10" t="s">
        <v>693</v>
      </c>
      <c r="F176" s="10" t="s">
        <v>694</v>
      </c>
      <c r="G176" s="10" t="s">
        <v>697</v>
      </c>
      <c r="H176" s="11">
        <v>1000000</v>
      </c>
      <c r="I176" s="11">
        <v>13896792</v>
      </c>
      <c r="J176" s="11">
        <v>2800000</v>
      </c>
      <c r="K176" s="11">
        <f t="shared" si="12"/>
        <v>2896551.7241379307</v>
      </c>
      <c r="L176" s="18">
        <f t="shared" si="10"/>
        <v>0.20843312068986358</v>
      </c>
      <c r="M176" s="18">
        <f t="shared" si="11"/>
        <v>1.8965517241379306</v>
      </c>
    </row>
    <row r="177" spans="1:13" x14ac:dyDescent="0.3">
      <c r="A177" s="9" t="s">
        <v>218</v>
      </c>
      <c r="B177" s="10" t="s">
        <v>576</v>
      </c>
      <c r="C177" s="10" t="s">
        <v>118</v>
      </c>
      <c r="D177" s="10" t="s">
        <v>123</v>
      </c>
      <c r="E177" s="10" t="s">
        <v>702</v>
      </c>
      <c r="F177" s="10" t="s">
        <v>694</v>
      </c>
      <c r="G177" s="10" t="s">
        <v>696</v>
      </c>
      <c r="H177" s="11">
        <v>40803700</v>
      </c>
      <c r="I177" s="11">
        <v>22003254</v>
      </c>
      <c r="J177" s="11">
        <v>32271450</v>
      </c>
      <c r="K177" s="11">
        <f t="shared" si="12"/>
        <v>33384258.620689657</v>
      </c>
      <c r="L177" s="18">
        <f t="shared" si="10"/>
        <v>1.5172418870722328</v>
      </c>
      <c r="M177" s="18">
        <f t="shared" si="11"/>
        <v>-0.18183256369668299</v>
      </c>
    </row>
    <row r="178" spans="1:13" x14ac:dyDescent="0.3">
      <c r="A178" s="9" t="s">
        <v>219</v>
      </c>
      <c r="B178" s="10" t="s">
        <v>577</v>
      </c>
      <c r="C178" s="10" t="s">
        <v>118</v>
      </c>
      <c r="D178" s="10" t="s">
        <v>138</v>
      </c>
      <c r="E178" s="10" t="s">
        <v>706</v>
      </c>
      <c r="F178" s="10" t="s">
        <v>694</v>
      </c>
      <c r="G178" s="10" t="s">
        <v>699</v>
      </c>
      <c r="H178" s="11">
        <v>4459910</v>
      </c>
      <c r="I178" s="11">
        <v>8080000</v>
      </c>
      <c r="J178" s="11">
        <v>5400000</v>
      </c>
      <c r="K178" s="11">
        <f t="shared" si="12"/>
        <v>5586206.8965517245</v>
      </c>
      <c r="L178" s="18">
        <f t="shared" si="10"/>
        <v>0.69136223967224308</v>
      </c>
      <c r="M178" s="18">
        <f t="shared" si="11"/>
        <v>0.25253803250552692</v>
      </c>
    </row>
    <row r="179" spans="1:13" x14ac:dyDescent="0.3">
      <c r="A179" s="9" t="s">
        <v>220</v>
      </c>
      <c r="B179" s="10" t="s">
        <v>578</v>
      </c>
      <c r="C179" s="10" t="s">
        <v>20</v>
      </c>
      <c r="D179" s="10" t="s">
        <v>30</v>
      </c>
      <c r="E179" s="10" t="s">
        <v>693</v>
      </c>
      <c r="F179" s="10" t="s">
        <v>694</v>
      </c>
      <c r="G179" s="10" t="s">
        <v>696</v>
      </c>
      <c r="H179" s="11">
        <v>11150000</v>
      </c>
      <c r="I179" s="11">
        <v>6458534.0820000004</v>
      </c>
      <c r="J179" s="11">
        <v>11050000</v>
      </c>
      <c r="K179" s="11">
        <f t="shared" si="12"/>
        <v>11431034.482758621</v>
      </c>
      <c r="L179" s="18">
        <f t="shared" si="10"/>
        <v>1.769911614249591</v>
      </c>
      <c r="M179" s="18">
        <f t="shared" si="11"/>
        <v>2.5204886346064641E-2</v>
      </c>
    </row>
    <row r="180" spans="1:13" x14ac:dyDescent="0.3">
      <c r="A180" s="9" t="s">
        <v>221</v>
      </c>
      <c r="B180" s="10" t="s">
        <v>579</v>
      </c>
      <c r="C180" s="10" t="s">
        <v>116</v>
      </c>
      <c r="D180" s="10" t="s">
        <v>132</v>
      </c>
      <c r="E180" s="10" t="s">
        <v>705</v>
      </c>
      <c r="F180" s="10" t="s">
        <v>694</v>
      </c>
      <c r="G180" s="10" t="s">
        <v>699</v>
      </c>
      <c r="H180" s="11">
        <v>6459099</v>
      </c>
      <c r="I180" s="11">
        <v>16101623.840641672</v>
      </c>
      <c r="J180" s="11">
        <v>4100000</v>
      </c>
      <c r="K180" s="11">
        <f t="shared" si="12"/>
        <v>4241379.3103448283</v>
      </c>
      <c r="L180" s="18">
        <f t="shared" si="10"/>
        <v>0.2634131409553413</v>
      </c>
      <c r="M180" s="18">
        <f t="shared" si="11"/>
        <v>-0.34334814958791804</v>
      </c>
    </row>
    <row r="181" spans="1:13" x14ac:dyDescent="0.3">
      <c r="A181" s="9" t="s">
        <v>222</v>
      </c>
      <c r="B181" s="10" t="s">
        <v>580</v>
      </c>
      <c r="C181" s="10" t="s">
        <v>20</v>
      </c>
      <c r="D181" s="10" t="s">
        <v>36</v>
      </c>
      <c r="E181" s="10" t="s">
        <v>693</v>
      </c>
      <c r="F181" s="10" t="s">
        <v>694</v>
      </c>
      <c r="G181" s="10" t="s">
        <v>697</v>
      </c>
      <c r="H181" s="11">
        <v>0</v>
      </c>
      <c r="I181" s="11">
        <v>1158066</v>
      </c>
      <c r="J181" s="11">
        <v>3600000</v>
      </c>
      <c r="K181" s="11">
        <f t="shared" si="12"/>
        <v>3724137.9310344825</v>
      </c>
      <c r="L181" s="18">
        <f t="shared" si="10"/>
        <v>3.2158252906436098</v>
      </c>
      <c r="M181" s="18">
        <f t="shared" si="11"/>
        <v>0</v>
      </c>
    </row>
    <row r="182" spans="1:13" x14ac:dyDescent="0.3">
      <c r="A182" s="9" t="s">
        <v>223</v>
      </c>
      <c r="B182" s="10" t="s">
        <v>581</v>
      </c>
      <c r="C182" s="10" t="s">
        <v>118</v>
      </c>
      <c r="D182" s="10" t="s">
        <v>136</v>
      </c>
      <c r="E182" s="10" t="s">
        <v>704</v>
      </c>
      <c r="F182" s="10" t="s">
        <v>694</v>
      </c>
      <c r="G182" s="10" t="s">
        <v>697</v>
      </c>
      <c r="H182" s="11">
        <v>0</v>
      </c>
      <c r="I182" s="11">
        <v>1158066</v>
      </c>
      <c r="J182" s="11">
        <v>0</v>
      </c>
      <c r="K182" s="11">
        <f t="shared" si="12"/>
        <v>0</v>
      </c>
      <c r="L182" s="18">
        <f t="shared" si="10"/>
        <v>0</v>
      </c>
      <c r="M182" s="18">
        <f t="shared" si="11"/>
        <v>0</v>
      </c>
    </row>
    <row r="183" spans="1:13" x14ac:dyDescent="0.3">
      <c r="A183" s="9" t="s">
        <v>224</v>
      </c>
      <c r="B183" s="10" t="s">
        <v>582</v>
      </c>
      <c r="C183" s="10" t="s">
        <v>118</v>
      </c>
      <c r="D183" s="10" t="s">
        <v>123</v>
      </c>
      <c r="E183" s="10" t="s">
        <v>703</v>
      </c>
      <c r="F183" s="10" t="s">
        <v>694</v>
      </c>
      <c r="G183" s="10" t="s">
        <v>697</v>
      </c>
      <c r="H183" s="11">
        <v>0</v>
      </c>
      <c r="I183" s="11">
        <v>1158066</v>
      </c>
      <c r="J183" s="11">
        <v>0</v>
      </c>
      <c r="K183" s="11">
        <f t="shared" si="12"/>
        <v>0</v>
      </c>
      <c r="L183" s="18">
        <f t="shared" si="10"/>
        <v>0</v>
      </c>
      <c r="M183" s="18">
        <f t="shared" si="11"/>
        <v>0</v>
      </c>
    </row>
    <row r="184" spans="1:13" x14ac:dyDescent="0.3">
      <c r="A184" s="9" t="s">
        <v>225</v>
      </c>
      <c r="B184" s="10" t="s">
        <v>583</v>
      </c>
      <c r="C184" s="10" t="s">
        <v>116</v>
      </c>
      <c r="D184" s="10" t="s">
        <v>129</v>
      </c>
      <c r="E184" s="10" t="s">
        <v>705</v>
      </c>
      <c r="F184" s="10" t="s">
        <v>694</v>
      </c>
      <c r="G184" s="10" t="s">
        <v>697</v>
      </c>
      <c r="H184" s="11">
        <v>10200000</v>
      </c>
      <c r="I184" s="11">
        <v>13974282.970666667</v>
      </c>
      <c r="J184" s="11">
        <v>73109099</v>
      </c>
      <c r="K184" s="11">
        <f t="shared" si="12"/>
        <v>75630102.413793102</v>
      </c>
      <c r="L184" s="18">
        <f t="shared" si="10"/>
        <v>5.412091809830085</v>
      </c>
      <c r="M184" s="18">
        <f t="shared" si="11"/>
        <v>6.4147159229208928</v>
      </c>
    </row>
    <row r="185" spans="1:13" x14ac:dyDescent="0.3">
      <c r="A185" s="9" t="s">
        <v>226</v>
      </c>
      <c r="B185" s="10" t="s">
        <v>584</v>
      </c>
      <c r="C185" s="10" t="s">
        <v>118</v>
      </c>
      <c r="D185" s="10" t="s">
        <v>136</v>
      </c>
      <c r="E185" s="10" t="s">
        <v>704</v>
      </c>
      <c r="F185" s="10" t="s">
        <v>694</v>
      </c>
      <c r="G185" s="10" t="s">
        <v>697</v>
      </c>
      <c r="H185" s="11">
        <v>0</v>
      </c>
      <c r="I185" s="11">
        <v>1158066</v>
      </c>
      <c r="J185" s="11">
        <v>1800000</v>
      </c>
      <c r="K185" s="11">
        <f t="shared" si="12"/>
        <v>1862068.9655172413</v>
      </c>
      <c r="L185" s="18">
        <f t="shared" si="10"/>
        <v>1.6079126453218049</v>
      </c>
      <c r="M185" s="18">
        <f t="shared" si="11"/>
        <v>0</v>
      </c>
    </row>
    <row r="186" spans="1:13" x14ac:dyDescent="0.3">
      <c r="A186" s="9" t="s">
        <v>227</v>
      </c>
      <c r="B186" s="10" t="s">
        <v>585</v>
      </c>
      <c r="C186" s="10" t="s">
        <v>118</v>
      </c>
      <c r="D186" s="10" t="s">
        <v>123</v>
      </c>
      <c r="E186" s="10" t="s">
        <v>702</v>
      </c>
      <c r="F186" s="10" t="s">
        <v>694</v>
      </c>
      <c r="G186" s="10" t="s">
        <v>697</v>
      </c>
      <c r="H186" s="11">
        <v>3686850</v>
      </c>
      <c r="I186" s="11">
        <v>4040000</v>
      </c>
      <c r="J186" s="11">
        <v>4225950</v>
      </c>
      <c r="K186" s="11">
        <f t="shared" si="12"/>
        <v>4371672.4137931038</v>
      </c>
      <c r="L186" s="18">
        <f t="shared" si="10"/>
        <v>1.0820971321270059</v>
      </c>
      <c r="M186" s="18">
        <f t="shared" si="11"/>
        <v>0.1857472947890757</v>
      </c>
    </row>
    <row r="187" spans="1:13" x14ac:dyDescent="0.3">
      <c r="A187" s="9" t="s">
        <v>228</v>
      </c>
      <c r="B187" s="10" t="s">
        <v>586</v>
      </c>
      <c r="C187" s="10" t="s">
        <v>118</v>
      </c>
      <c r="D187" s="10" t="s">
        <v>134</v>
      </c>
      <c r="E187" s="10" t="s">
        <v>704</v>
      </c>
      <c r="F187" s="10" t="s">
        <v>694</v>
      </c>
      <c r="G187" s="10" t="s">
        <v>698</v>
      </c>
      <c r="H187" s="11">
        <v>1000000</v>
      </c>
      <c r="I187" s="11">
        <v>1158066</v>
      </c>
      <c r="J187" s="11">
        <v>0</v>
      </c>
      <c r="K187" s="11">
        <f t="shared" si="12"/>
        <v>0</v>
      </c>
      <c r="L187" s="18">
        <f t="shared" si="10"/>
        <v>0</v>
      </c>
      <c r="M187" s="18">
        <f t="shared" si="11"/>
        <v>-1</v>
      </c>
    </row>
    <row r="188" spans="1:13" x14ac:dyDescent="0.3">
      <c r="A188" s="9" t="s">
        <v>229</v>
      </c>
      <c r="B188" s="10" t="s">
        <v>587</v>
      </c>
      <c r="C188" s="10" t="s">
        <v>118</v>
      </c>
      <c r="D188" s="10" t="s">
        <v>123</v>
      </c>
      <c r="E188" s="10" t="s">
        <v>703</v>
      </c>
      <c r="F188" s="10" t="s">
        <v>694</v>
      </c>
      <c r="G188" s="10" t="s">
        <v>696</v>
      </c>
      <c r="H188" s="11">
        <v>5000000</v>
      </c>
      <c r="I188" s="11">
        <v>3030000</v>
      </c>
      <c r="J188" s="11">
        <v>0</v>
      </c>
      <c r="K188" s="11">
        <f t="shared" si="12"/>
        <v>0</v>
      </c>
      <c r="L188" s="18">
        <f t="shared" si="10"/>
        <v>0</v>
      </c>
      <c r="M188" s="18">
        <f t="shared" si="11"/>
        <v>-1</v>
      </c>
    </row>
    <row r="189" spans="1:13" x14ac:dyDescent="0.3">
      <c r="A189" s="9" t="s">
        <v>230</v>
      </c>
      <c r="B189" s="10" t="s">
        <v>588</v>
      </c>
      <c r="C189" s="10" t="s">
        <v>118</v>
      </c>
      <c r="D189" s="10" t="s">
        <v>138</v>
      </c>
      <c r="E189" s="10" t="s">
        <v>703</v>
      </c>
      <c r="F189" s="10" t="s">
        <v>694</v>
      </c>
      <c r="G189" s="10" t="s">
        <v>699</v>
      </c>
      <c r="H189" s="11">
        <v>2000000</v>
      </c>
      <c r="I189" s="11">
        <v>1546800.8412060966</v>
      </c>
      <c r="J189" s="11">
        <v>0</v>
      </c>
      <c r="K189" s="11">
        <f t="shared" si="12"/>
        <v>0</v>
      </c>
      <c r="L189" s="18">
        <f t="shared" si="10"/>
        <v>0</v>
      </c>
      <c r="M189" s="18">
        <f t="shared" si="11"/>
        <v>-1</v>
      </c>
    </row>
    <row r="190" spans="1:13" x14ac:dyDescent="0.3">
      <c r="A190" s="9" t="s">
        <v>231</v>
      </c>
      <c r="B190" s="10" t="s">
        <v>589</v>
      </c>
      <c r="C190" s="10" t="s">
        <v>118</v>
      </c>
      <c r="D190" s="10" t="s">
        <v>136</v>
      </c>
      <c r="E190" s="10" t="s">
        <v>704</v>
      </c>
      <c r="F190" s="10" t="s">
        <v>694</v>
      </c>
      <c r="G190" s="10" t="s">
        <v>697</v>
      </c>
      <c r="H190" s="11">
        <v>1500000</v>
      </c>
      <c r="I190" s="11">
        <v>2525000</v>
      </c>
      <c r="J190" s="11">
        <v>1500000</v>
      </c>
      <c r="K190" s="11">
        <f t="shared" si="12"/>
        <v>1551724.1379310347</v>
      </c>
      <c r="L190" s="18">
        <f t="shared" si="10"/>
        <v>0.61454421304199391</v>
      </c>
      <c r="M190" s="18">
        <f t="shared" si="11"/>
        <v>3.448275862068978E-2</v>
      </c>
    </row>
    <row r="191" spans="1:13" x14ac:dyDescent="0.3">
      <c r="A191" s="9" t="s">
        <v>232</v>
      </c>
      <c r="B191" s="10" t="s">
        <v>590</v>
      </c>
      <c r="C191" s="10" t="s">
        <v>118</v>
      </c>
      <c r="D191" s="10" t="s">
        <v>136</v>
      </c>
      <c r="E191" s="10" t="s">
        <v>704</v>
      </c>
      <c r="F191" s="10" t="s">
        <v>694</v>
      </c>
      <c r="G191" s="10" t="s">
        <v>696</v>
      </c>
      <c r="H191" s="11">
        <v>1350000</v>
      </c>
      <c r="I191" s="11">
        <v>4040000</v>
      </c>
      <c r="J191" s="11">
        <v>900000</v>
      </c>
      <c r="K191" s="11">
        <f t="shared" si="12"/>
        <v>931034.48275862064</v>
      </c>
      <c r="L191" s="18">
        <f t="shared" si="10"/>
        <v>0.23045407989074768</v>
      </c>
      <c r="M191" s="18">
        <f t="shared" si="11"/>
        <v>-0.31034482758620696</v>
      </c>
    </row>
    <row r="192" spans="1:13" x14ac:dyDescent="0.3">
      <c r="A192" s="9" t="s">
        <v>233</v>
      </c>
      <c r="B192" s="10" t="s">
        <v>591</v>
      </c>
      <c r="C192" s="10" t="s">
        <v>118</v>
      </c>
      <c r="D192" s="10" t="s">
        <v>123</v>
      </c>
      <c r="E192" s="10" t="s">
        <v>702</v>
      </c>
      <c r="F192" s="10" t="s">
        <v>694</v>
      </c>
      <c r="G192" s="10" t="s">
        <v>696</v>
      </c>
      <c r="H192" s="11">
        <v>10560550</v>
      </c>
      <c r="I192" s="11">
        <v>7070000</v>
      </c>
      <c r="J192" s="11">
        <v>9541900</v>
      </c>
      <c r="K192" s="11">
        <f t="shared" si="12"/>
        <v>9870931.0344827585</v>
      </c>
      <c r="L192" s="18">
        <f t="shared" si="10"/>
        <v>1.3961712920060478</v>
      </c>
      <c r="M192" s="18">
        <f t="shared" si="11"/>
        <v>-6.5301425164147844E-2</v>
      </c>
    </row>
    <row r="193" spans="1:22" x14ac:dyDescent="0.3">
      <c r="A193" s="9" t="s">
        <v>234</v>
      </c>
      <c r="B193" s="10" t="s">
        <v>592</v>
      </c>
      <c r="C193" s="10" t="s">
        <v>118</v>
      </c>
      <c r="D193" s="10" t="s">
        <v>136</v>
      </c>
      <c r="E193" s="10" t="s">
        <v>704</v>
      </c>
      <c r="F193" s="10" t="s">
        <v>694</v>
      </c>
      <c r="G193" s="10" t="s">
        <v>697</v>
      </c>
      <c r="H193" s="11">
        <v>8850000</v>
      </c>
      <c r="I193" s="11">
        <v>1010000</v>
      </c>
      <c r="J193" s="11">
        <v>8600000</v>
      </c>
      <c r="K193" s="11">
        <f t="shared" si="12"/>
        <v>8896551.7241379302</v>
      </c>
      <c r="L193" s="18">
        <f t="shared" si="10"/>
        <v>8.8084670536019107</v>
      </c>
      <c r="M193" s="18">
        <f t="shared" si="11"/>
        <v>5.2600818234949378E-3</v>
      </c>
    </row>
    <row r="194" spans="1:22" x14ac:dyDescent="0.3">
      <c r="A194" s="9" t="s">
        <v>235</v>
      </c>
      <c r="B194" s="10" t="s">
        <v>593</v>
      </c>
      <c r="C194" s="10" t="s">
        <v>118</v>
      </c>
      <c r="D194" s="10" t="s">
        <v>136</v>
      </c>
      <c r="E194" s="10" t="s">
        <v>704</v>
      </c>
      <c r="F194" s="10" t="s">
        <v>694</v>
      </c>
      <c r="G194" s="10" t="s">
        <v>696</v>
      </c>
      <c r="H194" s="11">
        <v>0</v>
      </c>
      <c r="I194" s="11">
        <v>1010000</v>
      </c>
      <c r="J194" s="11">
        <v>0</v>
      </c>
      <c r="K194" s="11">
        <f t="shared" si="12"/>
        <v>0</v>
      </c>
      <c r="L194" s="18">
        <f t="shared" si="10"/>
        <v>0</v>
      </c>
      <c r="M194" s="18">
        <f t="shared" si="11"/>
        <v>0</v>
      </c>
    </row>
    <row r="195" spans="1:22" x14ac:dyDescent="0.3">
      <c r="A195" s="9" t="s">
        <v>236</v>
      </c>
      <c r="B195" s="10" t="s">
        <v>594</v>
      </c>
      <c r="C195" s="10" t="s">
        <v>118</v>
      </c>
      <c r="D195" s="10" t="s">
        <v>138</v>
      </c>
      <c r="E195" s="10" t="s">
        <v>703</v>
      </c>
      <c r="F195" s="10" t="s">
        <v>694</v>
      </c>
      <c r="G195" s="10" t="s">
        <v>698</v>
      </c>
      <c r="H195" s="11">
        <v>8000000</v>
      </c>
      <c r="I195" s="11">
        <v>1000000</v>
      </c>
      <c r="J195" s="11">
        <v>3000000</v>
      </c>
      <c r="K195" s="11">
        <f t="shared" si="12"/>
        <v>3103448.2758620693</v>
      </c>
      <c r="L195" s="18">
        <f t="shared" si="10"/>
        <v>3.1034482758620694</v>
      </c>
      <c r="M195" s="18">
        <f t="shared" si="11"/>
        <v>-0.61206896551724133</v>
      </c>
    </row>
    <row r="196" spans="1:22" x14ac:dyDescent="0.3">
      <c r="A196" s="9" t="s">
        <v>237</v>
      </c>
      <c r="B196" s="10" t="s">
        <v>595</v>
      </c>
      <c r="C196" s="10" t="s">
        <v>118</v>
      </c>
      <c r="D196" s="10" t="s">
        <v>123</v>
      </c>
      <c r="E196" s="10" t="s">
        <v>703</v>
      </c>
      <c r="F196" s="10" t="s">
        <v>694</v>
      </c>
      <c r="G196" s="10" t="s">
        <v>697</v>
      </c>
      <c r="H196" s="11">
        <v>1000000</v>
      </c>
      <c r="I196" s="11">
        <v>1000000</v>
      </c>
      <c r="J196" s="11">
        <v>2700000</v>
      </c>
      <c r="K196" s="11">
        <f t="shared" si="12"/>
        <v>2793103.4482758623</v>
      </c>
      <c r="L196" s="18">
        <f t="shared" si="10"/>
        <v>2.7931034482758621</v>
      </c>
      <c r="M196" s="18">
        <f t="shared" si="11"/>
        <v>1.7931034482758623</v>
      </c>
    </row>
    <row r="197" spans="1:22" s="16" customFormat="1" ht="23.35" customHeight="1" x14ac:dyDescent="0.3">
      <c r="A197" s="5" t="s">
        <v>67</v>
      </c>
      <c r="B197" s="8"/>
      <c r="C197" s="8"/>
      <c r="D197" s="8"/>
      <c r="E197" s="8"/>
      <c r="F197" s="8"/>
      <c r="G197" s="8"/>
      <c r="H197" s="13">
        <f>SUM(H5:H196)</f>
        <v>3303440999</v>
      </c>
      <c r="I197" s="13">
        <f>SUM(I5:I196)</f>
        <v>4688362744.6094742</v>
      </c>
      <c r="J197" s="13">
        <f>SUM(J5:J196)</f>
        <v>2699201398</v>
      </c>
      <c r="K197" s="13">
        <f>SUM(K5:K196)</f>
        <v>2792277308.2758608</v>
      </c>
      <c r="L197" s="14">
        <f t="shared" ref="L197" si="13">IFERROR((K197/I197),0)</f>
        <v>0.59557620866395833</v>
      </c>
      <c r="M197" s="19">
        <f t="shared" ref="M197" si="14">IFERROR((K197-H197)/H197,0)</f>
        <v>-0.15473673992629985</v>
      </c>
      <c r="P197"/>
      <c r="Q197"/>
      <c r="R197"/>
      <c r="S197"/>
      <c r="T197"/>
      <c r="U197"/>
      <c r="V197"/>
    </row>
  </sheetData>
  <autoFilter ref="A4:M197" xr:uid="{D1513601-EB84-4BDA-A4AF-678E729CE4D2}"/>
  <mergeCells count="2">
    <mergeCell ref="A3:M3"/>
    <mergeCell ref="P3:V3"/>
  </mergeCells>
  <conditionalFormatting sqref="M5:M197">
    <cfRule type="cellIs" dxfId="13" priority="3" operator="lessThan">
      <formula>0</formula>
    </cfRule>
  </conditionalFormatting>
  <conditionalFormatting sqref="V5:V9">
    <cfRule type="cellIs" dxfId="12" priority="2" operator="lessThan">
      <formula>0</formula>
    </cfRule>
  </conditionalFormatting>
  <conditionalFormatting sqref="V12:V32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B025-2176-4C8E-A24B-9C93F1BBEC48}">
  <dimension ref="A1:W208"/>
  <sheetViews>
    <sheetView showGridLines="0" zoomScale="68" zoomScaleNormal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8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4.44140625" customWidth="1"/>
    <col min="12" max="13" width="14.44140625" hidden="1" customWidth="1"/>
    <col min="14" max="15" width="0" hidden="1" customWidth="1"/>
    <col min="16" max="16" width="23" hidden="1" customWidth="1"/>
    <col min="17" max="19" width="15.88671875" hidden="1" customWidth="1"/>
    <col min="20" max="22" width="15.8867187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3" x14ac:dyDescent="0.3">
      <c r="A1" s="1">
        <v>29</v>
      </c>
      <c r="B1" s="1">
        <v>30</v>
      </c>
      <c r="G1" s="16"/>
      <c r="H1" s="16"/>
      <c r="I1" s="16"/>
      <c r="J1" s="16"/>
      <c r="K1" s="16"/>
    </row>
    <row r="2" spans="1:23" x14ac:dyDescent="0.3">
      <c r="A2" s="17"/>
      <c r="B2" s="17"/>
    </row>
    <row r="3" spans="1:23" s="4" customFormat="1" ht="23.5" customHeight="1" x14ac:dyDescent="0.3">
      <c r="A3" s="2" t="str">
        <f>"INDOSAT (01 - "&amp;A1&amp;" SEPTEMBER 2026)"</f>
        <v>INDOSAT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 t="str">
        <f>A3</f>
        <v>INDOSAT (01 - 29 SEPTEMBER 2026)</v>
      </c>
      <c r="Q3" s="2"/>
      <c r="R3" s="2"/>
      <c r="S3" s="2"/>
      <c r="T3" s="2"/>
      <c r="U3" s="2"/>
      <c r="V3" s="2"/>
    </row>
    <row r="4" spans="1:23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P4" s="8" t="s">
        <v>2</v>
      </c>
      <c r="Q4" s="8" t="s">
        <v>238</v>
      </c>
      <c r="R4" s="8" t="s">
        <v>8</v>
      </c>
      <c r="S4" s="8" t="s">
        <v>9</v>
      </c>
      <c r="T4" s="8" t="s">
        <v>10</v>
      </c>
      <c r="U4" s="8" t="s">
        <v>11</v>
      </c>
      <c r="V4" s="8" t="s">
        <v>12</v>
      </c>
    </row>
    <row r="5" spans="1:23" x14ac:dyDescent="0.3">
      <c r="A5" s="9" t="s">
        <v>194</v>
      </c>
      <c r="B5" s="10" t="s">
        <v>552</v>
      </c>
      <c r="C5" s="10" t="s">
        <v>116</v>
      </c>
      <c r="D5" s="10" t="s">
        <v>131</v>
      </c>
      <c r="E5" s="10" t="s">
        <v>705</v>
      </c>
      <c r="F5" s="10" t="s">
        <v>694</v>
      </c>
      <c r="G5" s="10" t="s">
        <v>696</v>
      </c>
      <c r="H5" s="11">
        <v>55150000</v>
      </c>
      <c r="I5" s="11">
        <v>84565382.217739329</v>
      </c>
      <c r="J5" s="11">
        <v>24100000</v>
      </c>
      <c r="K5" s="11">
        <f>IFERROR(J5/$A$1*$B$1,0)</f>
        <v>24931034.482758619</v>
      </c>
      <c r="L5" s="18">
        <f>IFERROR(K5/I5,0)</f>
        <v>0.29481371489064023</v>
      </c>
      <c r="M5" s="18">
        <f>IFERROR((K5-H5)/H5,0)</f>
        <v>-0.5479413511739144</v>
      </c>
      <c r="P5" s="10" t="s">
        <v>116</v>
      </c>
      <c r="Q5" s="11">
        <f t="shared" ref="Q5:T8" si="0">SUMIF($C:$C,$P5,H:H)</f>
        <v>866875000</v>
      </c>
      <c r="R5" s="11">
        <f t="shared" si="0"/>
        <v>1414250690.508672</v>
      </c>
      <c r="S5" s="11">
        <f t="shared" si="0"/>
        <v>555950000</v>
      </c>
      <c r="T5" s="11">
        <f t="shared" si="0"/>
        <v>575120689.65517211</v>
      </c>
      <c r="U5" s="18">
        <f>IFERROR(T5/R5,0)</f>
        <v>0.40666106335667762</v>
      </c>
      <c r="V5" s="18">
        <f>IFERROR((T5-Q5)/Q5,0)</f>
        <v>-0.33655868532928956</v>
      </c>
    </row>
    <row r="6" spans="1:23" x14ac:dyDescent="0.3">
      <c r="A6" s="9" t="s">
        <v>195</v>
      </c>
      <c r="B6" s="10" t="s">
        <v>553</v>
      </c>
      <c r="C6" s="10" t="s">
        <v>116</v>
      </c>
      <c r="D6" s="10" t="s">
        <v>131</v>
      </c>
      <c r="E6" s="10" t="s">
        <v>705</v>
      </c>
      <c r="F6" s="10" t="s">
        <v>694</v>
      </c>
      <c r="G6" s="10" t="s">
        <v>696</v>
      </c>
      <c r="H6" s="11">
        <v>49575000</v>
      </c>
      <c r="I6" s="11">
        <v>95113488.698393434</v>
      </c>
      <c r="J6" s="11">
        <v>43700000</v>
      </c>
      <c r="K6" s="11">
        <f t="shared" ref="K6:K69" si="1">IFERROR(J6/$A$1*$B$1,0)</f>
        <v>45206896.551724136</v>
      </c>
      <c r="L6" s="18">
        <f t="shared" ref="L6:L69" si="2">IFERROR(K6/I6,0)</f>
        <v>0.47529427392865392</v>
      </c>
      <c r="M6" s="18">
        <f t="shared" ref="M6:M69" si="3">IFERROR((K6-H6)/H6,0)</f>
        <v>-8.8111012572382533E-2</v>
      </c>
      <c r="P6" s="10" t="s">
        <v>20</v>
      </c>
      <c r="Q6" s="11">
        <f t="shared" si="0"/>
        <v>1389898000</v>
      </c>
      <c r="R6" s="11">
        <f t="shared" si="0"/>
        <v>2277157977.5417957</v>
      </c>
      <c r="S6" s="11">
        <f t="shared" si="0"/>
        <v>1123961000</v>
      </c>
      <c r="T6" s="11">
        <f t="shared" si="0"/>
        <v>1162718275.8620691</v>
      </c>
      <c r="U6" s="18">
        <f>IFERROR(T6/R6,0)</f>
        <v>0.51060062030357234</v>
      </c>
      <c r="V6" s="18">
        <f>IFERROR((T6-Q6)/Q6,0)</f>
        <v>-0.16345064467891232</v>
      </c>
    </row>
    <row r="7" spans="1:23" x14ac:dyDescent="0.3">
      <c r="A7" s="9" t="s">
        <v>216</v>
      </c>
      <c r="B7" s="10" t="s">
        <v>574</v>
      </c>
      <c r="C7" s="10" t="s">
        <v>116</v>
      </c>
      <c r="D7" s="10" t="s">
        <v>129</v>
      </c>
      <c r="E7" s="10" t="s">
        <v>705</v>
      </c>
      <c r="F7" s="10" t="s">
        <v>694</v>
      </c>
      <c r="G7" s="10" t="s">
        <v>697</v>
      </c>
      <c r="H7" s="11">
        <v>1875000</v>
      </c>
      <c r="I7" s="11">
        <v>8110592.4706944069</v>
      </c>
      <c r="J7" s="11">
        <v>950000</v>
      </c>
      <c r="K7" s="11">
        <f t="shared" si="1"/>
        <v>982758.62068965519</v>
      </c>
      <c r="L7" s="18">
        <f t="shared" si="2"/>
        <v>0.12116976956253284</v>
      </c>
      <c r="M7" s="18">
        <f t="shared" si="3"/>
        <v>-0.47586206896551725</v>
      </c>
      <c r="P7" s="10" t="s">
        <v>118</v>
      </c>
      <c r="Q7" s="11">
        <f t="shared" si="0"/>
        <v>1365940000</v>
      </c>
      <c r="R7" s="11">
        <f t="shared" si="0"/>
        <v>1697126428.7215703</v>
      </c>
      <c r="S7" s="11">
        <f t="shared" si="0"/>
        <v>1244045000</v>
      </c>
      <c r="T7" s="11">
        <f t="shared" si="0"/>
        <v>1286943103.4482758</v>
      </c>
      <c r="U7" s="18">
        <f>IFERROR(T7/R7,0)</f>
        <v>0.75830714887736339</v>
      </c>
      <c r="V7" s="18">
        <f>IFERROR((T7-Q7)/Q7,0)</f>
        <v>-5.7833357652403619E-2</v>
      </c>
    </row>
    <row r="8" spans="1:23" x14ac:dyDescent="0.3">
      <c r="A8" s="9" t="s">
        <v>196</v>
      </c>
      <c r="B8" s="10" t="s">
        <v>554</v>
      </c>
      <c r="C8" s="10" t="s">
        <v>116</v>
      </c>
      <c r="D8" s="10" t="s">
        <v>129</v>
      </c>
      <c r="E8" s="10" t="s">
        <v>705</v>
      </c>
      <c r="F8" s="10" t="s">
        <v>694</v>
      </c>
      <c r="G8" s="10" t="s">
        <v>697</v>
      </c>
      <c r="H8" s="11">
        <v>137875000</v>
      </c>
      <c r="I8" s="11">
        <v>160060529.14151952</v>
      </c>
      <c r="J8" s="11">
        <v>63475000</v>
      </c>
      <c r="K8" s="11">
        <f t="shared" si="1"/>
        <v>65663793.103448279</v>
      </c>
      <c r="L8" s="18">
        <f t="shared" si="2"/>
        <v>0.41024350885027261</v>
      </c>
      <c r="M8" s="18">
        <f t="shared" si="3"/>
        <v>-0.52374402100853479</v>
      </c>
      <c r="P8" s="10" t="s">
        <v>22</v>
      </c>
      <c r="Q8" s="11">
        <f t="shared" si="0"/>
        <v>2219520000</v>
      </c>
      <c r="R8" s="11">
        <f t="shared" si="0"/>
        <v>3329241808.0688539</v>
      </c>
      <c r="S8" s="11">
        <f t="shared" si="0"/>
        <v>1326100000</v>
      </c>
      <c r="T8" s="11">
        <f t="shared" si="0"/>
        <v>1371827586.2068961</v>
      </c>
      <c r="U8" s="18">
        <f>IFERROR(T8/R8,0)</f>
        <v>0.41205405473465223</v>
      </c>
      <c r="V8" s="18">
        <f>IFERROR((T8-Q8)/Q8,0)</f>
        <v>-0.38192600823290801</v>
      </c>
    </row>
    <row r="9" spans="1:23" x14ac:dyDescent="0.3">
      <c r="A9" s="9" t="s">
        <v>197</v>
      </c>
      <c r="B9" s="10" t="s">
        <v>555</v>
      </c>
      <c r="C9" s="10" t="s">
        <v>116</v>
      </c>
      <c r="D9" s="10" t="s">
        <v>129</v>
      </c>
      <c r="E9" s="10" t="s">
        <v>705</v>
      </c>
      <c r="F9" s="10" t="s">
        <v>694</v>
      </c>
      <c r="G9" s="10" t="s">
        <v>697</v>
      </c>
      <c r="H9" s="11">
        <v>16525000</v>
      </c>
      <c r="I9" s="11">
        <v>36605364.874664225</v>
      </c>
      <c r="J9" s="11">
        <v>950000</v>
      </c>
      <c r="K9" s="11">
        <f t="shared" si="1"/>
        <v>982758.62068965519</v>
      </c>
      <c r="L9" s="18">
        <f t="shared" si="2"/>
        <v>2.6847393109031805E-2</v>
      </c>
      <c r="M9" s="18">
        <f t="shared" si="3"/>
        <v>-0.94052897908080757</v>
      </c>
      <c r="P9" s="5" t="s">
        <v>67</v>
      </c>
      <c r="Q9" s="13">
        <f>SUM(Q5:Q8)</f>
        <v>5842233000</v>
      </c>
      <c r="R9" s="13">
        <f>SUM(R5:R8)</f>
        <v>8717776904.8408909</v>
      </c>
      <c r="S9" s="13">
        <f>SUM(S5:S8)</f>
        <v>4250056000</v>
      </c>
      <c r="T9" s="13">
        <f>SUM(T5:T8)</f>
        <v>4396609655.1724129</v>
      </c>
      <c r="U9" s="14">
        <f>IFERROR(T9/R9,0)</f>
        <v>0.50432692912008581</v>
      </c>
      <c r="V9" s="19">
        <f>IFERROR((T9-Q9)/Q9,0)</f>
        <v>-0.24744363068497732</v>
      </c>
    </row>
    <row r="10" spans="1:23" x14ac:dyDescent="0.3">
      <c r="A10" s="9" t="s">
        <v>198</v>
      </c>
      <c r="B10" s="10" t="s">
        <v>556</v>
      </c>
      <c r="C10" s="10" t="s">
        <v>116</v>
      </c>
      <c r="D10" s="10" t="s">
        <v>129</v>
      </c>
      <c r="E10" s="10" t="s">
        <v>705</v>
      </c>
      <c r="F10" s="10" t="s">
        <v>694</v>
      </c>
      <c r="G10" s="10" t="s">
        <v>697</v>
      </c>
      <c r="H10" s="11">
        <v>117375000</v>
      </c>
      <c r="I10" s="11">
        <v>186076371.74418992</v>
      </c>
      <c r="J10" s="11">
        <v>64450000</v>
      </c>
      <c r="K10" s="11">
        <f t="shared" si="1"/>
        <v>66672413.793103442</v>
      </c>
      <c r="L10" s="18">
        <f t="shared" si="2"/>
        <v>0.35830671658173729</v>
      </c>
      <c r="M10" s="18">
        <f t="shared" si="3"/>
        <v>-0.43197091550071615</v>
      </c>
    </row>
    <row r="11" spans="1:23" x14ac:dyDescent="0.3">
      <c r="A11" s="9" t="s">
        <v>199</v>
      </c>
      <c r="B11" s="10" t="s">
        <v>557</v>
      </c>
      <c r="C11" s="10" t="s">
        <v>116</v>
      </c>
      <c r="D11" s="10" t="s">
        <v>132</v>
      </c>
      <c r="E11" s="10" t="s">
        <v>705</v>
      </c>
      <c r="F11" s="10" t="s">
        <v>694</v>
      </c>
      <c r="G11" s="10" t="s">
        <v>699</v>
      </c>
      <c r="H11" s="11">
        <v>12275000</v>
      </c>
      <c r="I11" s="11">
        <v>24251423.697261721</v>
      </c>
      <c r="J11" s="11">
        <v>18925000</v>
      </c>
      <c r="K11" s="11">
        <f t="shared" si="1"/>
        <v>19577586.206896555</v>
      </c>
      <c r="L11" s="18">
        <f t="shared" si="2"/>
        <v>0.80727574806699287</v>
      </c>
      <c r="M11" s="18">
        <f t="shared" si="3"/>
        <v>0.59491537327059507</v>
      </c>
      <c r="P11" s="8" t="s">
        <v>3</v>
      </c>
      <c r="Q11" s="8" t="s">
        <v>238</v>
      </c>
      <c r="R11" s="8" t="s">
        <v>8</v>
      </c>
      <c r="S11" s="8" t="s">
        <v>9</v>
      </c>
      <c r="T11" s="8" t="s">
        <v>10</v>
      </c>
      <c r="U11" s="8" t="s">
        <v>11</v>
      </c>
      <c r="V11" s="8" t="s">
        <v>12</v>
      </c>
    </row>
    <row r="12" spans="1:23" x14ac:dyDescent="0.3">
      <c r="A12" s="9" t="s">
        <v>200</v>
      </c>
      <c r="B12" s="10" t="s">
        <v>558</v>
      </c>
      <c r="C12" s="10" t="s">
        <v>116</v>
      </c>
      <c r="D12" s="10" t="s">
        <v>132</v>
      </c>
      <c r="E12" s="10" t="s">
        <v>705</v>
      </c>
      <c r="F12" s="10" t="s">
        <v>694</v>
      </c>
      <c r="G12" s="10" t="s">
        <v>698</v>
      </c>
      <c r="H12" s="11">
        <v>1900000</v>
      </c>
      <c r="I12" s="11">
        <v>3835031.4818332004</v>
      </c>
      <c r="J12" s="11">
        <v>950000</v>
      </c>
      <c r="K12" s="11">
        <f t="shared" si="1"/>
        <v>982758.62068965519</v>
      </c>
      <c r="L12" s="18">
        <f t="shared" si="2"/>
        <v>0.25625829288365642</v>
      </c>
      <c r="M12" s="18">
        <f t="shared" si="3"/>
        <v>-0.48275862068965514</v>
      </c>
      <c r="P12" s="10" t="s">
        <v>28</v>
      </c>
      <c r="Q12" s="11">
        <f t="shared" ref="Q12:T31" si="4">SUMIF($D:$D,$P12,H:H)</f>
        <v>451610000</v>
      </c>
      <c r="R12" s="11">
        <f t="shared" si="4"/>
        <v>668544687.87814093</v>
      </c>
      <c r="S12" s="11">
        <f t="shared" si="4"/>
        <v>188170000</v>
      </c>
      <c r="T12" s="11">
        <f t="shared" si="4"/>
        <v>194658620.68965521</v>
      </c>
      <c r="U12" s="18">
        <f t="shared" ref="U12:U32" si="5">IFERROR(T12/R12,0)</f>
        <v>0.29116770235281064</v>
      </c>
      <c r="V12" s="18">
        <f t="shared" ref="V12:V32" si="6">IFERROR((T12-Q12)/Q12,0)</f>
        <v>-0.56896742612064566</v>
      </c>
    </row>
    <row r="13" spans="1:23" x14ac:dyDescent="0.3">
      <c r="A13" s="9" t="s">
        <v>201</v>
      </c>
      <c r="B13" s="10" t="s">
        <v>559</v>
      </c>
      <c r="C13" s="10" t="s">
        <v>116</v>
      </c>
      <c r="D13" s="10" t="s">
        <v>132</v>
      </c>
      <c r="E13" s="10" t="s">
        <v>705</v>
      </c>
      <c r="F13" s="10" t="s">
        <v>694</v>
      </c>
      <c r="G13" s="10" t="s">
        <v>698</v>
      </c>
      <c r="H13" s="11">
        <v>86325000</v>
      </c>
      <c r="I13" s="11">
        <v>122082602.46412243</v>
      </c>
      <c r="J13" s="11">
        <v>107900000</v>
      </c>
      <c r="K13" s="11">
        <f t="shared" si="1"/>
        <v>111620689.65517241</v>
      </c>
      <c r="L13" s="18">
        <f t="shared" si="2"/>
        <v>0.91430463802551587</v>
      </c>
      <c r="M13" s="18">
        <f t="shared" si="3"/>
        <v>0.29302855088528706</v>
      </c>
      <c r="P13" s="10" t="s">
        <v>48</v>
      </c>
      <c r="Q13" s="11">
        <f t="shared" si="4"/>
        <v>326465000</v>
      </c>
      <c r="R13" s="11">
        <f t="shared" si="4"/>
        <v>524246719.40098321</v>
      </c>
      <c r="S13" s="11">
        <f t="shared" si="4"/>
        <v>190195000</v>
      </c>
      <c r="T13" s="11">
        <f t="shared" si="4"/>
        <v>196753448.27586207</v>
      </c>
      <c r="U13" s="18">
        <f t="shared" si="5"/>
        <v>0.37530697092521104</v>
      </c>
      <c r="V13" s="18">
        <f t="shared" si="6"/>
        <v>-0.39732146393683221</v>
      </c>
    </row>
    <row r="14" spans="1:23" x14ac:dyDescent="0.3">
      <c r="A14" s="9" t="s">
        <v>217</v>
      </c>
      <c r="B14" s="10" t="s">
        <v>575</v>
      </c>
      <c r="C14" s="10" t="s">
        <v>116</v>
      </c>
      <c r="D14" s="10" t="s">
        <v>129</v>
      </c>
      <c r="E14" s="10" t="s">
        <v>705</v>
      </c>
      <c r="F14" s="10" t="s">
        <v>694</v>
      </c>
      <c r="G14" s="10" t="s">
        <v>697</v>
      </c>
      <c r="H14" s="11">
        <v>1900000</v>
      </c>
      <c r="I14" s="11">
        <v>1893091.0434598445</v>
      </c>
      <c r="J14" s="11">
        <v>950000</v>
      </c>
      <c r="K14" s="11">
        <f t="shared" si="1"/>
        <v>982758.62068965519</v>
      </c>
      <c r="L14" s="18">
        <f t="shared" si="2"/>
        <v>0.5191290847235478</v>
      </c>
      <c r="M14" s="18">
        <f t="shared" si="3"/>
        <v>-0.48275862068965514</v>
      </c>
      <c r="P14" s="10" t="s">
        <v>123</v>
      </c>
      <c r="Q14" s="11">
        <f t="shared" si="4"/>
        <v>166525000</v>
      </c>
      <c r="R14" s="11">
        <f t="shared" si="4"/>
        <v>170729541.93382341</v>
      </c>
      <c r="S14" s="11">
        <f t="shared" si="4"/>
        <v>142065000</v>
      </c>
      <c r="T14" s="11">
        <f t="shared" si="4"/>
        <v>146963793.10344827</v>
      </c>
      <c r="U14" s="18">
        <f t="shared" si="5"/>
        <v>0.86079884851101518</v>
      </c>
      <c r="V14" s="18">
        <f t="shared" si="6"/>
        <v>-0.11746708840445416</v>
      </c>
      <c r="W14" t="s">
        <v>239</v>
      </c>
    </row>
    <row r="15" spans="1:23" x14ac:dyDescent="0.3">
      <c r="A15" s="9" t="s">
        <v>202</v>
      </c>
      <c r="B15" s="10" t="s">
        <v>560</v>
      </c>
      <c r="C15" s="10" t="s">
        <v>116</v>
      </c>
      <c r="D15" s="10" t="s">
        <v>131</v>
      </c>
      <c r="E15" s="10" t="s">
        <v>705</v>
      </c>
      <c r="F15" s="10" t="s">
        <v>694</v>
      </c>
      <c r="G15" s="10" t="s">
        <v>697</v>
      </c>
      <c r="H15" s="11">
        <v>29650000</v>
      </c>
      <c r="I15" s="11">
        <v>35041653.265748017</v>
      </c>
      <c r="J15" s="11">
        <v>16700000</v>
      </c>
      <c r="K15" s="11">
        <f t="shared" si="1"/>
        <v>17275862.068965517</v>
      </c>
      <c r="L15" s="18">
        <f t="shared" si="2"/>
        <v>0.49300933200694796</v>
      </c>
      <c r="M15" s="18">
        <f t="shared" si="3"/>
        <v>-0.41734023376170265</v>
      </c>
      <c r="P15" s="10" t="s">
        <v>42</v>
      </c>
      <c r="Q15" s="11">
        <f t="shared" si="4"/>
        <v>280225000</v>
      </c>
      <c r="R15" s="11">
        <f t="shared" si="4"/>
        <v>449264415.90746427</v>
      </c>
      <c r="S15" s="11">
        <f t="shared" si="4"/>
        <v>206100000</v>
      </c>
      <c r="T15" s="11">
        <f t="shared" si="4"/>
        <v>213206896.55172417</v>
      </c>
      <c r="U15" s="18">
        <f t="shared" si="5"/>
        <v>0.47456884855006798</v>
      </c>
      <c r="V15" s="18">
        <f t="shared" si="6"/>
        <v>-0.23915818877072292</v>
      </c>
    </row>
    <row r="16" spans="1:23" x14ac:dyDescent="0.3">
      <c r="A16" s="9" t="s">
        <v>203</v>
      </c>
      <c r="B16" s="10" t="s">
        <v>561</v>
      </c>
      <c r="C16" s="10" t="s">
        <v>116</v>
      </c>
      <c r="D16" s="10" t="s">
        <v>133</v>
      </c>
      <c r="E16" s="10" t="s">
        <v>705</v>
      </c>
      <c r="F16" s="10" t="s">
        <v>694</v>
      </c>
      <c r="G16" s="10" t="s">
        <v>700</v>
      </c>
      <c r="H16" s="11">
        <v>34450000</v>
      </c>
      <c r="I16" s="11">
        <v>72902058.210454658</v>
      </c>
      <c r="J16" s="11">
        <v>14900000</v>
      </c>
      <c r="K16" s="11">
        <f t="shared" si="1"/>
        <v>15413793.103448277</v>
      </c>
      <c r="L16" s="18">
        <f t="shared" si="2"/>
        <v>0.2114315217130294</v>
      </c>
      <c r="M16" s="18">
        <f t="shared" si="3"/>
        <v>-0.55257494619888881</v>
      </c>
      <c r="P16" s="10" t="s">
        <v>38</v>
      </c>
      <c r="Q16" s="11">
        <f t="shared" si="4"/>
        <v>449321000</v>
      </c>
      <c r="R16" s="11">
        <f t="shared" si="4"/>
        <v>793184502.98794162</v>
      </c>
      <c r="S16" s="11">
        <f t="shared" si="4"/>
        <v>404481000</v>
      </c>
      <c r="T16" s="11">
        <f t="shared" si="4"/>
        <v>418428620.68965518</v>
      </c>
      <c r="U16" s="18">
        <f t="shared" si="5"/>
        <v>0.52752999978369008</v>
      </c>
      <c r="V16" s="18">
        <f t="shared" si="6"/>
        <v>-6.8753473152478553E-2</v>
      </c>
    </row>
    <row r="17" spans="1:22" x14ac:dyDescent="0.3">
      <c r="A17" s="9" t="s">
        <v>204</v>
      </c>
      <c r="B17" s="10" t="s">
        <v>562</v>
      </c>
      <c r="C17" s="10" t="s">
        <v>116</v>
      </c>
      <c r="D17" s="10" t="s">
        <v>131</v>
      </c>
      <c r="E17" s="10" t="s">
        <v>705</v>
      </c>
      <c r="F17" s="10" t="s">
        <v>694</v>
      </c>
      <c r="G17" s="10" t="s">
        <v>696</v>
      </c>
      <c r="H17" s="11">
        <v>21600000</v>
      </c>
      <c r="I17" s="11">
        <v>31406975.099284723</v>
      </c>
      <c r="J17" s="11">
        <v>5300000</v>
      </c>
      <c r="K17" s="11">
        <f t="shared" si="1"/>
        <v>5482758.6206896547</v>
      </c>
      <c r="L17" s="18">
        <f t="shared" si="2"/>
        <v>0.17457136840964099</v>
      </c>
      <c r="M17" s="18">
        <f t="shared" si="3"/>
        <v>-0.74616858237547889</v>
      </c>
      <c r="P17" s="10" t="s">
        <v>32</v>
      </c>
      <c r="Q17" s="11">
        <f t="shared" si="4"/>
        <v>191294000</v>
      </c>
      <c r="R17" s="11">
        <f t="shared" si="4"/>
        <v>291758545.60929304</v>
      </c>
      <c r="S17" s="11">
        <f t="shared" si="4"/>
        <v>184275000</v>
      </c>
      <c r="T17" s="11">
        <f t="shared" si="4"/>
        <v>190629310.34482762</v>
      </c>
      <c r="U17" s="18">
        <f t="shared" si="5"/>
        <v>0.65338038324371095</v>
      </c>
      <c r="V17" s="18">
        <f t="shared" si="6"/>
        <v>-3.4747020563759335E-3</v>
      </c>
    </row>
    <row r="18" spans="1:22" x14ac:dyDescent="0.3">
      <c r="A18" s="9" t="s">
        <v>205</v>
      </c>
      <c r="B18" s="10" t="s">
        <v>563</v>
      </c>
      <c r="C18" s="10" t="s">
        <v>116</v>
      </c>
      <c r="D18" s="10" t="s">
        <v>132</v>
      </c>
      <c r="E18" s="10" t="s">
        <v>705</v>
      </c>
      <c r="F18" s="10" t="s">
        <v>694</v>
      </c>
      <c r="G18" s="10" t="s">
        <v>695</v>
      </c>
      <c r="H18" s="11">
        <v>75000000</v>
      </c>
      <c r="I18" s="11">
        <v>151714539.22432163</v>
      </c>
      <c r="J18" s="11">
        <v>43000000</v>
      </c>
      <c r="K18" s="11">
        <f t="shared" si="1"/>
        <v>44482758.620689653</v>
      </c>
      <c r="L18" s="18">
        <f t="shared" si="2"/>
        <v>0.29320036726947091</v>
      </c>
      <c r="M18" s="18">
        <f t="shared" si="3"/>
        <v>-0.40689655172413797</v>
      </c>
      <c r="P18" s="10" t="s">
        <v>36</v>
      </c>
      <c r="Q18" s="11">
        <f t="shared" si="4"/>
        <v>234203000</v>
      </c>
      <c r="R18" s="11">
        <f t="shared" si="4"/>
        <v>401489422.88837391</v>
      </c>
      <c r="S18" s="11">
        <f t="shared" si="4"/>
        <v>150625000</v>
      </c>
      <c r="T18" s="11">
        <f t="shared" si="4"/>
        <v>155818965.51724139</v>
      </c>
      <c r="U18" s="18">
        <f t="shared" si="5"/>
        <v>0.38810229269866403</v>
      </c>
      <c r="V18" s="18">
        <f t="shared" si="6"/>
        <v>-0.33468416067581802</v>
      </c>
    </row>
    <row r="19" spans="1:22" x14ac:dyDescent="0.3">
      <c r="A19" s="9" t="s">
        <v>206</v>
      </c>
      <c r="B19" s="10" t="s">
        <v>564</v>
      </c>
      <c r="C19" s="10" t="s">
        <v>116</v>
      </c>
      <c r="D19" s="10" t="s">
        <v>133</v>
      </c>
      <c r="E19" s="10" t="s">
        <v>705</v>
      </c>
      <c r="F19" s="10" t="s">
        <v>694</v>
      </c>
      <c r="G19" s="10" t="s">
        <v>698</v>
      </c>
      <c r="H19" s="11">
        <v>40725000</v>
      </c>
      <c r="I19" s="11">
        <v>103578239.2822108</v>
      </c>
      <c r="J19" s="11">
        <v>18950000</v>
      </c>
      <c r="K19" s="11">
        <f t="shared" si="1"/>
        <v>19603448.275862068</v>
      </c>
      <c r="L19" s="18">
        <f t="shared" si="2"/>
        <v>0.18926222739170362</v>
      </c>
      <c r="M19" s="18">
        <f t="shared" si="3"/>
        <v>-0.51863847081983872</v>
      </c>
      <c r="P19" s="10" t="s">
        <v>34</v>
      </c>
      <c r="Q19" s="11">
        <f t="shared" si="4"/>
        <v>183205000</v>
      </c>
      <c r="R19" s="11">
        <f t="shared" si="4"/>
        <v>296568649.00858784</v>
      </c>
      <c r="S19" s="11">
        <f t="shared" si="4"/>
        <v>173480000</v>
      </c>
      <c r="T19" s="11">
        <f t="shared" si="4"/>
        <v>179462068.96551722</v>
      </c>
      <c r="U19" s="18">
        <f t="shared" si="5"/>
        <v>0.60512825467374498</v>
      </c>
      <c r="V19" s="18">
        <f t="shared" si="6"/>
        <v>-2.0430288662879163E-2</v>
      </c>
    </row>
    <row r="20" spans="1:22" x14ac:dyDescent="0.3">
      <c r="A20" s="9" t="s">
        <v>207</v>
      </c>
      <c r="B20" s="10" t="s">
        <v>565</v>
      </c>
      <c r="C20" s="10" t="s">
        <v>116</v>
      </c>
      <c r="D20" s="10" t="s">
        <v>133</v>
      </c>
      <c r="E20" s="10" t="s">
        <v>705</v>
      </c>
      <c r="F20" s="10" t="s">
        <v>694</v>
      </c>
      <c r="G20" s="10" t="s">
        <v>699</v>
      </c>
      <c r="H20" s="11">
        <v>6400000</v>
      </c>
      <c r="I20" s="11">
        <v>20843470.439799178</v>
      </c>
      <c r="J20" s="11">
        <v>2850000</v>
      </c>
      <c r="K20" s="11">
        <f t="shared" si="1"/>
        <v>2948275.8620689656</v>
      </c>
      <c r="L20" s="18">
        <f t="shared" si="2"/>
        <v>0.1414484152523581</v>
      </c>
      <c r="M20" s="18">
        <f t="shared" si="3"/>
        <v>-0.53933189655172409</v>
      </c>
      <c r="P20" s="10" t="s">
        <v>46</v>
      </c>
      <c r="Q20" s="11">
        <f t="shared" si="4"/>
        <v>443875000</v>
      </c>
      <c r="R20" s="11">
        <f t="shared" si="4"/>
        <v>606947660.67937899</v>
      </c>
      <c r="S20" s="11">
        <f t="shared" si="4"/>
        <v>200175000</v>
      </c>
      <c r="T20" s="11">
        <f t="shared" si="4"/>
        <v>207077586.20689657</v>
      </c>
      <c r="U20" s="18">
        <f t="shared" si="5"/>
        <v>0.34117865447427043</v>
      </c>
      <c r="V20" s="18">
        <f t="shared" si="6"/>
        <v>-0.53347769933675793</v>
      </c>
    </row>
    <row r="21" spans="1:22" x14ac:dyDescent="0.3">
      <c r="A21" s="9" t="s">
        <v>208</v>
      </c>
      <c r="B21" s="10" t="s">
        <v>566</v>
      </c>
      <c r="C21" s="10" t="s">
        <v>116</v>
      </c>
      <c r="D21" s="10" t="s">
        <v>131</v>
      </c>
      <c r="E21" s="10" t="s">
        <v>705</v>
      </c>
      <c r="F21" s="10" t="s">
        <v>694</v>
      </c>
      <c r="G21" s="10" t="s">
        <v>697</v>
      </c>
      <c r="H21" s="11">
        <v>3775000</v>
      </c>
      <c r="I21" s="11">
        <v>9021385.8990455996</v>
      </c>
      <c r="J21" s="11">
        <v>5125000</v>
      </c>
      <c r="K21" s="11">
        <f t="shared" si="1"/>
        <v>5301724.1379310349</v>
      </c>
      <c r="L21" s="18">
        <f t="shared" si="2"/>
        <v>0.58768399858517528</v>
      </c>
      <c r="M21" s="18">
        <f t="shared" si="3"/>
        <v>0.40443023521351917</v>
      </c>
      <c r="P21" s="10" t="s">
        <v>40</v>
      </c>
      <c r="Q21" s="11">
        <f t="shared" si="4"/>
        <v>263950000</v>
      </c>
      <c r="R21" s="11">
        <f t="shared" si="4"/>
        <v>389665149.17670029</v>
      </c>
      <c r="S21" s="11">
        <f t="shared" si="4"/>
        <v>143635000</v>
      </c>
      <c r="T21" s="11">
        <f t="shared" si="4"/>
        <v>148587931.03448278</v>
      </c>
      <c r="U21" s="18">
        <f t="shared" si="5"/>
        <v>0.38132209500496811</v>
      </c>
      <c r="V21" s="18">
        <f t="shared" si="6"/>
        <v>-0.43706031053425731</v>
      </c>
    </row>
    <row r="22" spans="1:22" x14ac:dyDescent="0.3">
      <c r="A22" s="9" t="s">
        <v>210</v>
      </c>
      <c r="B22" s="10" t="s">
        <v>568</v>
      </c>
      <c r="C22" s="10" t="s">
        <v>116</v>
      </c>
      <c r="D22" s="10" t="s">
        <v>133</v>
      </c>
      <c r="E22" s="10" t="s">
        <v>705</v>
      </c>
      <c r="F22" s="10" t="s">
        <v>694</v>
      </c>
      <c r="G22" s="10" t="s">
        <v>700</v>
      </c>
      <c r="H22" s="11">
        <v>38950000</v>
      </c>
      <c r="I22" s="11">
        <v>58395911.807877161</v>
      </c>
      <c r="J22" s="11">
        <v>29850000</v>
      </c>
      <c r="K22" s="11">
        <f t="shared" si="1"/>
        <v>30879310.344827585</v>
      </c>
      <c r="L22" s="18">
        <f t="shared" si="2"/>
        <v>0.52879233132656045</v>
      </c>
      <c r="M22" s="18">
        <f t="shared" si="3"/>
        <v>-0.20720640963215442</v>
      </c>
      <c r="P22" s="10" t="s">
        <v>30</v>
      </c>
      <c r="Q22" s="11">
        <f t="shared" si="4"/>
        <v>331875000</v>
      </c>
      <c r="R22" s="11">
        <f t="shared" si="4"/>
        <v>494156857.04759812</v>
      </c>
      <c r="S22" s="11">
        <f t="shared" si="4"/>
        <v>211100000</v>
      </c>
      <c r="T22" s="11">
        <f t="shared" si="4"/>
        <v>218379310.34482756</v>
      </c>
      <c r="U22" s="18">
        <f t="shared" si="5"/>
        <v>0.44192305991575637</v>
      </c>
      <c r="V22" s="18">
        <f t="shared" si="6"/>
        <v>-0.34198324566530303</v>
      </c>
    </row>
    <row r="23" spans="1:22" x14ac:dyDescent="0.3">
      <c r="A23" s="9" t="s">
        <v>211</v>
      </c>
      <c r="B23" s="10" t="s">
        <v>569</v>
      </c>
      <c r="C23" s="10" t="s">
        <v>116</v>
      </c>
      <c r="D23" s="10" t="s">
        <v>133</v>
      </c>
      <c r="E23" s="10" t="s">
        <v>705</v>
      </c>
      <c r="F23" s="10" t="s">
        <v>694</v>
      </c>
      <c r="G23" s="10" t="s">
        <v>699</v>
      </c>
      <c r="H23" s="11">
        <v>47850000</v>
      </c>
      <c r="I23" s="11">
        <v>109740165.67320319</v>
      </c>
      <c r="J23" s="11">
        <v>23625000</v>
      </c>
      <c r="K23" s="11">
        <f t="shared" si="1"/>
        <v>24439655.172413796</v>
      </c>
      <c r="L23" s="18">
        <f t="shared" si="2"/>
        <v>0.22270474098966642</v>
      </c>
      <c r="M23" s="18">
        <f t="shared" si="3"/>
        <v>-0.489244406010161</v>
      </c>
      <c r="P23" s="10" t="s">
        <v>44</v>
      </c>
      <c r="Q23" s="11">
        <f t="shared" si="4"/>
        <v>453395000</v>
      </c>
      <c r="R23" s="11">
        <f t="shared" si="4"/>
        <v>690573175.02618623</v>
      </c>
      <c r="S23" s="11">
        <f t="shared" si="4"/>
        <v>397825000</v>
      </c>
      <c r="T23" s="11">
        <f t="shared" si="4"/>
        <v>411543103.44827586</v>
      </c>
      <c r="U23" s="18">
        <f t="shared" si="5"/>
        <v>0.59594423636954963</v>
      </c>
      <c r="V23" s="18">
        <f t="shared" si="6"/>
        <v>-9.2307803464361404E-2</v>
      </c>
    </row>
    <row r="24" spans="1:22" x14ac:dyDescent="0.3">
      <c r="A24" s="9" t="s">
        <v>212</v>
      </c>
      <c r="B24" s="10" t="s">
        <v>570</v>
      </c>
      <c r="C24" s="10" t="s">
        <v>116</v>
      </c>
      <c r="D24" s="10" t="s">
        <v>129</v>
      </c>
      <c r="E24" s="10" t="s">
        <v>705</v>
      </c>
      <c r="F24" s="10" t="s">
        <v>694</v>
      </c>
      <c r="G24" s="10" t="s">
        <v>697</v>
      </c>
      <c r="H24" s="11">
        <v>5700000</v>
      </c>
      <c r="I24" s="11">
        <v>8116433.159216674</v>
      </c>
      <c r="J24" s="11">
        <v>6600000</v>
      </c>
      <c r="K24" s="11">
        <f t="shared" si="1"/>
        <v>6827586.206896551</v>
      </c>
      <c r="L24" s="18">
        <f t="shared" si="2"/>
        <v>0.84120525272156477</v>
      </c>
      <c r="M24" s="18">
        <f t="shared" si="3"/>
        <v>0.19782214156079841</v>
      </c>
      <c r="P24" s="10" t="s">
        <v>128</v>
      </c>
      <c r="Q24" s="11">
        <f t="shared" si="4"/>
        <v>7400000</v>
      </c>
      <c r="R24" s="11">
        <f t="shared" si="4"/>
        <v>12696228.276535079</v>
      </c>
      <c r="S24" s="11">
        <f t="shared" si="4"/>
        <v>12180000</v>
      </c>
      <c r="T24" s="11">
        <f t="shared" si="4"/>
        <v>12600000</v>
      </c>
      <c r="U24" s="18">
        <f t="shared" si="5"/>
        <v>0.99242071941058851</v>
      </c>
      <c r="V24" s="18">
        <f t="shared" si="6"/>
        <v>0.70270270270270274</v>
      </c>
    </row>
    <row r="25" spans="1:22" x14ac:dyDescent="0.3">
      <c r="A25" s="9" t="s">
        <v>213</v>
      </c>
      <c r="B25" s="10" t="s">
        <v>571</v>
      </c>
      <c r="C25" s="10" t="s">
        <v>116</v>
      </c>
      <c r="D25" s="10" t="s">
        <v>133</v>
      </c>
      <c r="E25" s="10" t="s">
        <v>705</v>
      </c>
      <c r="F25" s="10" t="s">
        <v>694</v>
      </c>
      <c r="G25" s="10" t="s">
        <v>695</v>
      </c>
      <c r="H25" s="11">
        <v>4725000</v>
      </c>
      <c r="I25" s="11">
        <v>7833425.2517286148</v>
      </c>
      <c r="J25" s="11">
        <v>2850000</v>
      </c>
      <c r="K25" s="11">
        <f t="shared" si="1"/>
        <v>2948275.8620689656</v>
      </c>
      <c r="L25" s="18">
        <f t="shared" si="2"/>
        <v>0.37637122552721936</v>
      </c>
      <c r="M25" s="18">
        <f t="shared" si="3"/>
        <v>-0.3760262725779967</v>
      </c>
      <c r="P25" s="10" t="s">
        <v>129</v>
      </c>
      <c r="Q25" s="11">
        <f t="shared" si="4"/>
        <v>297975000</v>
      </c>
      <c r="R25" s="11">
        <f t="shared" si="4"/>
        <v>415614368.72594112</v>
      </c>
      <c r="S25" s="11">
        <f t="shared" si="4"/>
        <v>155550000</v>
      </c>
      <c r="T25" s="11">
        <f t="shared" si="4"/>
        <v>160913793.10344827</v>
      </c>
      <c r="U25" s="18">
        <f t="shared" si="5"/>
        <v>0.38717090940991</v>
      </c>
      <c r="V25" s="18">
        <f t="shared" si="6"/>
        <v>-0.45997552444517736</v>
      </c>
    </row>
    <row r="26" spans="1:22" x14ac:dyDescent="0.3">
      <c r="A26" s="9" t="s">
        <v>214</v>
      </c>
      <c r="B26" s="10" t="s">
        <v>572</v>
      </c>
      <c r="C26" s="10" t="s">
        <v>116</v>
      </c>
      <c r="D26" s="10" t="s">
        <v>133</v>
      </c>
      <c r="E26" s="10" t="s">
        <v>705</v>
      </c>
      <c r="F26" s="10" t="s">
        <v>694</v>
      </c>
      <c r="G26" s="10" t="s">
        <v>695</v>
      </c>
      <c r="H26" s="11">
        <v>7375000</v>
      </c>
      <c r="I26" s="11">
        <v>10050409.022332393</v>
      </c>
      <c r="J26" s="11">
        <v>5700000</v>
      </c>
      <c r="K26" s="11">
        <f t="shared" si="1"/>
        <v>5896551.7241379311</v>
      </c>
      <c r="L26" s="18">
        <f t="shared" si="2"/>
        <v>0.58669768673449685</v>
      </c>
      <c r="M26" s="18">
        <f t="shared" si="3"/>
        <v>-0.20046756282875511</v>
      </c>
      <c r="P26" s="10" t="s">
        <v>131</v>
      </c>
      <c r="Q26" s="11">
        <f t="shared" si="4"/>
        <v>159750000</v>
      </c>
      <c r="R26" s="11">
        <f t="shared" si="4"/>
        <v>255148885.18021107</v>
      </c>
      <c r="S26" s="11">
        <f t="shared" si="4"/>
        <v>94925000</v>
      </c>
      <c r="T26" s="11">
        <f t="shared" si="4"/>
        <v>98198275.862068966</v>
      </c>
      <c r="U26" s="18">
        <f t="shared" si="5"/>
        <v>0.38486656836737404</v>
      </c>
      <c r="V26" s="18">
        <f t="shared" si="6"/>
        <v>-0.38530030759268252</v>
      </c>
    </row>
    <row r="27" spans="1:22" x14ac:dyDescent="0.3">
      <c r="A27" s="9" t="s">
        <v>215</v>
      </c>
      <c r="B27" s="10" t="s">
        <v>573</v>
      </c>
      <c r="C27" s="10" t="s">
        <v>116</v>
      </c>
      <c r="D27" s="10" t="s">
        <v>132</v>
      </c>
      <c r="E27" s="10" t="s">
        <v>705</v>
      </c>
      <c r="F27" s="10" t="s">
        <v>694</v>
      </c>
      <c r="G27" s="10" t="s">
        <v>698</v>
      </c>
      <c r="H27" s="11">
        <v>21475000</v>
      </c>
      <c r="I27" s="11">
        <v>22872313.243761431</v>
      </c>
      <c r="J27" s="11">
        <v>11225000</v>
      </c>
      <c r="K27" s="11">
        <f t="shared" si="1"/>
        <v>11612068.965517242</v>
      </c>
      <c r="L27" s="18">
        <f t="shared" si="2"/>
        <v>0.50769106044332912</v>
      </c>
      <c r="M27" s="18">
        <f t="shared" si="3"/>
        <v>-0.45927501906788165</v>
      </c>
      <c r="P27" s="10" t="s">
        <v>132</v>
      </c>
      <c r="Q27" s="11">
        <f t="shared" si="4"/>
        <v>228675000</v>
      </c>
      <c r="R27" s="11">
        <f t="shared" si="4"/>
        <v>360143756.91491377</v>
      </c>
      <c r="S27" s="11">
        <f t="shared" si="4"/>
        <v>206750000</v>
      </c>
      <c r="T27" s="11">
        <f t="shared" si="4"/>
        <v>213879310.34482759</v>
      </c>
      <c r="U27" s="18">
        <f t="shared" si="5"/>
        <v>0.59387204758725809</v>
      </c>
      <c r="V27" s="18">
        <f t="shared" si="6"/>
        <v>-6.47018242272763E-2</v>
      </c>
    </row>
    <row r="28" spans="1:22" x14ac:dyDescent="0.3">
      <c r="A28" s="9" t="s">
        <v>225</v>
      </c>
      <c r="B28" s="10" t="s">
        <v>583</v>
      </c>
      <c r="C28" s="10" t="s">
        <v>116</v>
      </c>
      <c r="D28" s="10" t="s">
        <v>129</v>
      </c>
      <c r="E28" s="10" t="s">
        <v>705</v>
      </c>
      <c r="F28" s="10" t="s">
        <v>694</v>
      </c>
      <c r="G28" s="10" t="s">
        <v>697</v>
      </c>
      <c r="H28" s="11">
        <v>16725000</v>
      </c>
      <c r="I28" s="11">
        <v>14751986.292196577</v>
      </c>
      <c r="J28" s="11">
        <v>18175000</v>
      </c>
      <c r="K28" s="11">
        <f t="shared" si="1"/>
        <v>18801724.137931034</v>
      </c>
      <c r="L28" s="18">
        <f t="shared" si="2"/>
        <v>1.2745215298821599</v>
      </c>
      <c r="M28" s="18">
        <f t="shared" si="3"/>
        <v>0.12416885727539814</v>
      </c>
      <c r="P28" s="10" t="s">
        <v>133</v>
      </c>
      <c r="Q28" s="11">
        <f t="shared" si="4"/>
        <v>180475000</v>
      </c>
      <c r="R28" s="11">
        <f t="shared" si="4"/>
        <v>383343679.68760598</v>
      </c>
      <c r="S28" s="11">
        <f t="shared" si="4"/>
        <v>98725000</v>
      </c>
      <c r="T28" s="11">
        <f t="shared" si="4"/>
        <v>102129310.34482759</v>
      </c>
      <c r="U28" s="18">
        <f t="shared" si="5"/>
        <v>0.26641709712823414</v>
      </c>
      <c r="V28" s="18">
        <f t="shared" si="6"/>
        <v>-0.43410826793280183</v>
      </c>
    </row>
    <row r="29" spans="1:22" x14ac:dyDescent="0.3">
      <c r="A29" s="9" t="s">
        <v>221</v>
      </c>
      <c r="B29" s="10" t="s">
        <v>579</v>
      </c>
      <c r="C29" s="10" t="s">
        <v>116</v>
      </c>
      <c r="D29" s="10" t="s">
        <v>132</v>
      </c>
      <c r="E29" s="10" t="s">
        <v>705</v>
      </c>
      <c r="F29" s="10" t="s">
        <v>694</v>
      </c>
      <c r="G29" s="10" t="s">
        <v>699</v>
      </c>
      <c r="H29" s="11">
        <v>31700000</v>
      </c>
      <c r="I29" s="11">
        <v>35387846.803613335</v>
      </c>
      <c r="J29" s="11">
        <v>24750000</v>
      </c>
      <c r="K29" s="11">
        <f t="shared" si="1"/>
        <v>25603448.275862068</v>
      </c>
      <c r="L29" s="18">
        <f t="shared" si="2"/>
        <v>0.72350963928237044</v>
      </c>
      <c r="M29" s="18">
        <f t="shared" si="3"/>
        <v>-0.19232024366365716</v>
      </c>
      <c r="P29" s="10" t="s">
        <v>134</v>
      </c>
      <c r="Q29" s="11">
        <f t="shared" si="4"/>
        <v>374800000</v>
      </c>
      <c r="R29" s="11">
        <f t="shared" si="4"/>
        <v>467078144.48323417</v>
      </c>
      <c r="S29" s="11">
        <f t="shared" si="4"/>
        <v>322275000</v>
      </c>
      <c r="T29" s="11">
        <f t="shared" si="4"/>
        <v>333387931.03448278</v>
      </c>
      <c r="U29" s="18">
        <f t="shared" si="5"/>
        <v>0.71377334814784887</v>
      </c>
      <c r="V29" s="18">
        <f t="shared" si="6"/>
        <v>-0.11049111250138</v>
      </c>
    </row>
    <row r="30" spans="1:22" x14ac:dyDescent="0.3">
      <c r="A30" s="9" t="s">
        <v>25</v>
      </c>
      <c r="B30" s="10" t="s">
        <v>407</v>
      </c>
      <c r="C30" s="10" t="s">
        <v>20</v>
      </c>
      <c r="D30" s="10" t="s">
        <v>32</v>
      </c>
      <c r="E30" s="10" t="s">
        <v>693</v>
      </c>
      <c r="F30" s="10" t="s">
        <v>694</v>
      </c>
      <c r="G30" s="10" t="s">
        <v>696</v>
      </c>
      <c r="H30" s="11">
        <v>66200000</v>
      </c>
      <c r="I30" s="11">
        <v>72126785.986682773</v>
      </c>
      <c r="J30" s="11">
        <v>60025000</v>
      </c>
      <c r="K30" s="11">
        <f t="shared" si="1"/>
        <v>62094827.586206891</v>
      </c>
      <c r="L30" s="18">
        <f t="shared" si="2"/>
        <v>0.86091216649625635</v>
      </c>
      <c r="M30" s="18">
        <f t="shared" si="3"/>
        <v>-6.2011667882071138E-2</v>
      </c>
      <c r="P30" s="10" t="s">
        <v>136</v>
      </c>
      <c r="Q30" s="11">
        <f t="shared" si="4"/>
        <v>324100000</v>
      </c>
      <c r="R30" s="11">
        <f t="shared" si="4"/>
        <v>441622514.02797776</v>
      </c>
      <c r="S30" s="11">
        <f t="shared" si="4"/>
        <v>294525000</v>
      </c>
      <c r="T30" s="11">
        <f t="shared" si="4"/>
        <v>304681034.48275858</v>
      </c>
      <c r="U30" s="18">
        <f t="shared" si="5"/>
        <v>0.68991282102854101</v>
      </c>
      <c r="V30" s="18">
        <f t="shared" si="6"/>
        <v>-5.9916585983466268E-2</v>
      </c>
    </row>
    <row r="31" spans="1:22" x14ac:dyDescent="0.3">
      <c r="A31" s="9" t="s">
        <v>117</v>
      </c>
      <c r="B31" s="10" t="s">
        <v>485</v>
      </c>
      <c r="C31" s="10" t="s">
        <v>20</v>
      </c>
      <c r="D31" s="10" t="s">
        <v>38</v>
      </c>
      <c r="E31" s="10" t="s">
        <v>693</v>
      </c>
      <c r="F31" s="10" t="s">
        <v>694</v>
      </c>
      <c r="G31" s="10" t="s">
        <v>696</v>
      </c>
      <c r="H31" s="11">
        <v>60650000</v>
      </c>
      <c r="I31" s="11">
        <v>127502907.75532711</v>
      </c>
      <c r="J31" s="11">
        <v>53875000</v>
      </c>
      <c r="K31" s="11">
        <f t="shared" si="1"/>
        <v>55732758.620689653</v>
      </c>
      <c r="L31" s="18">
        <f t="shared" si="2"/>
        <v>0.43710970676557864</v>
      </c>
      <c r="M31" s="18">
        <f t="shared" si="3"/>
        <v>-8.1075702874037051E-2</v>
      </c>
      <c r="P31" s="10" t="s">
        <v>138</v>
      </c>
      <c r="Q31" s="11">
        <f t="shared" si="4"/>
        <v>493115000</v>
      </c>
      <c r="R31" s="11">
        <f t="shared" si="4"/>
        <v>605000000</v>
      </c>
      <c r="S31" s="11">
        <f t="shared" si="4"/>
        <v>473000000</v>
      </c>
      <c r="T31" s="11">
        <f t="shared" si="4"/>
        <v>489310344.82758623</v>
      </c>
      <c r="U31" s="18">
        <f t="shared" si="5"/>
        <v>0.80877742946708464</v>
      </c>
      <c r="V31" s="18">
        <f t="shared" si="6"/>
        <v>-7.7155535167532244E-3</v>
      </c>
    </row>
    <row r="32" spans="1:22" x14ac:dyDescent="0.3">
      <c r="A32" s="9" t="s">
        <v>47</v>
      </c>
      <c r="B32" s="10" t="s">
        <v>419</v>
      </c>
      <c r="C32" s="10" t="s">
        <v>20</v>
      </c>
      <c r="D32" s="10" t="s">
        <v>38</v>
      </c>
      <c r="E32" s="10" t="s">
        <v>693</v>
      </c>
      <c r="F32" s="10" t="s">
        <v>694</v>
      </c>
      <c r="G32" s="10" t="s">
        <v>696</v>
      </c>
      <c r="H32" s="11">
        <v>81575000</v>
      </c>
      <c r="I32" s="11">
        <v>144252373.11431175</v>
      </c>
      <c r="J32" s="11">
        <v>69750000</v>
      </c>
      <c r="K32" s="11">
        <f t="shared" si="1"/>
        <v>72155172.413793102</v>
      </c>
      <c r="L32" s="18">
        <f t="shared" si="2"/>
        <v>0.50020093850805669</v>
      </c>
      <c r="M32" s="18">
        <f t="shared" si="3"/>
        <v>-0.11547444175552433</v>
      </c>
      <c r="P32" s="5" t="s">
        <v>67</v>
      </c>
      <c r="Q32" s="13">
        <f>SUM(Q12:Q31)</f>
        <v>5842233000</v>
      </c>
      <c r="R32" s="13">
        <f>SUM(R12:R31)</f>
        <v>8717776904.8408909</v>
      </c>
      <c r="S32" s="13">
        <f>SUM(S12:S31)</f>
        <v>4250056000</v>
      </c>
      <c r="T32" s="13">
        <f>SUM(T12:T31)</f>
        <v>4396609655.1724148</v>
      </c>
      <c r="U32" s="14">
        <f t="shared" si="5"/>
        <v>0.50432692912008603</v>
      </c>
      <c r="V32" s="19">
        <f t="shared" si="6"/>
        <v>-0.24744363068497699</v>
      </c>
    </row>
    <row r="33" spans="1:13" x14ac:dyDescent="0.3">
      <c r="A33" s="9" t="s">
        <v>119</v>
      </c>
      <c r="B33" s="10" t="s">
        <v>486</v>
      </c>
      <c r="C33" s="10" t="s">
        <v>20</v>
      </c>
      <c r="D33" s="10" t="s">
        <v>34</v>
      </c>
      <c r="E33" s="10" t="s">
        <v>693</v>
      </c>
      <c r="F33" s="10" t="s">
        <v>694</v>
      </c>
      <c r="G33" s="10" t="s">
        <v>697</v>
      </c>
      <c r="H33" s="11">
        <v>40575000</v>
      </c>
      <c r="I33" s="11">
        <v>41801988.752603814</v>
      </c>
      <c r="J33" s="11">
        <v>30000000</v>
      </c>
      <c r="K33" s="11">
        <f t="shared" si="1"/>
        <v>31034482.758620687</v>
      </c>
      <c r="L33" s="18">
        <f t="shared" si="2"/>
        <v>0.74241641808698811</v>
      </c>
      <c r="M33" s="18">
        <f t="shared" si="3"/>
        <v>-0.23513289565937925</v>
      </c>
    </row>
    <row r="34" spans="1:13" x14ac:dyDescent="0.3">
      <c r="A34" s="9" t="s">
        <v>120</v>
      </c>
      <c r="B34" s="10" t="s">
        <v>487</v>
      </c>
      <c r="C34" s="10" t="s">
        <v>20</v>
      </c>
      <c r="D34" s="10" t="s">
        <v>36</v>
      </c>
      <c r="E34" s="10" t="s">
        <v>693</v>
      </c>
      <c r="F34" s="10" t="s">
        <v>694</v>
      </c>
      <c r="G34" s="10" t="s">
        <v>697</v>
      </c>
      <c r="H34" s="11">
        <v>26900000</v>
      </c>
      <c r="I34" s="11">
        <v>32687063.366752926</v>
      </c>
      <c r="J34" s="11">
        <v>11975000</v>
      </c>
      <c r="K34" s="11">
        <f t="shared" si="1"/>
        <v>12387931.034482758</v>
      </c>
      <c r="L34" s="18">
        <f t="shared" si="2"/>
        <v>0.37898574416088188</v>
      </c>
      <c r="M34" s="18">
        <f t="shared" si="3"/>
        <v>-0.53948211767722087</v>
      </c>
    </row>
    <row r="35" spans="1:13" x14ac:dyDescent="0.3">
      <c r="A35" s="9" t="s">
        <v>121</v>
      </c>
      <c r="B35" s="10" t="s">
        <v>488</v>
      </c>
      <c r="C35" s="10" t="s">
        <v>20</v>
      </c>
      <c r="D35" s="10" t="s">
        <v>36</v>
      </c>
      <c r="E35" s="10" t="s">
        <v>693</v>
      </c>
      <c r="F35" s="10" t="s">
        <v>694</v>
      </c>
      <c r="G35" s="10" t="s">
        <v>697</v>
      </c>
      <c r="H35" s="11">
        <v>14500000</v>
      </c>
      <c r="I35" s="11">
        <v>20175770.281557623</v>
      </c>
      <c r="J35" s="11">
        <v>6650000</v>
      </c>
      <c r="K35" s="11">
        <f t="shared" si="1"/>
        <v>6879310.3448275859</v>
      </c>
      <c r="L35" s="18">
        <f t="shared" si="2"/>
        <v>0.34096890720032946</v>
      </c>
      <c r="M35" s="18">
        <f t="shared" si="3"/>
        <v>-0.52556480380499404</v>
      </c>
    </row>
    <row r="36" spans="1:13" x14ac:dyDescent="0.3">
      <c r="A36" s="9" t="s">
        <v>126</v>
      </c>
      <c r="B36" s="10" t="s">
        <v>492</v>
      </c>
      <c r="C36" s="10" t="s">
        <v>20</v>
      </c>
      <c r="D36" s="10" t="s">
        <v>34</v>
      </c>
      <c r="E36" s="10" t="s">
        <v>693</v>
      </c>
      <c r="F36" s="10" t="s">
        <v>694</v>
      </c>
      <c r="G36" s="10" t="s">
        <v>697</v>
      </c>
      <c r="H36" s="11">
        <v>7850000</v>
      </c>
      <c r="I36" s="11">
        <v>16947414.115320813</v>
      </c>
      <c r="J36" s="11">
        <v>5700000</v>
      </c>
      <c r="K36" s="11">
        <f t="shared" si="1"/>
        <v>5896551.7241379311</v>
      </c>
      <c r="L36" s="18">
        <f t="shared" si="2"/>
        <v>0.34793223815822888</v>
      </c>
      <c r="M36" s="18">
        <f t="shared" si="3"/>
        <v>-0.24884691412255655</v>
      </c>
    </row>
    <row r="37" spans="1:13" x14ac:dyDescent="0.3">
      <c r="A37" s="9" t="s">
        <v>64</v>
      </c>
      <c r="B37" s="10" t="s">
        <v>435</v>
      </c>
      <c r="C37" s="10" t="s">
        <v>20</v>
      </c>
      <c r="D37" s="10" t="s">
        <v>34</v>
      </c>
      <c r="E37" s="10" t="s">
        <v>693</v>
      </c>
      <c r="F37" s="10" t="s">
        <v>694</v>
      </c>
      <c r="G37" s="10" t="s">
        <v>697</v>
      </c>
      <c r="H37" s="11">
        <v>25375000</v>
      </c>
      <c r="I37" s="11">
        <v>51687095.447715558</v>
      </c>
      <c r="J37" s="11">
        <v>42055000</v>
      </c>
      <c r="K37" s="11">
        <f t="shared" si="1"/>
        <v>43505172.413793109</v>
      </c>
      <c r="L37" s="18">
        <f t="shared" si="2"/>
        <v>0.84170278938968568</v>
      </c>
      <c r="M37" s="18">
        <f t="shared" si="3"/>
        <v>0.7144895532529304</v>
      </c>
    </row>
    <row r="38" spans="1:13" x14ac:dyDescent="0.3">
      <c r="A38" s="9" t="s">
        <v>59</v>
      </c>
      <c r="B38" s="10" t="s">
        <v>430</v>
      </c>
      <c r="C38" s="10" t="s">
        <v>20</v>
      </c>
      <c r="D38" s="10" t="s">
        <v>36</v>
      </c>
      <c r="E38" s="10" t="s">
        <v>693</v>
      </c>
      <c r="F38" s="10" t="s">
        <v>694</v>
      </c>
      <c r="G38" s="10" t="s">
        <v>697</v>
      </c>
      <c r="H38" s="11">
        <v>29050000</v>
      </c>
      <c r="I38" s="11">
        <v>34719437.740943849</v>
      </c>
      <c r="J38" s="11">
        <v>9150000</v>
      </c>
      <c r="K38" s="11">
        <f t="shared" si="1"/>
        <v>9465517.2413793094</v>
      </c>
      <c r="L38" s="18">
        <f t="shared" si="2"/>
        <v>0.27262875948641413</v>
      </c>
      <c r="M38" s="18">
        <f t="shared" si="3"/>
        <v>-0.67416463885097044</v>
      </c>
    </row>
    <row r="39" spans="1:13" x14ac:dyDescent="0.3">
      <c r="A39" s="9" t="s">
        <v>33</v>
      </c>
      <c r="B39" s="10" t="s">
        <v>412</v>
      </c>
      <c r="C39" s="10" t="s">
        <v>20</v>
      </c>
      <c r="D39" s="10" t="s">
        <v>30</v>
      </c>
      <c r="E39" s="10" t="s">
        <v>693</v>
      </c>
      <c r="F39" s="10" t="s">
        <v>694</v>
      </c>
      <c r="G39" s="10" t="s">
        <v>696</v>
      </c>
      <c r="H39" s="11">
        <v>14500000</v>
      </c>
      <c r="I39" s="11">
        <v>24559826.575633477</v>
      </c>
      <c r="J39" s="11">
        <v>3600000</v>
      </c>
      <c r="K39" s="11">
        <f t="shared" si="1"/>
        <v>3724137.9310344825</v>
      </c>
      <c r="L39" s="18">
        <f t="shared" si="2"/>
        <v>0.1516353513151151</v>
      </c>
      <c r="M39" s="18">
        <f t="shared" si="3"/>
        <v>-0.74316290130796669</v>
      </c>
    </row>
    <row r="40" spans="1:13" x14ac:dyDescent="0.3">
      <c r="A40" s="9" t="s">
        <v>21</v>
      </c>
      <c r="B40" s="10" t="s">
        <v>405</v>
      </c>
      <c r="C40" s="10" t="s">
        <v>20</v>
      </c>
      <c r="D40" s="10" t="s">
        <v>30</v>
      </c>
      <c r="E40" s="10" t="s">
        <v>693</v>
      </c>
      <c r="F40" s="10" t="s">
        <v>694</v>
      </c>
      <c r="G40" s="10" t="s">
        <v>696</v>
      </c>
      <c r="H40" s="11">
        <v>60875000</v>
      </c>
      <c r="I40" s="11">
        <v>93550911.074378341</v>
      </c>
      <c r="J40" s="11">
        <v>36150000</v>
      </c>
      <c r="K40" s="11">
        <f t="shared" si="1"/>
        <v>37396551.724137932</v>
      </c>
      <c r="L40" s="18">
        <f t="shared" si="2"/>
        <v>0.39974545725594834</v>
      </c>
      <c r="M40" s="18">
        <f t="shared" si="3"/>
        <v>-0.38568292855625574</v>
      </c>
    </row>
    <row r="41" spans="1:13" x14ac:dyDescent="0.3">
      <c r="A41" s="9" t="s">
        <v>23</v>
      </c>
      <c r="B41" s="10" t="s">
        <v>406</v>
      </c>
      <c r="C41" s="10" t="s">
        <v>20</v>
      </c>
      <c r="D41" s="10" t="s">
        <v>30</v>
      </c>
      <c r="E41" s="10" t="s">
        <v>693</v>
      </c>
      <c r="F41" s="10" t="s">
        <v>694</v>
      </c>
      <c r="G41" s="10" t="s">
        <v>696</v>
      </c>
      <c r="H41" s="11">
        <v>37800000</v>
      </c>
      <c r="I41" s="11">
        <v>61991631.546069406</v>
      </c>
      <c r="J41" s="11">
        <v>19800000</v>
      </c>
      <c r="K41" s="11">
        <f t="shared" si="1"/>
        <v>20482758.620689657</v>
      </c>
      <c r="L41" s="18">
        <f t="shared" si="2"/>
        <v>0.33041167186360931</v>
      </c>
      <c r="M41" s="18">
        <f t="shared" si="3"/>
        <v>-0.45812807881773393</v>
      </c>
    </row>
    <row r="42" spans="1:13" x14ac:dyDescent="0.3">
      <c r="A42" s="9" t="s">
        <v>135</v>
      </c>
      <c r="B42" s="10" t="s">
        <v>495</v>
      </c>
      <c r="C42" s="10" t="s">
        <v>20</v>
      </c>
      <c r="D42" s="10" t="s">
        <v>32</v>
      </c>
      <c r="E42" s="10" t="s">
        <v>693</v>
      </c>
      <c r="F42" s="10" t="s">
        <v>694</v>
      </c>
      <c r="G42" s="10" t="s">
        <v>696</v>
      </c>
      <c r="H42" s="11">
        <v>8400000</v>
      </c>
      <c r="I42" s="11">
        <v>42496128.144739509</v>
      </c>
      <c r="J42" s="11">
        <v>20700000</v>
      </c>
      <c r="K42" s="11">
        <f t="shared" si="1"/>
        <v>21413793.103448275</v>
      </c>
      <c r="L42" s="18">
        <f t="shared" si="2"/>
        <v>0.50389986190069025</v>
      </c>
      <c r="M42" s="18">
        <f t="shared" si="3"/>
        <v>1.5492610837438423</v>
      </c>
    </row>
    <row r="43" spans="1:13" x14ac:dyDescent="0.3">
      <c r="A43" s="9" t="s">
        <v>137</v>
      </c>
      <c r="B43" s="10" t="s">
        <v>496</v>
      </c>
      <c r="C43" s="10" t="s">
        <v>20</v>
      </c>
      <c r="D43" s="10" t="s">
        <v>34</v>
      </c>
      <c r="E43" s="10" t="s">
        <v>693</v>
      </c>
      <c r="F43" s="10" t="s">
        <v>694</v>
      </c>
      <c r="G43" s="10" t="s">
        <v>697</v>
      </c>
      <c r="H43" s="11">
        <v>950000</v>
      </c>
      <c r="I43" s="11">
        <v>3202323.7982119825</v>
      </c>
      <c r="J43" s="11">
        <v>6600000</v>
      </c>
      <c r="K43" s="11">
        <f t="shared" si="1"/>
        <v>6827586.206896551</v>
      </c>
      <c r="L43" s="18">
        <f t="shared" si="2"/>
        <v>2.1320724065157726</v>
      </c>
      <c r="M43" s="18">
        <f t="shared" si="3"/>
        <v>6.1869328493647906</v>
      </c>
    </row>
    <row r="44" spans="1:13" x14ac:dyDescent="0.3">
      <c r="A44" s="9" t="s">
        <v>139</v>
      </c>
      <c r="B44" s="10" t="s">
        <v>497</v>
      </c>
      <c r="C44" s="10" t="s">
        <v>20</v>
      </c>
      <c r="D44" s="10" t="s">
        <v>32</v>
      </c>
      <c r="E44" s="10" t="s">
        <v>693</v>
      </c>
      <c r="F44" s="10" t="s">
        <v>694</v>
      </c>
      <c r="G44" s="10" t="s">
        <v>696</v>
      </c>
      <c r="H44" s="11">
        <v>19925000</v>
      </c>
      <c r="I44" s="11">
        <v>33531916.468506038</v>
      </c>
      <c r="J44" s="11">
        <v>26725000</v>
      </c>
      <c r="K44" s="11">
        <f t="shared" si="1"/>
        <v>27646551.724137932</v>
      </c>
      <c r="L44" s="18">
        <f t="shared" si="2"/>
        <v>0.82448468909029471</v>
      </c>
      <c r="M44" s="18">
        <f t="shared" si="3"/>
        <v>0.38753082680742446</v>
      </c>
    </row>
    <row r="45" spans="1:13" x14ac:dyDescent="0.3">
      <c r="A45" s="9" t="s">
        <v>62</v>
      </c>
      <c r="B45" s="10" t="s">
        <v>433</v>
      </c>
      <c r="C45" s="10" t="s">
        <v>20</v>
      </c>
      <c r="D45" s="10" t="s">
        <v>34</v>
      </c>
      <c r="E45" s="10" t="s">
        <v>693</v>
      </c>
      <c r="F45" s="10" t="s">
        <v>694</v>
      </c>
      <c r="G45" s="10" t="s">
        <v>697</v>
      </c>
      <c r="H45" s="11">
        <v>29930000</v>
      </c>
      <c r="I45" s="11">
        <v>67289766.488974914</v>
      </c>
      <c r="J45" s="11">
        <v>26750000</v>
      </c>
      <c r="K45" s="11">
        <f t="shared" si="1"/>
        <v>27672413.793103445</v>
      </c>
      <c r="L45" s="18">
        <f t="shared" si="2"/>
        <v>0.41124252968893016</v>
      </c>
      <c r="M45" s="18">
        <f t="shared" si="3"/>
        <v>-7.5428874269848137E-2</v>
      </c>
    </row>
    <row r="46" spans="1:13" x14ac:dyDescent="0.3">
      <c r="A46" s="9" t="s">
        <v>142</v>
      </c>
      <c r="B46" s="10" t="s">
        <v>500</v>
      </c>
      <c r="C46" s="10" t="s">
        <v>20</v>
      </c>
      <c r="D46" s="10" t="s">
        <v>32</v>
      </c>
      <c r="E46" s="10" t="s">
        <v>693</v>
      </c>
      <c r="F46" s="10" t="s">
        <v>694</v>
      </c>
      <c r="G46" s="10" t="s">
        <v>696</v>
      </c>
      <c r="H46" s="11">
        <v>16250000</v>
      </c>
      <c r="I46" s="11">
        <v>18531963.253253065</v>
      </c>
      <c r="J46" s="11">
        <v>16175000</v>
      </c>
      <c r="K46" s="11">
        <f t="shared" si="1"/>
        <v>16732758.620689657</v>
      </c>
      <c r="L46" s="18">
        <f t="shared" si="2"/>
        <v>0.90291343620878484</v>
      </c>
      <c r="M46" s="18">
        <f t="shared" si="3"/>
        <v>2.9708222811671174E-2</v>
      </c>
    </row>
    <row r="47" spans="1:13" x14ac:dyDescent="0.3">
      <c r="A47" s="9" t="s">
        <v>74</v>
      </c>
      <c r="B47" s="10" t="s">
        <v>443</v>
      </c>
      <c r="C47" s="10" t="s">
        <v>20</v>
      </c>
      <c r="D47" s="10" t="s">
        <v>38</v>
      </c>
      <c r="E47" s="10" t="s">
        <v>693</v>
      </c>
      <c r="F47" s="10" t="s">
        <v>694</v>
      </c>
      <c r="G47" s="10" t="s">
        <v>696</v>
      </c>
      <c r="H47" s="11">
        <v>20500000</v>
      </c>
      <c r="I47" s="11">
        <v>24155297.277773991</v>
      </c>
      <c r="J47" s="11">
        <v>19675000</v>
      </c>
      <c r="K47" s="11">
        <f t="shared" si="1"/>
        <v>20353448.275862068</v>
      </c>
      <c r="L47" s="18">
        <f t="shared" si="2"/>
        <v>0.84260806405350608</v>
      </c>
      <c r="M47" s="18">
        <f t="shared" si="3"/>
        <v>-7.1488645920942473E-3</v>
      </c>
    </row>
    <row r="48" spans="1:13" x14ac:dyDescent="0.3">
      <c r="A48" s="9" t="s">
        <v>78</v>
      </c>
      <c r="B48" s="10" t="s">
        <v>447</v>
      </c>
      <c r="C48" s="10" t="s">
        <v>20</v>
      </c>
      <c r="D48" s="10" t="s">
        <v>32</v>
      </c>
      <c r="E48" s="10" t="s">
        <v>693</v>
      </c>
      <c r="F48" s="10" t="s">
        <v>694</v>
      </c>
      <c r="G48" s="10" t="s">
        <v>696</v>
      </c>
      <c r="H48" s="11">
        <v>12144000</v>
      </c>
      <c r="I48" s="11">
        <v>30530583.103315216</v>
      </c>
      <c r="J48" s="11">
        <v>9300000</v>
      </c>
      <c r="K48" s="11">
        <f t="shared" si="1"/>
        <v>9620689.6551724132</v>
      </c>
      <c r="L48" s="18">
        <f t="shared" si="2"/>
        <v>0.31511647264043685</v>
      </c>
      <c r="M48" s="18">
        <f t="shared" si="3"/>
        <v>-0.20778247240016359</v>
      </c>
    </row>
    <row r="49" spans="1:13" x14ac:dyDescent="0.3">
      <c r="A49" s="9" t="s">
        <v>26</v>
      </c>
      <c r="B49" s="10" t="s">
        <v>408</v>
      </c>
      <c r="C49" s="10" t="s">
        <v>20</v>
      </c>
      <c r="D49" s="10" t="s">
        <v>34</v>
      </c>
      <c r="E49" s="10" t="s">
        <v>693</v>
      </c>
      <c r="F49" s="10" t="s">
        <v>694</v>
      </c>
      <c r="G49" s="10" t="s">
        <v>697</v>
      </c>
      <c r="H49" s="11">
        <v>50650000</v>
      </c>
      <c r="I49" s="11">
        <v>77015733.207976997</v>
      </c>
      <c r="J49" s="11">
        <v>41250000</v>
      </c>
      <c r="K49" s="11">
        <f t="shared" si="1"/>
        <v>42672413.793103449</v>
      </c>
      <c r="L49" s="18">
        <f t="shared" si="2"/>
        <v>0.55407397963567795</v>
      </c>
      <c r="M49" s="18">
        <f t="shared" si="3"/>
        <v>-0.15750416992885588</v>
      </c>
    </row>
    <row r="50" spans="1:13" x14ac:dyDescent="0.3">
      <c r="A50" s="9" t="s">
        <v>145</v>
      </c>
      <c r="B50" s="10" t="s">
        <v>503</v>
      </c>
      <c r="C50" s="10" t="s">
        <v>20</v>
      </c>
      <c r="D50" s="10" t="s">
        <v>36</v>
      </c>
      <c r="E50" s="10" t="s">
        <v>693</v>
      </c>
      <c r="F50" s="10" t="s">
        <v>694</v>
      </c>
      <c r="G50" s="10" t="s">
        <v>697</v>
      </c>
      <c r="H50" s="11">
        <v>29025000</v>
      </c>
      <c r="I50" s="11">
        <v>70846918.313988477</v>
      </c>
      <c r="J50" s="11">
        <v>16450000</v>
      </c>
      <c r="K50" s="11">
        <f t="shared" si="1"/>
        <v>17017241.379310343</v>
      </c>
      <c r="L50" s="18">
        <f t="shared" si="2"/>
        <v>0.24019734074940488</v>
      </c>
      <c r="M50" s="18">
        <f t="shared" si="3"/>
        <v>-0.41370400071282193</v>
      </c>
    </row>
    <row r="51" spans="1:13" x14ac:dyDescent="0.3">
      <c r="A51" s="9" t="s">
        <v>146</v>
      </c>
      <c r="B51" s="10" t="s">
        <v>504</v>
      </c>
      <c r="C51" s="10" t="s">
        <v>20</v>
      </c>
      <c r="D51" s="10" t="s">
        <v>30</v>
      </c>
      <c r="E51" s="10" t="s">
        <v>693</v>
      </c>
      <c r="F51" s="10" t="s">
        <v>694</v>
      </c>
      <c r="G51" s="10" t="s">
        <v>696</v>
      </c>
      <c r="H51" s="11">
        <v>28450000</v>
      </c>
      <c r="I51" s="11">
        <v>38748837.273797259</v>
      </c>
      <c r="J51" s="11">
        <v>15650000</v>
      </c>
      <c r="K51" s="11">
        <f t="shared" si="1"/>
        <v>16189655.172413794</v>
      </c>
      <c r="L51" s="18">
        <f t="shared" si="2"/>
        <v>0.41781008957813465</v>
      </c>
      <c r="M51" s="18">
        <f t="shared" si="3"/>
        <v>-0.43094357917701953</v>
      </c>
    </row>
    <row r="52" spans="1:13" x14ac:dyDescent="0.3">
      <c r="A52" s="9" t="s">
        <v>27</v>
      </c>
      <c r="B52" s="10" t="s">
        <v>409</v>
      </c>
      <c r="C52" s="10" t="s">
        <v>20</v>
      </c>
      <c r="D52" s="10" t="s">
        <v>36</v>
      </c>
      <c r="E52" s="10" t="s">
        <v>693</v>
      </c>
      <c r="F52" s="10" t="s">
        <v>694</v>
      </c>
      <c r="G52" s="10" t="s">
        <v>697</v>
      </c>
      <c r="H52" s="11">
        <v>37100000</v>
      </c>
      <c r="I52" s="11">
        <v>72245301.767427385</v>
      </c>
      <c r="J52" s="11">
        <v>21325000</v>
      </c>
      <c r="K52" s="11">
        <f t="shared" si="1"/>
        <v>22060344.827586204</v>
      </c>
      <c r="L52" s="18">
        <f t="shared" si="2"/>
        <v>0.30535334877004222</v>
      </c>
      <c r="M52" s="18">
        <f t="shared" si="3"/>
        <v>-0.4053815410354123</v>
      </c>
    </row>
    <row r="53" spans="1:13" x14ac:dyDescent="0.3">
      <c r="A53" s="9" t="s">
        <v>70</v>
      </c>
      <c r="B53" s="10" t="s">
        <v>439</v>
      </c>
      <c r="C53" s="10" t="s">
        <v>20</v>
      </c>
      <c r="D53" s="10" t="s">
        <v>32</v>
      </c>
      <c r="E53" s="10" t="s">
        <v>693</v>
      </c>
      <c r="F53" s="10" t="s">
        <v>694</v>
      </c>
      <c r="G53" s="10" t="s">
        <v>696</v>
      </c>
      <c r="H53" s="11">
        <v>4050000</v>
      </c>
      <c r="I53" s="11">
        <v>9361376.5541911963</v>
      </c>
      <c r="J53" s="11">
        <v>1900000</v>
      </c>
      <c r="K53" s="11">
        <f t="shared" si="1"/>
        <v>1965517.2413793104</v>
      </c>
      <c r="L53" s="18">
        <f t="shared" si="2"/>
        <v>0.20996027987992061</v>
      </c>
      <c r="M53" s="18">
        <f t="shared" si="3"/>
        <v>-0.51468710089399738</v>
      </c>
    </row>
    <row r="54" spans="1:13" x14ac:dyDescent="0.3">
      <c r="A54" s="9" t="s">
        <v>100</v>
      </c>
      <c r="B54" s="10" t="s">
        <v>469</v>
      </c>
      <c r="C54" s="10" t="s">
        <v>20</v>
      </c>
      <c r="D54" s="10" t="s">
        <v>38</v>
      </c>
      <c r="E54" s="10" t="s">
        <v>693</v>
      </c>
      <c r="F54" s="10" t="s">
        <v>694</v>
      </c>
      <c r="G54" s="10" t="s">
        <v>696</v>
      </c>
      <c r="H54" s="11">
        <v>15700000</v>
      </c>
      <c r="I54" s="11">
        <v>26690027.848612443</v>
      </c>
      <c r="J54" s="11">
        <v>14975000</v>
      </c>
      <c r="K54" s="11">
        <f t="shared" si="1"/>
        <v>15491379.310344828</v>
      </c>
      <c r="L54" s="18">
        <f t="shared" si="2"/>
        <v>0.58041825202329989</v>
      </c>
      <c r="M54" s="18">
        <f t="shared" si="3"/>
        <v>-1.3287942016252975E-2</v>
      </c>
    </row>
    <row r="55" spans="1:13" x14ac:dyDescent="0.3">
      <c r="A55" s="9" t="s">
        <v>72</v>
      </c>
      <c r="B55" s="10" t="s">
        <v>441</v>
      </c>
      <c r="C55" s="10" t="s">
        <v>20</v>
      </c>
      <c r="D55" s="10" t="s">
        <v>30</v>
      </c>
      <c r="E55" s="10" t="s">
        <v>693</v>
      </c>
      <c r="F55" s="10" t="s">
        <v>694</v>
      </c>
      <c r="G55" s="10" t="s">
        <v>696</v>
      </c>
      <c r="H55" s="11">
        <v>19900000</v>
      </c>
      <c r="I55" s="11">
        <v>21623306.956201311</v>
      </c>
      <c r="J55" s="11">
        <v>11025000</v>
      </c>
      <c r="K55" s="11">
        <f t="shared" si="1"/>
        <v>11405172.413793102</v>
      </c>
      <c r="L55" s="18">
        <f t="shared" si="2"/>
        <v>0.52744811128541247</v>
      </c>
      <c r="M55" s="18">
        <f t="shared" si="3"/>
        <v>-0.42687575810084916</v>
      </c>
    </row>
    <row r="56" spans="1:13" x14ac:dyDescent="0.3">
      <c r="A56" s="9" t="s">
        <v>87</v>
      </c>
      <c r="B56" s="10" t="s">
        <v>456</v>
      </c>
      <c r="C56" s="10" t="s">
        <v>20</v>
      </c>
      <c r="D56" s="10" t="s">
        <v>38</v>
      </c>
      <c r="E56" s="10" t="s">
        <v>693</v>
      </c>
      <c r="F56" s="10" t="s">
        <v>694</v>
      </c>
      <c r="G56" s="10" t="s">
        <v>696</v>
      </c>
      <c r="H56" s="11">
        <v>4350000</v>
      </c>
      <c r="I56" s="11">
        <v>11533709.159631392</v>
      </c>
      <c r="J56" s="11">
        <v>4200000</v>
      </c>
      <c r="K56" s="11">
        <f t="shared" si="1"/>
        <v>4344827.5862068962</v>
      </c>
      <c r="L56" s="18">
        <f t="shared" si="2"/>
        <v>0.37670687946719073</v>
      </c>
      <c r="M56" s="18">
        <f t="shared" si="3"/>
        <v>-1.1890606420928206E-3</v>
      </c>
    </row>
    <row r="57" spans="1:13" x14ac:dyDescent="0.3">
      <c r="A57" s="9" t="s">
        <v>37</v>
      </c>
      <c r="B57" s="10" t="s">
        <v>414</v>
      </c>
      <c r="C57" s="10" t="s">
        <v>20</v>
      </c>
      <c r="D57" s="10" t="s">
        <v>38</v>
      </c>
      <c r="E57" s="10" t="s">
        <v>693</v>
      </c>
      <c r="F57" s="10" t="s">
        <v>694</v>
      </c>
      <c r="G57" s="10" t="s">
        <v>696</v>
      </c>
      <c r="H57" s="11">
        <v>8100000</v>
      </c>
      <c r="I57" s="11">
        <v>12098885.570696723</v>
      </c>
      <c r="J57" s="11">
        <v>13300000</v>
      </c>
      <c r="K57" s="11">
        <f t="shared" si="1"/>
        <v>13758620.689655172</v>
      </c>
      <c r="L57" s="18">
        <f t="shared" si="2"/>
        <v>1.1371808262223999</v>
      </c>
      <c r="M57" s="18">
        <f t="shared" si="3"/>
        <v>0.69859514687100888</v>
      </c>
    </row>
    <row r="58" spans="1:13" x14ac:dyDescent="0.3">
      <c r="A58" s="9" t="s">
        <v>150</v>
      </c>
      <c r="B58" s="10" t="s">
        <v>508</v>
      </c>
      <c r="C58" s="10" t="s">
        <v>20</v>
      </c>
      <c r="D58" s="10" t="s">
        <v>30</v>
      </c>
      <c r="E58" s="10" t="s">
        <v>693</v>
      </c>
      <c r="F58" s="10" t="s">
        <v>694</v>
      </c>
      <c r="G58" s="10" t="s">
        <v>696</v>
      </c>
      <c r="H58" s="11">
        <v>22550000</v>
      </c>
      <c r="I58" s="11">
        <v>48493506.194038212</v>
      </c>
      <c r="J58" s="11">
        <v>19050000</v>
      </c>
      <c r="K58" s="11">
        <f t="shared" si="1"/>
        <v>19706896.55172414</v>
      </c>
      <c r="L58" s="18">
        <f t="shared" si="2"/>
        <v>0.40638217564369278</v>
      </c>
      <c r="M58" s="18">
        <f t="shared" si="3"/>
        <v>-0.12607997553329758</v>
      </c>
    </row>
    <row r="59" spans="1:13" x14ac:dyDescent="0.3">
      <c r="A59" s="9" t="s">
        <v>111</v>
      </c>
      <c r="B59" s="10" t="s">
        <v>480</v>
      </c>
      <c r="C59" s="10" t="s">
        <v>20</v>
      </c>
      <c r="D59" s="10" t="s">
        <v>38</v>
      </c>
      <c r="E59" s="10" t="s">
        <v>693</v>
      </c>
      <c r="F59" s="10" t="s">
        <v>694</v>
      </c>
      <c r="G59" s="10" t="s">
        <v>696</v>
      </c>
      <c r="H59" s="11">
        <v>3775000</v>
      </c>
      <c r="I59" s="11">
        <v>7310128.7131822687</v>
      </c>
      <c r="J59" s="11">
        <v>3200000</v>
      </c>
      <c r="K59" s="11">
        <f t="shared" si="1"/>
        <v>3310344.8275862071</v>
      </c>
      <c r="L59" s="18">
        <f t="shared" si="2"/>
        <v>0.4528435760121024</v>
      </c>
      <c r="M59" s="18">
        <f t="shared" si="3"/>
        <v>-0.12308746289107098</v>
      </c>
    </row>
    <row r="60" spans="1:13" x14ac:dyDescent="0.3">
      <c r="A60" s="9" t="s">
        <v>97</v>
      </c>
      <c r="B60" s="10" t="s">
        <v>466</v>
      </c>
      <c r="C60" s="10" t="s">
        <v>20</v>
      </c>
      <c r="D60" s="10" t="s">
        <v>36</v>
      </c>
      <c r="E60" s="10" t="s">
        <v>693</v>
      </c>
      <c r="F60" s="10" t="s">
        <v>694</v>
      </c>
      <c r="G60" s="10" t="s">
        <v>697</v>
      </c>
      <c r="H60" s="11">
        <v>23600000</v>
      </c>
      <c r="I60" s="11">
        <v>26881845.29721643</v>
      </c>
      <c r="J60" s="11">
        <v>17945000</v>
      </c>
      <c r="K60" s="11">
        <f t="shared" si="1"/>
        <v>18563793.103448275</v>
      </c>
      <c r="L60" s="18">
        <f t="shared" si="2"/>
        <v>0.69056989571212679</v>
      </c>
      <c r="M60" s="18">
        <f t="shared" si="3"/>
        <v>-0.21339859731151375</v>
      </c>
    </row>
    <row r="61" spans="1:13" x14ac:dyDescent="0.3">
      <c r="A61" s="9" t="s">
        <v>95</v>
      </c>
      <c r="B61" s="10" t="s">
        <v>464</v>
      </c>
      <c r="C61" s="10" t="s">
        <v>20</v>
      </c>
      <c r="D61" s="10" t="s">
        <v>34</v>
      </c>
      <c r="E61" s="10" t="s">
        <v>693</v>
      </c>
      <c r="F61" s="10" t="s">
        <v>694</v>
      </c>
      <c r="G61" s="10" t="s">
        <v>697</v>
      </c>
      <c r="H61" s="11">
        <v>15125000</v>
      </c>
      <c r="I61" s="11">
        <v>22676419.002153043</v>
      </c>
      <c r="J61" s="11">
        <v>14500000</v>
      </c>
      <c r="K61" s="11">
        <f t="shared" si="1"/>
        <v>15000000</v>
      </c>
      <c r="L61" s="18">
        <f t="shared" si="2"/>
        <v>0.66148010400477275</v>
      </c>
      <c r="M61" s="18">
        <f t="shared" si="3"/>
        <v>-8.2644628099173556E-3</v>
      </c>
    </row>
    <row r="62" spans="1:13" x14ac:dyDescent="0.3">
      <c r="A62" s="9" t="s">
        <v>69</v>
      </c>
      <c r="B62" s="10" t="s">
        <v>438</v>
      </c>
      <c r="C62" s="10" t="s">
        <v>20</v>
      </c>
      <c r="D62" s="10" t="s">
        <v>38</v>
      </c>
      <c r="E62" s="10" t="s">
        <v>693</v>
      </c>
      <c r="F62" s="10" t="s">
        <v>694</v>
      </c>
      <c r="G62" s="10" t="s">
        <v>696</v>
      </c>
      <c r="H62" s="11">
        <v>12500000</v>
      </c>
      <c r="I62" s="11">
        <v>15499534.909518905</v>
      </c>
      <c r="J62" s="11">
        <v>12000000</v>
      </c>
      <c r="K62" s="11">
        <f t="shared" si="1"/>
        <v>12413793.103448277</v>
      </c>
      <c r="L62" s="18">
        <f t="shared" si="2"/>
        <v>0.80091390973444332</v>
      </c>
      <c r="M62" s="18">
        <f t="shared" si="3"/>
        <v>-6.896551724137813E-3</v>
      </c>
    </row>
    <row r="63" spans="1:13" x14ac:dyDescent="0.3">
      <c r="A63" s="9" t="s">
        <v>77</v>
      </c>
      <c r="B63" s="10" t="s">
        <v>446</v>
      </c>
      <c r="C63" s="10" t="s">
        <v>20</v>
      </c>
      <c r="D63" s="10" t="s">
        <v>36</v>
      </c>
      <c r="E63" s="10" t="s">
        <v>693</v>
      </c>
      <c r="F63" s="10" t="s">
        <v>694</v>
      </c>
      <c r="G63" s="10" t="s">
        <v>697</v>
      </c>
      <c r="H63" s="11">
        <v>10050000</v>
      </c>
      <c r="I63" s="11">
        <v>34696693.672037952</v>
      </c>
      <c r="J63" s="11">
        <v>5980000</v>
      </c>
      <c r="K63" s="11">
        <f t="shared" si="1"/>
        <v>6186206.8965517245</v>
      </c>
      <c r="L63" s="18">
        <f t="shared" si="2"/>
        <v>0.17829384422116237</v>
      </c>
      <c r="M63" s="18">
        <f t="shared" si="3"/>
        <v>-0.38445702521873387</v>
      </c>
    </row>
    <row r="64" spans="1:13" x14ac:dyDescent="0.3">
      <c r="A64" s="9" t="s">
        <v>91</v>
      </c>
      <c r="B64" s="10" t="s">
        <v>460</v>
      </c>
      <c r="C64" s="10" t="s">
        <v>20</v>
      </c>
      <c r="D64" s="10" t="s">
        <v>38</v>
      </c>
      <c r="E64" s="10" t="s">
        <v>693</v>
      </c>
      <c r="F64" s="10" t="s">
        <v>694</v>
      </c>
      <c r="G64" s="10" t="s">
        <v>696</v>
      </c>
      <c r="H64" s="11">
        <v>15600000</v>
      </c>
      <c r="I64" s="11">
        <v>23962452.235695336</v>
      </c>
      <c r="J64" s="11">
        <v>16300000</v>
      </c>
      <c r="K64" s="11">
        <f t="shared" si="1"/>
        <v>16862068.965517242</v>
      </c>
      <c r="L64" s="18">
        <f t="shared" si="2"/>
        <v>0.70368711848276089</v>
      </c>
      <c r="M64" s="18">
        <f t="shared" si="3"/>
        <v>8.0901856763925736E-2</v>
      </c>
    </row>
    <row r="65" spans="1:13" x14ac:dyDescent="0.3">
      <c r="A65" s="9" t="s">
        <v>71</v>
      </c>
      <c r="B65" s="10" t="s">
        <v>440</v>
      </c>
      <c r="C65" s="10" t="s">
        <v>20</v>
      </c>
      <c r="D65" s="10" t="s">
        <v>36</v>
      </c>
      <c r="E65" s="10" t="s">
        <v>693</v>
      </c>
      <c r="F65" s="10" t="s">
        <v>694</v>
      </c>
      <c r="G65" s="10" t="s">
        <v>697</v>
      </c>
      <c r="H65" s="11">
        <v>32375000</v>
      </c>
      <c r="I65" s="11">
        <v>47548633.994084448</v>
      </c>
      <c r="J65" s="11">
        <v>33500000</v>
      </c>
      <c r="K65" s="11">
        <f t="shared" si="1"/>
        <v>34655172.413793109</v>
      </c>
      <c r="L65" s="18">
        <f t="shared" si="2"/>
        <v>0.72883634087373739</v>
      </c>
      <c r="M65" s="18">
        <f t="shared" si="3"/>
        <v>7.0430035947277508E-2</v>
      </c>
    </row>
    <row r="66" spans="1:13" x14ac:dyDescent="0.3">
      <c r="A66" s="9" t="s">
        <v>112</v>
      </c>
      <c r="B66" s="10" t="s">
        <v>481</v>
      </c>
      <c r="C66" s="10" t="s">
        <v>20</v>
      </c>
      <c r="D66" s="10" t="s">
        <v>30</v>
      </c>
      <c r="E66" s="10" t="s">
        <v>693</v>
      </c>
      <c r="F66" s="10" t="s">
        <v>694</v>
      </c>
      <c r="G66" s="10" t="s">
        <v>696</v>
      </c>
      <c r="H66" s="11">
        <v>6850000</v>
      </c>
      <c r="I66" s="11">
        <v>6685180.6150073027</v>
      </c>
      <c r="J66" s="11">
        <v>3600000</v>
      </c>
      <c r="K66" s="11">
        <f t="shared" si="1"/>
        <v>3724137.9310344825</v>
      </c>
      <c r="L66" s="18">
        <f t="shared" si="2"/>
        <v>0.55707364475303922</v>
      </c>
      <c r="M66" s="18">
        <f t="shared" si="3"/>
        <v>-0.45633022904606096</v>
      </c>
    </row>
    <row r="67" spans="1:13" x14ac:dyDescent="0.3">
      <c r="A67" s="9" t="s">
        <v>106</v>
      </c>
      <c r="B67" s="10" t="s">
        <v>475</v>
      </c>
      <c r="C67" s="10" t="s">
        <v>20</v>
      </c>
      <c r="D67" s="10" t="s">
        <v>38</v>
      </c>
      <c r="E67" s="10" t="s">
        <v>693</v>
      </c>
      <c r="F67" s="10" t="s">
        <v>694</v>
      </c>
      <c r="G67" s="10" t="s">
        <v>696</v>
      </c>
      <c r="H67" s="11">
        <v>6550000</v>
      </c>
      <c r="I67" s="11">
        <v>18393580.665331613</v>
      </c>
      <c r="J67" s="11">
        <v>5000000</v>
      </c>
      <c r="K67" s="11">
        <f t="shared" si="1"/>
        <v>5172413.793103449</v>
      </c>
      <c r="L67" s="18">
        <f t="shared" si="2"/>
        <v>0.28120755209193504</v>
      </c>
      <c r="M67" s="18">
        <f t="shared" si="3"/>
        <v>-0.21031850486970244</v>
      </c>
    </row>
    <row r="68" spans="1:13" x14ac:dyDescent="0.3">
      <c r="A68" s="9" t="s">
        <v>98</v>
      </c>
      <c r="B68" s="10" t="s">
        <v>467</v>
      </c>
      <c r="C68" s="10" t="s">
        <v>20</v>
      </c>
      <c r="D68" s="10" t="s">
        <v>30</v>
      </c>
      <c r="E68" s="10" t="s">
        <v>693</v>
      </c>
      <c r="F68" s="10" t="s">
        <v>694</v>
      </c>
      <c r="G68" s="10" t="s">
        <v>696</v>
      </c>
      <c r="H68" s="11">
        <v>12300000</v>
      </c>
      <c r="I68" s="11">
        <v>14732607.646261163</v>
      </c>
      <c r="J68" s="11">
        <v>4750000</v>
      </c>
      <c r="K68" s="11">
        <f t="shared" si="1"/>
        <v>4913793.1034482755</v>
      </c>
      <c r="L68" s="18">
        <f t="shared" si="2"/>
        <v>0.33353179704716407</v>
      </c>
      <c r="M68" s="18">
        <f t="shared" si="3"/>
        <v>-0.60050462573591257</v>
      </c>
    </row>
    <row r="69" spans="1:13" x14ac:dyDescent="0.3">
      <c r="A69" s="9" t="s">
        <v>105</v>
      </c>
      <c r="B69" s="10" t="s">
        <v>474</v>
      </c>
      <c r="C69" s="10" t="s">
        <v>20</v>
      </c>
      <c r="D69" s="10" t="s">
        <v>32</v>
      </c>
      <c r="E69" s="10" t="s">
        <v>693</v>
      </c>
      <c r="F69" s="10" t="s">
        <v>694</v>
      </c>
      <c r="G69" s="10" t="s">
        <v>696</v>
      </c>
      <c r="H69" s="11">
        <v>13950000</v>
      </c>
      <c r="I69" s="11">
        <v>22974934.906543005</v>
      </c>
      <c r="J69" s="11">
        <v>10500000</v>
      </c>
      <c r="K69" s="11">
        <f t="shared" si="1"/>
        <v>10862068.965517242</v>
      </c>
      <c r="L69" s="18">
        <f t="shared" si="2"/>
        <v>0.47277909642407062</v>
      </c>
      <c r="M69" s="18">
        <f t="shared" si="3"/>
        <v>-0.22135706340378197</v>
      </c>
    </row>
    <row r="70" spans="1:13" x14ac:dyDescent="0.3">
      <c r="A70" s="9" t="s">
        <v>109</v>
      </c>
      <c r="B70" s="10" t="s">
        <v>478</v>
      </c>
      <c r="C70" s="10" t="s">
        <v>20</v>
      </c>
      <c r="D70" s="10" t="s">
        <v>30</v>
      </c>
      <c r="E70" s="10" t="s">
        <v>693</v>
      </c>
      <c r="F70" s="10" t="s">
        <v>694</v>
      </c>
      <c r="G70" s="10" t="s">
        <v>696</v>
      </c>
      <c r="H70" s="11">
        <v>1900000</v>
      </c>
      <c r="I70" s="11">
        <v>4863257.3844276108</v>
      </c>
      <c r="J70" s="11">
        <v>1550000</v>
      </c>
      <c r="K70" s="11">
        <f t="shared" ref="K70:K133" si="7">IFERROR(J70/$A$1*$B$1,0)</f>
        <v>1603448.2758620689</v>
      </c>
      <c r="L70" s="18">
        <f t="shared" ref="L70:L133" si="8">IFERROR(K70/I70,0)</f>
        <v>0.32970664497346758</v>
      </c>
      <c r="M70" s="18">
        <f t="shared" ref="M70:M133" si="9">IFERROR((K70-H70)/H70,0)</f>
        <v>-0.15607985480943742</v>
      </c>
    </row>
    <row r="71" spans="1:13" x14ac:dyDescent="0.3">
      <c r="A71" s="9" t="s">
        <v>113</v>
      </c>
      <c r="B71" s="10" t="s">
        <v>482</v>
      </c>
      <c r="C71" s="10" t="s">
        <v>20</v>
      </c>
      <c r="D71" s="10" t="s">
        <v>30</v>
      </c>
      <c r="E71" s="10" t="s">
        <v>693</v>
      </c>
      <c r="F71" s="10" t="s">
        <v>694</v>
      </c>
      <c r="G71" s="10" t="s">
        <v>696</v>
      </c>
      <c r="H71" s="11">
        <v>3800000</v>
      </c>
      <c r="I71" s="11">
        <v>10240311.506187338</v>
      </c>
      <c r="J71" s="11">
        <v>5350000</v>
      </c>
      <c r="K71" s="11">
        <f t="shared" si="7"/>
        <v>5534482.7586206896</v>
      </c>
      <c r="L71" s="18">
        <f t="shared" si="8"/>
        <v>0.54046039080712327</v>
      </c>
      <c r="M71" s="18">
        <f t="shared" si="9"/>
        <v>0.45644283121597096</v>
      </c>
    </row>
    <row r="72" spans="1:13" x14ac:dyDescent="0.3">
      <c r="A72" s="9" t="s">
        <v>157</v>
      </c>
      <c r="B72" s="10" t="s">
        <v>515</v>
      </c>
      <c r="C72" s="10" t="s">
        <v>20</v>
      </c>
      <c r="D72" s="10" t="s">
        <v>32</v>
      </c>
      <c r="E72" s="10" t="s">
        <v>693</v>
      </c>
      <c r="F72" s="10" t="s">
        <v>694</v>
      </c>
      <c r="G72" s="10" t="s">
        <v>696</v>
      </c>
      <c r="H72" s="11">
        <v>27975000</v>
      </c>
      <c r="I72" s="11">
        <v>37296676.428517587</v>
      </c>
      <c r="J72" s="11">
        <v>32250000</v>
      </c>
      <c r="K72" s="11">
        <f t="shared" si="7"/>
        <v>33362068.965517238</v>
      </c>
      <c r="L72" s="18">
        <f t="shared" si="8"/>
        <v>0.89450514523616131</v>
      </c>
      <c r="M72" s="18">
        <f t="shared" si="9"/>
        <v>0.19256725524637133</v>
      </c>
    </row>
    <row r="73" spans="1:13" x14ac:dyDescent="0.3">
      <c r="A73" s="9" t="s">
        <v>159</v>
      </c>
      <c r="B73" s="10" t="s">
        <v>517</v>
      </c>
      <c r="C73" s="10" t="s">
        <v>20</v>
      </c>
      <c r="D73" s="10" t="s">
        <v>34</v>
      </c>
      <c r="E73" s="10" t="s">
        <v>693</v>
      </c>
      <c r="F73" s="10" t="s">
        <v>694</v>
      </c>
      <c r="G73" s="10" t="s">
        <v>697</v>
      </c>
      <c r="H73" s="11">
        <v>12750000</v>
      </c>
      <c r="I73" s="11">
        <v>15947908.195630731</v>
      </c>
      <c r="J73" s="11">
        <v>6625000</v>
      </c>
      <c r="K73" s="11">
        <f t="shared" si="7"/>
        <v>6853448.2758620689</v>
      </c>
      <c r="L73" s="18">
        <f t="shared" si="8"/>
        <v>0.42973963680952948</v>
      </c>
      <c r="M73" s="18">
        <f t="shared" si="9"/>
        <v>-0.46247464503042596</v>
      </c>
    </row>
    <row r="74" spans="1:13" x14ac:dyDescent="0.3">
      <c r="A74" s="9" t="s">
        <v>222</v>
      </c>
      <c r="B74" s="10" t="s">
        <v>580</v>
      </c>
      <c r="C74" s="10" t="s">
        <v>20</v>
      </c>
      <c r="D74" s="10" t="s">
        <v>36</v>
      </c>
      <c r="E74" s="10" t="s">
        <v>693</v>
      </c>
      <c r="F74" s="10" t="s">
        <v>694</v>
      </c>
      <c r="G74" s="10" t="s">
        <v>697</v>
      </c>
      <c r="H74" s="11">
        <v>7275000</v>
      </c>
      <c r="I74" s="11">
        <v>14996185.372512538</v>
      </c>
      <c r="J74" s="11">
        <v>6175000</v>
      </c>
      <c r="K74" s="11">
        <f t="shared" si="7"/>
        <v>6387931.0344827585</v>
      </c>
      <c r="L74" s="18">
        <f t="shared" si="8"/>
        <v>0.4259703968578305</v>
      </c>
      <c r="M74" s="18">
        <f t="shared" si="9"/>
        <v>-0.12193387842161395</v>
      </c>
    </row>
    <row r="75" spans="1:13" x14ac:dyDescent="0.3">
      <c r="A75" s="9" t="s">
        <v>220</v>
      </c>
      <c r="B75" s="10" t="s">
        <v>578</v>
      </c>
      <c r="C75" s="10" t="s">
        <v>20</v>
      </c>
      <c r="D75" s="10" t="s">
        <v>30</v>
      </c>
      <c r="E75" s="10" t="s">
        <v>693</v>
      </c>
      <c r="F75" s="10" t="s">
        <v>694</v>
      </c>
      <c r="G75" s="10" t="s">
        <v>696</v>
      </c>
      <c r="H75" s="11">
        <v>19525000</v>
      </c>
      <c r="I75" s="11">
        <v>23684830.731956877</v>
      </c>
      <c r="J75" s="11">
        <v>18925000</v>
      </c>
      <c r="K75" s="11">
        <f t="shared" si="7"/>
        <v>19577586.206896555</v>
      </c>
      <c r="L75" s="18">
        <f t="shared" si="8"/>
        <v>0.8265875500001526</v>
      </c>
      <c r="M75" s="18">
        <f t="shared" si="9"/>
        <v>2.6932756413088183E-3</v>
      </c>
    </row>
    <row r="76" spans="1:13" x14ac:dyDescent="0.3">
      <c r="A76" s="9" t="s">
        <v>31</v>
      </c>
      <c r="B76" s="10" t="s">
        <v>411</v>
      </c>
      <c r="C76" s="10" t="s">
        <v>20</v>
      </c>
      <c r="D76" s="10" t="s">
        <v>32</v>
      </c>
      <c r="E76" s="10" t="s">
        <v>693</v>
      </c>
      <c r="F76" s="10" t="s">
        <v>694</v>
      </c>
      <c r="G76" s="10" t="s">
        <v>696</v>
      </c>
      <c r="H76" s="11">
        <v>22400000</v>
      </c>
      <c r="I76" s="11">
        <v>24908180.763544653</v>
      </c>
      <c r="J76" s="11">
        <v>6700000</v>
      </c>
      <c r="K76" s="11">
        <f t="shared" si="7"/>
        <v>6931034.4827586208</v>
      </c>
      <c r="L76" s="18">
        <f t="shared" si="8"/>
        <v>0.27826337654104427</v>
      </c>
      <c r="M76" s="18">
        <f t="shared" si="9"/>
        <v>-0.6905788177339901</v>
      </c>
    </row>
    <row r="77" spans="1:13" x14ac:dyDescent="0.3">
      <c r="A77" s="9" t="s">
        <v>162</v>
      </c>
      <c r="B77" s="10" t="s">
        <v>520</v>
      </c>
      <c r="C77" s="10" t="s">
        <v>20</v>
      </c>
      <c r="D77" s="10" t="s">
        <v>30</v>
      </c>
      <c r="E77" s="10" t="s">
        <v>693</v>
      </c>
      <c r="F77" s="10" t="s">
        <v>694</v>
      </c>
      <c r="G77" s="10" t="s">
        <v>696</v>
      </c>
      <c r="H77" s="11">
        <v>103425000</v>
      </c>
      <c r="I77" s="11">
        <v>144982649.54363981</v>
      </c>
      <c r="J77" s="11">
        <v>71650000</v>
      </c>
      <c r="K77" s="11">
        <f t="shared" si="7"/>
        <v>74120689.655172408</v>
      </c>
      <c r="L77" s="18">
        <f t="shared" si="8"/>
        <v>0.51123834395688883</v>
      </c>
      <c r="M77" s="18">
        <f t="shared" si="9"/>
        <v>-0.28333875121902435</v>
      </c>
    </row>
    <row r="78" spans="1:13" x14ac:dyDescent="0.3">
      <c r="A78" s="9" t="s">
        <v>55</v>
      </c>
      <c r="B78" s="10" t="s">
        <v>426</v>
      </c>
      <c r="C78" s="10" t="s">
        <v>20</v>
      </c>
      <c r="D78" s="10" t="s">
        <v>36</v>
      </c>
      <c r="E78" s="10" t="s">
        <v>693</v>
      </c>
      <c r="F78" s="10" t="s">
        <v>694</v>
      </c>
      <c r="G78" s="10" t="s">
        <v>697</v>
      </c>
      <c r="H78" s="11">
        <v>24328000</v>
      </c>
      <c r="I78" s="11">
        <v>46691573.081852324</v>
      </c>
      <c r="J78" s="11">
        <v>21475000</v>
      </c>
      <c r="K78" s="11">
        <f t="shared" si="7"/>
        <v>22215517.241379313</v>
      </c>
      <c r="L78" s="18">
        <f t="shared" si="8"/>
        <v>0.47579286314544517</v>
      </c>
      <c r="M78" s="18">
        <f t="shared" si="9"/>
        <v>-8.6833391919627051E-2</v>
      </c>
    </row>
    <row r="79" spans="1:13" x14ac:dyDescent="0.3">
      <c r="A79" s="9" t="s">
        <v>29</v>
      </c>
      <c r="B79" s="10" t="s">
        <v>410</v>
      </c>
      <c r="C79" s="10" t="s">
        <v>20</v>
      </c>
      <c r="D79" s="10" t="s">
        <v>38</v>
      </c>
      <c r="E79" s="10" t="s">
        <v>693</v>
      </c>
      <c r="F79" s="10" t="s">
        <v>694</v>
      </c>
      <c r="G79" s="10" t="s">
        <v>696</v>
      </c>
      <c r="H79" s="11">
        <v>46225000</v>
      </c>
      <c r="I79" s="11">
        <v>61563638.863871753</v>
      </c>
      <c r="J79" s="11">
        <v>26200000</v>
      </c>
      <c r="K79" s="11">
        <f t="shared" si="7"/>
        <v>27103448.275862068</v>
      </c>
      <c r="L79" s="18">
        <f t="shared" si="8"/>
        <v>0.44025091394926563</v>
      </c>
      <c r="M79" s="18">
        <f t="shared" si="9"/>
        <v>-0.4136625575800526</v>
      </c>
    </row>
    <row r="80" spans="1:13" x14ac:dyDescent="0.3">
      <c r="A80" s="9" t="s">
        <v>240</v>
      </c>
      <c r="B80" s="10" t="s">
        <v>596</v>
      </c>
      <c r="C80" s="10" t="s">
        <v>20</v>
      </c>
      <c r="D80" s="10" t="s">
        <v>38</v>
      </c>
      <c r="E80" s="10" t="s">
        <v>707</v>
      </c>
      <c r="F80" s="10" t="s">
        <v>694</v>
      </c>
      <c r="G80" s="10" t="s">
        <v>696</v>
      </c>
      <c r="H80" s="11">
        <v>173796000</v>
      </c>
      <c r="I80" s="11">
        <v>320221966.87398839</v>
      </c>
      <c r="J80" s="11">
        <v>166006000</v>
      </c>
      <c r="K80" s="11">
        <f t="shared" si="7"/>
        <v>171730344.8275862</v>
      </c>
      <c r="L80" s="18">
        <f t="shared" si="8"/>
        <v>0.53628533515055321</v>
      </c>
      <c r="M80" s="18">
        <f t="shared" si="9"/>
        <v>-1.1885516193777741E-2</v>
      </c>
    </row>
    <row r="81" spans="1:13" x14ac:dyDescent="0.3">
      <c r="A81" s="9" t="s">
        <v>56</v>
      </c>
      <c r="B81" s="10" t="s">
        <v>427</v>
      </c>
      <c r="C81" s="10" t="s">
        <v>22</v>
      </c>
      <c r="D81" s="10" t="s">
        <v>48</v>
      </c>
      <c r="E81" s="10" t="s">
        <v>693</v>
      </c>
      <c r="F81" s="10" t="s">
        <v>694</v>
      </c>
      <c r="G81" s="10" t="s">
        <v>699</v>
      </c>
      <c r="H81" s="11">
        <v>44500000</v>
      </c>
      <c r="I81" s="11">
        <v>69362323.169973671</v>
      </c>
      <c r="J81" s="11">
        <v>19600000</v>
      </c>
      <c r="K81" s="11">
        <f t="shared" si="7"/>
        <v>20275862.068965517</v>
      </c>
      <c r="L81" s="18">
        <f t="shared" si="8"/>
        <v>0.29231809348829246</v>
      </c>
      <c r="M81" s="18">
        <f t="shared" si="9"/>
        <v>-0.54436265013560636</v>
      </c>
    </row>
    <row r="82" spans="1:13" x14ac:dyDescent="0.3">
      <c r="A82" s="9" t="s">
        <v>60</v>
      </c>
      <c r="B82" s="10" t="s">
        <v>431</v>
      </c>
      <c r="C82" s="10" t="s">
        <v>22</v>
      </c>
      <c r="D82" s="10" t="s">
        <v>46</v>
      </c>
      <c r="E82" s="10" t="s">
        <v>693</v>
      </c>
      <c r="F82" s="10" t="s">
        <v>694</v>
      </c>
      <c r="G82" s="10" t="s">
        <v>700</v>
      </c>
      <c r="H82" s="11">
        <v>43925000</v>
      </c>
      <c r="I82" s="11">
        <v>57432810.76068487</v>
      </c>
      <c r="J82" s="11">
        <v>19000000</v>
      </c>
      <c r="K82" s="11">
        <f t="shared" si="7"/>
        <v>19655172.413793102</v>
      </c>
      <c r="L82" s="18">
        <f t="shared" si="8"/>
        <v>0.34222898293614212</v>
      </c>
      <c r="M82" s="18">
        <f t="shared" si="9"/>
        <v>-0.5525288010519499</v>
      </c>
    </row>
    <row r="83" spans="1:13" x14ac:dyDescent="0.3">
      <c r="A83" s="9" t="s">
        <v>63</v>
      </c>
      <c r="B83" s="10" t="s">
        <v>434</v>
      </c>
      <c r="C83" s="10" t="s">
        <v>22</v>
      </c>
      <c r="D83" s="10" t="s">
        <v>42</v>
      </c>
      <c r="E83" s="10" t="s">
        <v>693</v>
      </c>
      <c r="F83" s="10" t="s">
        <v>694</v>
      </c>
      <c r="G83" s="10" t="s">
        <v>699</v>
      </c>
      <c r="H83" s="11">
        <v>52400000</v>
      </c>
      <c r="I83" s="11">
        <v>76600926.159055412</v>
      </c>
      <c r="J83" s="11">
        <v>34250000</v>
      </c>
      <c r="K83" s="11">
        <f t="shared" si="7"/>
        <v>35431034.482758626</v>
      </c>
      <c r="L83" s="18">
        <f t="shared" si="8"/>
        <v>0.46254054956449286</v>
      </c>
      <c r="M83" s="18">
        <f t="shared" si="9"/>
        <v>-0.32383521979468272</v>
      </c>
    </row>
    <row r="84" spans="1:13" x14ac:dyDescent="0.3">
      <c r="A84" s="9" t="s">
        <v>122</v>
      </c>
      <c r="B84" s="10" t="s">
        <v>489</v>
      </c>
      <c r="C84" s="10" t="s">
        <v>22</v>
      </c>
      <c r="D84" s="10" t="s">
        <v>44</v>
      </c>
      <c r="E84" s="10" t="s">
        <v>693</v>
      </c>
      <c r="F84" s="10" t="s">
        <v>694</v>
      </c>
      <c r="G84" s="10" t="s">
        <v>698</v>
      </c>
      <c r="H84" s="11">
        <v>73575000</v>
      </c>
      <c r="I84" s="11">
        <v>116158775.7551486</v>
      </c>
      <c r="J84" s="11">
        <v>74775000</v>
      </c>
      <c r="K84" s="11">
        <f t="shared" si="7"/>
        <v>77353448.275862068</v>
      </c>
      <c r="L84" s="18">
        <f t="shared" si="8"/>
        <v>0.66592857726837285</v>
      </c>
      <c r="M84" s="18">
        <f t="shared" si="9"/>
        <v>5.1355056416745738E-2</v>
      </c>
    </row>
    <row r="85" spans="1:13" x14ac:dyDescent="0.3">
      <c r="A85" s="9" t="s">
        <v>124</v>
      </c>
      <c r="B85" s="10" t="s">
        <v>490</v>
      </c>
      <c r="C85" s="10" t="s">
        <v>22</v>
      </c>
      <c r="D85" s="10" t="s">
        <v>42</v>
      </c>
      <c r="E85" s="10" t="s">
        <v>693</v>
      </c>
      <c r="F85" s="10" t="s">
        <v>694</v>
      </c>
      <c r="G85" s="10" t="s">
        <v>699</v>
      </c>
      <c r="H85" s="11">
        <v>20350000</v>
      </c>
      <c r="I85" s="11">
        <v>44059065.550880127</v>
      </c>
      <c r="J85" s="11">
        <v>10475000</v>
      </c>
      <c r="K85" s="11">
        <f t="shared" si="7"/>
        <v>10836206.896551723</v>
      </c>
      <c r="L85" s="18">
        <f t="shared" si="8"/>
        <v>0.24594727012623302</v>
      </c>
      <c r="M85" s="18">
        <f t="shared" si="9"/>
        <v>-0.46750826061170897</v>
      </c>
    </row>
    <row r="86" spans="1:13" x14ac:dyDescent="0.3">
      <c r="A86" s="9" t="s">
        <v>125</v>
      </c>
      <c r="B86" s="10" t="s">
        <v>491</v>
      </c>
      <c r="C86" s="10" t="s">
        <v>22</v>
      </c>
      <c r="D86" s="10" t="s">
        <v>42</v>
      </c>
      <c r="E86" s="10" t="s">
        <v>693</v>
      </c>
      <c r="F86" s="10" t="s">
        <v>694</v>
      </c>
      <c r="G86" s="10" t="s">
        <v>698</v>
      </c>
      <c r="H86" s="11">
        <v>51250000</v>
      </c>
      <c r="I86" s="11">
        <v>73292145.393555984</v>
      </c>
      <c r="J86" s="11">
        <v>51850000</v>
      </c>
      <c r="K86" s="11">
        <f t="shared" si="7"/>
        <v>53637931.034482762</v>
      </c>
      <c r="L86" s="18">
        <f t="shared" si="8"/>
        <v>0.73183737147362493</v>
      </c>
      <c r="M86" s="18">
        <f t="shared" si="9"/>
        <v>4.6593776282590482E-2</v>
      </c>
    </row>
    <row r="87" spans="1:13" x14ac:dyDescent="0.3">
      <c r="A87" s="9" t="s">
        <v>127</v>
      </c>
      <c r="B87" s="10" t="s">
        <v>493</v>
      </c>
      <c r="C87" s="10" t="s">
        <v>22</v>
      </c>
      <c r="D87" s="10" t="s">
        <v>28</v>
      </c>
      <c r="E87" s="10" t="s">
        <v>693</v>
      </c>
      <c r="F87" s="10" t="s">
        <v>694</v>
      </c>
      <c r="G87" s="10" t="s">
        <v>695</v>
      </c>
      <c r="H87" s="11">
        <v>99000000</v>
      </c>
      <c r="I87" s="11">
        <v>143726966.23340517</v>
      </c>
      <c r="J87" s="11">
        <v>51850000</v>
      </c>
      <c r="K87" s="11">
        <f t="shared" si="7"/>
        <v>53637931.034482762</v>
      </c>
      <c r="L87" s="18">
        <f t="shared" si="8"/>
        <v>0.37319323186281922</v>
      </c>
      <c r="M87" s="18">
        <f t="shared" si="9"/>
        <v>-0.45820271682340646</v>
      </c>
    </row>
    <row r="88" spans="1:13" x14ac:dyDescent="0.3">
      <c r="A88" s="9" t="s">
        <v>57</v>
      </c>
      <c r="B88" s="10" t="s">
        <v>428</v>
      </c>
      <c r="C88" s="10" t="s">
        <v>22</v>
      </c>
      <c r="D88" s="10" t="s">
        <v>46</v>
      </c>
      <c r="E88" s="10" t="s">
        <v>693</v>
      </c>
      <c r="F88" s="10" t="s">
        <v>694</v>
      </c>
      <c r="G88" s="10" t="s">
        <v>700</v>
      </c>
      <c r="H88" s="11">
        <v>34450000</v>
      </c>
      <c r="I88" s="11">
        <v>66999518.447789021</v>
      </c>
      <c r="J88" s="11">
        <v>11525000</v>
      </c>
      <c r="K88" s="11">
        <f t="shared" si="7"/>
        <v>11922413.793103449</v>
      </c>
      <c r="L88" s="18">
        <f t="shared" si="8"/>
        <v>0.17794775349608333</v>
      </c>
      <c r="M88" s="18">
        <f t="shared" si="9"/>
        <v>-0.65392122516390572</v>
      </c>
    </row>
    <row r="89" spans="1:13" x14ac:dyDescent="0.3">
      <c r="A89" s="9" t="s">
        <v>54</v>
      </c>
      <c r="B89" s="10" t="s">
        <v>425</v>
      </c>
      <c r="C89" s="10" t="s">
        <v>22</v>
      </c>
      <c r="D89" s="10" t="s">
        <v>48</v>
      </c>
      <c r="E89" s="10" t="s">
        <v>693</v>
      </c>
      <c r="F89" s="10" t="s">
        <v>694</v>
      </c>
      <c r="G89" s="10" t="s">
        <v>699</v>
      </c>
      <c r="H89" s="11">
        <v>25775000</v>
      </c>
      <c r="I89" s="11">
        <v>31339816.181427479</v>
      </c>
      <c r="J89" s="11">
        <v>5065000</v>
      </c>
      <c r="K89" s="11">
        <f t="shared" si="7"/>
        <v>5239655.1724137934</v>
      </c>
      <c r="L89" s="18">
        <f t="shared" si="8"/>
        <v>0.16718844622703641</v>
      </c>
      <c r="M89" s="18">
        <f t="shared" si="9"/>
        <v>-0.79671560921769957</v>
      </c>
    </row>
    <row r="90" spans="1:13" x14ac:dyDescent="0.3">
      <c r="A90" s="9" t="s">
        <v>130</v>
      </c>
      <c r="B90" s="10" t="s">
        <v>494</v>
      </c>
      <c r="C90" s="10" t="s">
        <v>22</v>
      </c>
      <c r="D90" s="10" t="s">
        <v>42</v>
      </c>
      <c r="E90" s="10" t="s">
        <v>693</v>
      </c>
      <c r="F90" s="10" t="s">
        <v>694</v>
      </c>
      <c r="G90" s="10" t="s">
        <v>699</v>
      </c>
      <c r="H90" s="11">
        <v>59100000</v>
      </c>
      <c r="I90" s="11">
        <v>80154564.530950829</v>
      </c>
      <c r="J90" s="11">
        <v>40850000</v>
      </c>
      <c r="K90" s="11">
        <f t="shared" si="7"/>
        <v>42258620.68965517</v>
      </c>
      <c r="L90" s="18">
        <f t="shared" si="8"/>
        <v>0.52721415102114932</v>
      </c>
      <c r="M90" s="18">
        <f t="shared" si="9"/>
        <v>-0.28496411692630846</v>
      </c>
    </row>
    <row r="91" spans="1:13" x14ac:dyDescent="0.3">
      <c r="A91" s="9" t="s">
        <v>52</v>
      </c>
      <c r="B91" s="10" t="s">
        <v>423</v>
      </c>
      <c r="C91" s="10" t="s">
        <v>22</v>
      </c>
      <c r="D91" s="10" t="s">
        <v>46</v>
      </c>
      <c r="E91" s="10" t="s">
        <v>693</v>
      </c>
      <c r="F91" s="10" t="s">
        <v>694</v>
      </c>
      <c r="G91" s="10" t="s">
        <v>700</v>
      </c>
      <c r="H91" s="11">
        <v>49950000</v>
      </c>
      <c r="I91" s="11">
        <v>68859582.101957694</v>
      </c>
      <c r="J91" s="11">
        <v>26850000</v>
      </c>
      <c r="K91" s="11">
        <f t="shared" si="7"/>
        <v>27775862.068965517</v>
      </c>
      <c r="L91" s="18">
        <f t="shared" si="8"/>
        <v>0.40336959971437064</v>
      </c>
      <c r="M91" s="18">
        <f t="shared" si="9"/>
        <v>-0.44392668530599566</v>
      </c>
    </row>
    <row r="92" spans="1:13" x14ac:dyDescent="0.3">
      <c r="A92" s="9" t="s">
        <v>41</v>
      </c>
      <c r="B92" s="10" t="s">
        <v>416</v>
      </c>
      <c r="C92" s="10" t="s">
        <v>22</v>
      </c>
      <c r="D92" s="10" t="s">
        <v>40</v>
      </c>
      <c r="E92" s="10" t="s">
        <v>693</v>
      </c>
      <c r="F92" s="10" t="s">
        <v>694</v>
      </c>
      <c r="G92" s="10" t="s">
        <v>698</v>
      </c>
      <c r="H92" s="11">
        <v>18660000</v>
      </c>
      <c r="I92" s="11">
        <v>33736217.64495483</v>
      </c>
      <c r="J92" s="11">
        <v>11670000</v>
      </c>
      <c r="K92" s="11">
        <f t="shared" si="7"/>
        <v>12072413.793103449</v>
      </c>
      <c r="L92" s="18">
        <f t="shared" si="8"/>
        <v>0.35784728211548189</v>
      </c>
      <c r="M92" s="18">
        <f t="shared" si="9"/>
        <v>-0.35303248697194806</v>
      </c>
    </row>
    <row r="93" spans="1:13" x14ac:dyDescent="0.3">
      <c r="A93" s="9" t="s">
        <v>49</v>
      </c>
      <c r="B93" s="10" t="s">
        <v>420</v>
      </c>
      <c r="C93" s="10" t="s">
        <v>22</v>
      </c>
      <c r="D93" s="10" t="s">
        <v>46</v>
      </c>
      <c r="E93" s="10" t="s">
        <v>693</v>
      </c>
      <c r="F93" s="10" t="s">
        <v>694</v>
      </c>
      <c r="G93" s="10" t="s">
        <v>700</v>
      </c>
      <c r="H93" s="11">
        <v>52400000</v>
      </c>
      <c r="I93" s="11">
        <v>59548800.43921309</v>
      </c>
      <c r="J93" s="11">
        <v>25750000</v>
      </c>
      <c r="K93" s="11">
        <f t="shared" si="7"/>
        <v>26637931.034482758</v>
      </c>
      <c r="L93" s="18">
        <f t="shared" si="8"/>
        <v>0.44732943129013208</v>
      </c>
      <c r="M93" s="18">
        <f t="shared" si="9"/>
        <v>-0.49164253750987102</v>
      </c>
    </row>
    <row r="94" spans="1:13" x14ac:dyDescent="0.3">
      <c r="A94" s="9" t="s">
        <v>50</v>
      </c>
      <c r="B94" s="10" t="s">
        <v>421</v>
      </c>
      <c r="C94" s="10" t="s">
        <v>22</v>
      </c>
      <c r="D94" s="10" t="s">
        <v>40</v>
      </c>
      <c r="E94" s="10" t="s">
        <v>693</v>
      </c>
      <c r="F94" s="10" t="s">
        <v>694</v>
      </c>
      <c r="G94" s="10" t="s">
        <v>698</v>
      </c>
      <c r="H94" s="11">
        <v>72625000</v>
      </c>
      <c r="I94" s="11">
        <v>101360194.1685904</v>
      </c>
      <c r="J94" s="11">
        <v>47750000</v>
      </c>
      <c r="K94" s="11">
        <f t="shared" si="7"/>
        <v>49396551.724137932</v>
      </c>
      <c r="L94" s="18">
        <f t="shared" si="8"/>
        <v>0.48733679063378299</v>
      </c>
      <c r="M94" s="18">
        <f t="shared" si="9"/>
        <v>-0.31984094011514036</v>
      </c>
    </row>
    <row r="95" spans="1:13" x14ac:dyDescent="0.3">
      <c r="A95" s="9" t="s">
        <v>51</v>
      </c>
      <c r="B95" s="10" t="s">
        <v>422</v>
      </c>
      <c r="C95" s="10" t="s">
        <v>22</v>
      </c>
      <c r="D95" s="10" t="s">
        <v>28</v>
      </c>
      <c r="E95" s="10" t="s">
        <v>693</v>
      </c>
      <c r="F95" s="10" t="s">
        <v>694</v>
      </c>
      <c r="G95" s="10" t="s">
        <v>695</v>
      </c>
      <c r="H95" s="11">
        <v>44100000</v>
      </c>
      <c r="I95" s="11">
        <v>70976319.165621728</v>
      </c>
      <c r="J95" s="11">
        <v>19500000</v>
      </c>
      <c r="K95" s="11">
        <f t="shared" si="7"/>
        <v>20172413.793103445</v>
      </c>
      <c r="L95" s="18">
        <f t="shared" si="8"/>
        <v>0.28421329860782929</v>
      </c>
      <c r="M95" s="18">
        <f t="shared" si="9"/>
        <v>-0.54257565095003524</v>
      </c>
    </row>
    <row r="96" spans="1:13" x14ac:dyDescent="0.3">
      <c r="A96" s="9" t="s">
        <v>92</v>
      </c>
      <c r="B96" s="10" t="s">
        <v>461</v>
      </c>
      <c r="C96" s="10" t="s">
        <v>22</v>
      </c>
      <c r="D96" s="10" t="s">
        <v>40</v>
      </c>
      <c r="E96" s="10" t="s">
        <v>693</v>
      </c>
      <c r="F96" s="10" t="s">
        <v>694</v>
      </c>
      <c r="G96" s="10" t="s">
        <v>698</v>
      </c>
      <c r="H96" s="11">
        <v>23700000</v>
      </c>
      <c r="I96" s="11">
        <v>25677661.982361853</v>
      </c>
      <c r="J96" s="11">
        <v>11625000</v>
      </c>
      <c r="K96" s="11">
        <f t="shared" si="7"/>
        <v>12025862.068965517</v>
      </c>
      <c r="L96" s="18">
        <f t="shared" si="8"/>
        <v>0.46833944917672632</v>
      </c>
      <c r="M96" s="18">
        <f t="shared" si="9"/>
        <v>-0.49257965953731997</v>
      </c>
    </row>
    <row r="97" spans="1:13" x14ac:dyDescent="0.3">
      <c r="A97" s="9" t="s">
        <v>140</v>
      </c>
      <c r="B97" s="10" t="s">
        <v>498</v>
      </c>
      <c r="C97" s="10" t="s">
        <v>22</v>
      </c>
      <c r="D97" s="10" t="s">
        <v>28</v>
      </c>
      <c r="E97" s="10" t="s">
        <v>693</v>
      </c>
      <c r="F97" s="10" t="s">
        <v>694</v>
      </c>
      <c r="G97" s="10" t="s">
        <v>695</v>
      </c>
      <c r="H97" s="11">
        <v>18625000</v>
      </c>
      <c r="I97" s="11">
        <v>39805910.281642646</v>
      </c>
      <c r="J97" s="11">
        <v>10050000</v>
      </c>
      <c r="K97" s="11">
        <f t="shared" si="7"/>
        <v>10396551.72413793</v>
      </c>
      <c r="L97" s="18">
        <f t="shared" si="8"/>
        <v>0.26118110729231392</v>
      </c>
      <c r="M97" s="18">
        <f t="shared" si="9"/>
        <v>-0.44179588058319835</v>
      </c>
    </row>
    <row r="98" spans="1:13" x14ac:dyDescent="0.3">
      <c r="A98" s="9" t="s">
        <v>141</v>
      </c>
      <c r="B98" s="10" t="s">
        <v>499</v>
      </c>
      <c r="C98" s="10" t="s">
        <v>22</v>
      </c>
      <c r="D98" s="10" t="s">
        <v>46</v>
      </c>
      <c r="E98" s="10" t="s">
        <v>693</v>
      </c>
      <c r="F98" s="10" t="s">
        <v>694</v>
      </c>
      <c r="G98" s="10" t="s">
        <v>700</v>
      </c>
      <c r="H98" s="11">
        <v>26650000</v>
      </c>
      <c r="I98" s="11">
        <v>46116510.06043721</v>
      </c>
      <c r="J98" s="11">
        <v>12850000</v>
      </c>
      <c r="K98" s="11">
        <f t="shared" si="7"/>
        <v>13293103.448275862</v>
      </c>
      <c r="L98" s="18">
        <f t="shared" si="8"/>
        <v>0.28825042118006783</v>
      </c>
      <c r="M98" s="18">
        <f t="shared" si="9"/>
        <v>-0.50119686873261304</v>
      </c>
    </row>
    <row r="99" spans="1:13" x14ac:dyDescent="0.3">
      <c r="A99" s="9" t="s">
        <v>143</v>
      </c>
      <c r="B99" s="10" t="s">
        <v>501</v>
      </c>
      <c r="C99" s="10" t="s">
        <v>22</v>
      </c>
      <c r="D99" s="10" t="s">
        <v>46</v>
      </c>
      <c r="E99" s="10" t="s">
        <v>693</v>
      </c>
      <c r="F99" s="10" t="s">
        <v>694</v>
      </c>
      <c r="G99" s="10" t="s">
        <v>700</v>
      </c>
      <c r="H99" s="11">
        <v>26900000</v>
      </c>
      <c r="I99" s="11">
        <v>42167825.259617999</v>
      </c>
      <c r="J99" s="11">
        <v>15850000</v>
      </c>
      <c r="K99" s="11">
        <f t="shared" si="7"/>
        <v>16396551.72413793</v>
      </c>
      <c r="L99" s="18">
        <f t="shared" si="8"/>
        <v>0.38884034505426773</v>
      </c>
      <c r="M99" s="18">
        <f t="shared" si="9"/>
        <v>-0.39046276118446355</v>
      </c>
    </row>
    <row r="100" spans="1:13" x14ac:dyDescent="0.3">
      <c r="A100" s="9" t="s">
        <v>58</v>
      </c>
      <c r="B100" s="10" t="s">
        <v>429</v>
      </c>
      <c r="C100" s="10" t="s">
        <v>22</v>
      </c>
      <c r="D100" s="10" t="s">
        <v>48</v>
      </c>
      <c r="E100" s="10" t="s">
        <v>693</v>
      </c>
      <c r="F100" s="10" t="s">
        <v>694</v>
      </c>
      <c r="G100" s="10" t="s">
        <v>699</v>
      </c>
      <c r="H100" s="11">
        <v>43950000</v>
      </c>
      <c r="I100" s="11">
        <v>69044150.640732363</v>
      </c>
      <c r="J100" s="11">
        <v>16380000</v>
      </c>
      <c r="K100" s="11">
        <f t="shared" si="7"/>
        <v>16944827.586206898</v>
      </c>
      <c r="L100" s="18">
        <f t="shared" si="8"/>
        <v>0.24542017577098493</v>
      </c>
      <c r="M100" s="18">
        <f t="shared" si="9"/>
        <v>-0.61445215958573607</v>
      </c>
    </row>
    <row r="101" spans="1:13" x14ac:dyDescent="0.3">
      <c r="A101" s="9" t="s">
        <v>103</v>
      </c>
      <c r="B101" s="10" t="s">
        <v>472</v>
      </c>
      <c r="C101" s="10" t="s">
        <v>22</v>
      </c>
      <c r="D101" s="10" t="s">
        <v>44</v>
      </c>
      <c r="E101" s="10" t="s">
        <v>693</v>
      </c>
      <c r="F101" s="10" t="s">
        <v>694</v>
      </c>
      <c r="G101" s="10" t="s">
        <v>695</v>
      </c>
      <c r="H101" s="11">
        <v>21025000</v>
      </c>
      <c r="I101" s="11">
        <v>28446973.03888591</v>
      </c>
      <c r="J101" s="11">
        <v>9260000</v>
      </c>
      <c r="K101" s="11">
        <f t="shared" si="7"/>
        <v>9579310.3448275868</v>
      </c>
      <c r="L101" s="18">
        <f t="shared" si="8"/>
        <v>0.3367426942660311</v>
      </c>
      <c r="M101" s="18">
        <f t="shared" si="9"/>
        <v>-0.54438476362294475</v>
      </c>
    </row>
    <row r="102" spans="1:13" x14ac:dyDescent="0.3">
      <c r="A102" s="9" t="s">
        <v>144</v>
      </c>
      <c r="B102" s="10" t="s">
        <v>502</v>
      </c>
      <c r="C102" s="10" t="s">
        <v>22</v>
      </c>
      <c r="D102" s="10" t="s">
        <v>44</v>
      </c>
      <c r="E102" s="10" t="s">
        <v>693</v>
      </c>
      <c r="F102" s="10" t="s">
        <v>694</v>
      </c>
      <c r="G102" s="10" t="s">
        <v>695</v>
      </c>
      <c r="H102" s="11">
        <v>14090000</v>
      </c>
      <c r="I102" s="11">
        <v>26329190.347827133</v>
      </c>
      <c r="J102" s="11">
        <v>4650000</v>
      </c>
      <c r="K102" s="11">
        <f t="shared" si="7"/>
        <v>4810344.8275862066</v>
      </c>
      <c r="L102" s="18">
        <f t="shared" si="8"/>
        <v>0.18270006650558435</v>
      </c>
      <c r="M102" s="18">
        <f t="shared" si="9"/>
        <v>-0.65859866376251186</v>
      </c>
    </row>
    <row r="103" spans="1:13" x14ac:dyDescent="0.3">
      <c r="A103" s="9" t="s">
        <v>84</v>
      </c>
      <c r="B103" s="10" t="s">
        <v>453</v>
      </c>
      <c r="C103" s="10" t="s">
        <v>22</v>
      </c>
      <c r="D103" s="10" t="s">
        <v>48</v>
      </c>
      <c r="E103" s="10" t="s">
        <v>693</v>
      </c>
      <c r="F103" s="10" t="s">
        <v>694</v>
      </c>
      <c r="G103" s="10" t="s">
        <v>699</v>
      </c>
      <c r="H103" s="11">
        <v>8450000</v>
      </c>
      <c r="I103" s="11">
        <v>20114625.288210887</v>
      </c>
      <c r="J103" s="11">
        <v>7250000</v>
      </c>
      <c r="K103" s="11">
        <f t="shared" si="7"/>
        <v>7500000</v>
      </c>
      <c r="L103" s="18">
        <f t="shared" si="8"/>
        <v>0.37286302342384298</v>
      </c>
      <c r="M103" s="18">
        <f t="shared" si="9"/>
        <v>-0.11242603550295859</v>
      </c>
    </row>
    <row r="104" spans="1:13" x14ac:dyDescent="0.3">
      <c r="A104" s="9" t="s">
        <v>83</v>
      </c>
      <c r="B104" s="10" t="s">
        <v>452</v>
      </c>
      <c r="C104" s="10" t="s">
        <v>22</v>
      </c>
      <c r="D104" s="10" t="s">
        <v>28</v>
      </c>
      <c r="E104" s="10" t="s">
        <v>693</v>
      </c>
      <c r="F104" s="10" t="s">
        <v>694</v>
      </c>
      <c r="G104" s="10" t="s">
        <v>695</v>
      </c>
      <c r="H104" s="11">
        <v>27775000</v>
      </c>
      <c r="I104" s="11">
        <v>31672936.413384825</v>
      </c>
      <c r="J104" s="11">
        <v>10850000</v>
      </c>
      <c r="K104" s="11">
        <f t="shared" si="7"/>
        <v>11224137.931034483</v>
      </c>
      <c r="L104" s="18">
        <f t="shared" si="8"/>
        <v>0.35437629730760356</v>
      </c>
      <c r="M104" s="18">
        <f t="shared" si="9"/>
        <v>-0.59589062354511313</v>
      </c>
    </row>
    <row r="105" spans="1:13" x14ac:dyDescent="0.3">
      <c r="A105" s="9" t="s">
        <v>147</v>
      </c>
      <c r="B105" s="10" t="s">
        <v>505</v>
      </c>
      <c r="C105" s="10" t="s">
        <v>22</v>
      </c>
      <c r="D105" s="10" t="s">
        <v>42</v>
      </c>
      <c r="E105" s="10" t="s">
        <v>693</v>
      </c>
      <c r="F105" s="10" t="s">
        <v>694</v>
      </c>
      <c r="G105" s="10" t="s">
        <v>699</v>
      </c>
      <c r="H105" s="11">
        <v>18525000</v>
      </c>
      <c r="I105" s="11">
        <v>31071469.327906281</v>
      </c>
      <c r="J105" s="11">
        <v>10700000</v>
      </c>
      <c r="K105" s="11">
        <f t="shared" si="7"/>
        <v>11068965.517241379</v>
      </c>
      <c r="L105" s="18">
        <f t="shared" si="8"/>
        <v>0.35624210108725007</v>
      </c>
      <c r="M105" s="18">
        <f t="shared" si="9"/>
        <v>-0.40248499232165297</v>
      </c>
    </row>
    <row r="106" spans="1:13" x14ac:dyDescent="0.3">
      <c r="A106" s="9" t="s">
        <v>148</v>
      </c>
      <c r="B106" s="10" t="s">
        <v>506</v>
      </c>
      <c r="C106" s="10" t="s">
        <v>22</v>
      </c>
      <c r="D106" s="10" t="s">
        <v>46</v>
      </c>
      <c r="E106" s="10" t="s">
        <v>693</v>
      </c>
      <c r="F106" s="10" t="s">
        <v>694</v>
      </c>
      <c r="G106" s="10" t="s">
        <v>700</v>
      </c>
      <c r="H106" s="11">
        <v>31900000</v>
      </c>
      <c r="I106" s="11">
        <v>40491191.271636091</v>
      </c>
      <c r="J106" s="11">
        <v>13100000</v>
      </c>
      <c r="K106" s="11">
        <f t="shared" si="7"/>
        <v>13551724.137931034</v>
      </c>
      <c r="L106" s="18">
        <f t="shared" si="8"/>
        <v>0.33468326597306014</v>
      </c>
      <c r="M106" s="18">
        <f t="shared" si="9"/>
        <v>-0.5751810615068641</v>
      </c>
    </row>
    <row r="107" spans="1:13" x14ac:dyDescent="0.3">
      <c r="A107" s="9" t="s">
        <v>85</v>
      </c>
      <c r="B107" s="10" t="s">
        <v>454</v>
      </c>
      <c r="C107" s="10" t="s">
        <v>22</v>
      </c>
      <c r="D107" s="10" t="s">
        <v>46</v>
      </c>
      <c r="E107" s="10" t="s">
        <v>693</v>
      </c>
      <c r="F107" s="10" t="s">
        <v>694</v>
      </c>
      <c r="G107" s="10" t="s">
        <v>700</v>
      </c>
      <c r="H107" s="11">
        <v>27000000</v>
      </c>
      <c r="I107" s="11">
        <v>43260929.405380607</v>
      </c>
      <c r="J107" s="11">
        <v>11550000</v>
      </c>
      <c r="K107" s="11">
        <f t="shared" si="7"/>
        <v>11948275.862068966</v>
      </c>
      <c r="L107" s="18">
        <f t="shared" si="8"/>
        <v>0.27619091929594308</v>
      </c>
      <c r="M107" s="18">
        <f t="shared" si="9"/>
        <v>-0.55747126436781602</v>
      </c>
    </row>
    <row r="108" spans="1:13" x14ac:dyDescent="0.3">
      <c r="A108" s="9" t="s">
        <v>93</v>
      </c>
      <c r="B108" s="10" t="s">
        <v>462</v>
      </c>
      <c r="C108" s="10" t="s">
        <v>22</v>
      </c>
      <c r="D108" s="10" t="s">
        <v>42</v>
      </c>
      <c r="E108" s="10" t="s">
        <v>693</v>
      </c>
      <c r="F108" s="10" t="s">
        <v>694</v>
      </c>
      <c r="G108" s="10" t="s">
        <v>699</v>
      </c>
      <c r="H108" s="11">
        <v>11450000</v>
      </c>
      <c r="I108" s="11">
        <v>18384962.545355428</v>
      </c>
      <c r="J108" s="11">
        <v>8700000</v>
      </c>
      <c r="K108" s="11">
        <f t="shared" si="7"/>
        <v>9000000</v>
      </c>
      <c r="L108" s="18">
        <f t="shared" si="8"/>
        <v>0.4895305050416684</v>
      </c>
      <c r="M108" s="18">
        <f t="shared" si="9"/>
        <v>-0.21397379912663755</v>
      </c>
    </row>
    <row r="109" spans="1:13" x14ac:dyDescent="0.3">
      <c r="A109" s="9" t="s">
        <v>149</v>
      </c>
      <c r="B109" s="10" t="s">
        <v>507</v>
      </c>
      <c r="C109" s="10" t="s">
        <v>22</v>
      </c>
      <c r="D109" s="10" t="s">
        <v>46</v>
      </c>
      <c r="E109" s="10" t="s">
        <v>693</v>
      </c>
      <c r="F109" s="10" t="s">
        <v>694</v>
      </c>
      <c r="G109" s="10" t="s">
        <v>700</v>
      </c>
      <c r="H109" s="11">
        <v>27200000</v>
      </c>
      <c r="I109" s="11">
        <v>31386260.829152297</v>
      </c>
      <c r="J109" s="11">
        <v>19150000</v>
      </c>
      <c r="K109" s="11">
        <f t="shared" si="7"/>
        <v>19810344.827586204</v>
      </c>
      <c r="L109" s="18">
        <f t="shared" si="8"/>
        <v>0.63117887585978028</v>
      </c>
      <c r="M109" s="18">
        <f t="shared" si="9"/>
        <v>-0.27167849898580132</v>
      </c>
    </row>
    <row r="110" spans="1:13" x14ac:dyDescent="0.3">
      <c r="A110" s="9" t="s">
        <v>86</v>
      </c>
      <c r="B110" s="10" t="s">
        <v>455</v>
      </c>
      <c r="C110" s="10" t="s">
        <v>22</v>
      </c>
      <c r="D110" s="10" t="s">
        <v>48</v>
      </c>
      <c r="E110" s="10" t="s">
        <v>693</v>
      </c>
      <c r="F110" s="10" t="s">
        <v>694</v>
      </c>
      <c r="G110" s="10" t="s">
        <v>699</v>
      </c>
      <c r="H110" s="11">
        <v>7115000</v>
      </c>
      <c r="I110" s="11">
        <v>16845455.934908953</v>
      </c>
      <c r="J110" s="11">
        <v>7350000</v>
      </c>
      <c r="K110" s="11">
        <f t="shared" si="7"/>
        <v>7603448.2758620689</v>
      </c>
      <c r="L110" s="18">
        <f t="shared" si="8"/>
        <v>0.45136494406811462</v>
      </c>
      <c r="M110" s="18">
        <f t="shared" si="9"/>
        <v>6.8650495553347693E-2</v>
      </c>
    </row>
    <row r="111" spans="1:13" x14ac:dyDescent="0.3">
      <c r="A111" s="9" t="s">
        <v>151</v>
      </c>
      <c r="B111" s="10" t="s">
        <v>509</v>
      </c>
      <c r="C111" s="10" t="s">
        <v>22</v>
      </c>
      <c r="D111" s="10" t="s">
        <v>48</v>
      </c>
      <c r="E111" s="10" t="s">
        <v>693</v>
      </c>
      <c r="F111" s="10" t="s">
        <v>701</v>
      </c>
      <c r="G111" s="10" t="s">
        <v>699</v>
      </c>
      <c r="H111" s="11">
        <v>1900000</v>
      </c>
      <c r="I111" s="11">
        <v>4703899.6856626784</v>
      </c>
      <c r="J111" s="11">
        <v>0</v>
      </c>
      <c r="K111" s="11">
        <f t="shared" si="7"/>
        <v>0</v>
      </c>
      <c r="L111" s="18">
        <f t="shared" si="8"/>
        <v>0</v>
      </c>
      <c r="M111" s="18">
        <f t="shared" si="9"/>
        <v>-1</v>
      </c>
    </row>
    <row r="112" spans="1:13" x14ac:dyDescent="0.3">
      <c r="A112" s="9" t="s">
        <v>96</v>
      </c>
      <c r="B112" s="10" t="s">
        <v>465</v>
      </c>
      <c r="C112" s="10" t="s">
        <v>22</v>
      </c>
      <c r="D112" s="10" t="s">
        <v>40</v>
      </c>
      <c r="E112" s="10" t="s">
        <v>693</v>
      </c>
      <c r="F112" s="10" t="s">
        <v>694</v>
      </c>
      <c r="G112" s="10" t="s">
        <v>698</v>
      </c>
      <c r="H112" s="11">
        <v>17550000</v>
      </c>
      <c r="I112" s="11">
        <v>33478227.414029751</v>
      </c>
      <c r="J112" s="11">
        <v>6900000</v>
      </c>
      <c r="K112" s="11">
        <f t="shared" si="7"/>
        <v>7137931.0344827585</v>
      </c>
      <c r="L112" s="18">
        <f t="shared" si="8"/>
        <v>0.21321114007044051</v>
      </c>
      <c r="M112" s="18">
        <f t="shared" si="9"/>
        <v>-0.59328028293545532</v>
      </c>
    </row>
    <row r="113" spans="1:13" x14ac:dyDescent="0.3">
      <c r="A113" s="9" t="s">
        <v>81</v>
      </c>
      <c r="B113" s="10" t="s">
        <v>450</v>
      </c>
      <c r="C113" s="10" t="s">
        <v>22</v>
      </c>
      <c r="D113" s="10" t="s">
        <v>28</v>
      </c>
      <c r="E113" s="10" t="s">
        <v>693</v>
      </c>
      <c r="F113" s="10" t="s">
        <v>694</v>
      </c>
      <c r="G113" s="10" t="s">
        <v>695</v>
      </c>
      <c r="H113" s="11">
        <v>14230000</v>
      </c>
      <c r="I113" s="11">
        <v>19661069.280084342</v>
      </c>
      <c r="J113" s="11">
        <v>11450000</v>
      </c>
      <c r="K113" s="11">
        <f t="shared" si="7"/>
        <v>11844827.586206898</v>
      </c>
      <c r="L113" s="18">
        <f t="shared" si="8"/>
        <v>0.60245083405535338</v>
      </c>
      <c r="M113" s="18">
        <f t="shared" si="9"/>
        <v>-0.16761577047035151</v>
      </c>
    </row>
    <row r="114" spans="1:13" x14ac:dyDescent="0.3">
      <c r="A114" s="9" t="s">
        <v>80</v>
      </c>
      <c r="B114" s="10" t="s">
        <v>449</v>
      </c>
      <c r="C114" s="10" t="s">
        <v>22</v>
      </c>
      <c r="D114" s="10" t="s">
        <v>28</v>
      </c>
      <c r="E114" s="10" t="s">
        <v>693</v>
      </c>
      <c r="F114" s="10" t="s">
        <v>694</v>
      </c>
      <c r="G114" s="10" t="s">
        <v>695</v>
      </c>
      <c r="H114" s="11">
        <v>19850000</v>
      </c>
      <c r="I114" s="11">
        <v>29139478.751858778</v>
      </c>
      <c r="J114" s="11">
        <v>5250000</v>
      </c>
      <c r="K114" s="11">
        <f t="shared" si="7"/>
        <v>5431034.4827586208</v>
      </c>
      <c r="L114" s="18">
        <f t="shared" si="8"/>
        <v>0.1863806325777938</v>
      </c>
      <c r="M114" s="18">
        <f t="shared" si="9"/>
        <v>-0.72639624771996869</v>
      </c>
    </row>
    <row r="115" spans="1:13" x14ac:dyDescent="0.3">
      <c r="A115" s="9" t="s">
        <v>101</v>
      </c>
      <c r="B115" s="10" t="s">
        <v>470</v>
      </c>
      <c r="C115" s="10" t="s">
        <v>22</v>
      </c>
      <c r="D115" s="10" t="s">
        <v>48</v>
      </c>
      <c r="E115" s="10" t="s">
        <v>693</v>
      </c>
      <c r="F115" s="10" t="s">
        <v>694</v>
      </c>
      <c r="G115" s="10" t="s">
        <v>699</v>
      </c>
      <c r="H115" s="11">
        <v>10325000</v>
      </c>
      <c r="I115" s="11">
        <v>16819190.685850777</v>
      </c>
      <c r="J115" s="11">
        <v>5350000</v>
      </c>
      <c r="K115" s="11">
        <f t="shared" si="7"/>
        <v>5534482.7586206896</v>
      </c>
      <c r="L115" s="18">
        <f t="shared" si="8"/>
        <v>0.32905761412626111</v>
      </c>
      <c r="M115" s="18">
        <f t="shared" si="9"/>
        <v>-0.46397261417717289</v>
      </c>
    </row>
    <row r="116" spans="1:13" x14ac:dyDescent="0.3">
      <c r="A116" s="9" t="s">
        <v>104</v>
      </c>
      <c r="B116" s="10" t="s">
        <v>473</v>
      </c>
      <c r="C116" s="10" t="s">
        <v>22</v>
      </c>
      <c r="D116" s="10" t="s">
        <v>28</v>
      </c>
      <c r="E116" s="10" t="s">
        <v>693</v>
      </c>
      <c r="F116" s="10" t="s">
        <v>694</v>
      </c>
      <c r="G116" s="10" t="s">
        <v>695</v>
      </c>
      <c r="H116" s="11">
        <v>11630000</v>
      </c>
      <c r="I116" s="11">
        <v>18166192.239175744</v>
      </c>
      <c r="J116" s="11">
        <v>5415000</v>
      </c>
      <c r="K116" s="11">
        <f t="shared" si="7"/>
        <v>5601724.1379310349</v>
      </c>
      <c r="L116" s="18">
        <f t="shared" si="8"/>
        <v>0.30835984031099312</v>
      </c>
      <c r="M116" s="18">
        <f t="shared" si="9"/>
        <v>-0.51833842322175105</v>
      </c>
    </row>
    <row r="117" spans="1:13" x14ac:dyDescent="0.3">
      <c r="A117" s="9" t="s">
        <v>88</v>
      </c>
      <c r="B117" s="10" t="s">
        <v>457</v>
      </c>
      <c r="C117" s="10" t="s">
        <v>22</v>
      </c>
      <c r="D117" s="10" t="s">
        <v>48</v>
      </c>
      <c r="E117" s="10" t="s">
        <v>693</v>
      </c>
      <c r="F117" s="10" t="s">
        <v>694</v>
      </c>
      <c r="G117" s="10" t="s">
        <v>699</v>
      </c>
      <c r="H117" s="11">
        <v>4400000</v>
      </c>
      <c r="I117" s="11">
        <v>20931410.472337075</v>
      </c>
      <c r="J117" s="11">
        <v>9550000</v>
      </c>
      <c r="K117" s="11">
        <f t="shared" si="7"/>
        <v>9879310.3448275868</v>
      </c>
      <c r="L117" s="18">
        <f t="shared" si="8"/>
        <v>0.47198493182693402</v>
      </c>
      <c r="M117" s="18">
        <f t="shared" si="9"/>
        <v>1.2452978056426334</v>
      </c>
    </row>
    <row r="118" spans="1:13" x14ac:dyDescent="0.3">
      <c r="A118" s="9" t="s">
        <v>107</v>
      </c>
      <c r="B118" s="10" t="s">
        <v>476</v>
      </c>
      <c r="C118" s="10" t="s">
        <v>22</v>
      </c>
      <c r="D118" s="10" t="s">
        <v>40</v>
      </c>
      <c r="E118" s="10" t="s">
        <v>693</v>
      </c>
      <c r="F118" s="10" t="s">
        <v>694</v>
      </c>
      <c r="G118" s="10" t="s">
        <v>698</v>
      </c>
      <c r="H118" s="11">
        <v>6800000</v>
      </c>
      <c r="I118" s="11">
        <v>11923284.199823791</v>
      </c>
      <c r="J118" s="11">
        <v>4400000</v>
      </c>
      <c r="K118" s="11">
        <f t="shared" si="7"/>
        <v>4551724.1379310349</v>
      </c>
      <c r="L118" s="18">
        <f t="shared" si="8"/>
        <v>0.38175087179405676</v>
      </c>
      <c r="M118" s="18">
        <f t="shared" si="9"/>
        <v>-0.33062880324543603</v>
      </c>
    </row>
    <row r="119" spans="1:13" x14ac:dyDescent="0.3">
      <c r="A119" s="9" t="s">
        <v>82</v>
      </c>
      <c r="B119" s="10" t="s">
        <v>451</v>
      </c>
      <c r="C119" s="10" t="s">
        <v>22</v>
      </c>
      <c r="D119" s="10" t="s">
        <v>44</v>
      </c>
      <c r="E119" s="10" t="s">
        <v>693</v>
      </c>
      <c r="F119" s="10" t="s">
        <v>694</v>
      </c>
      <c r="G119" s="10" t="s">
        <v>698</v>
      </c>
      <c r="H119" s="11">
        <v>20425000</v>
      </c>
      <c r="I119" s="11">
        <v>72608643.891981095</v>
      </c>
      <c r="J119" s="11">
        <v>34425000</v>
      </c>
      <c r="K119" s="11">
        <f t="shared" si="7"/>
        <v>35612068.965517238</v>
      </c>
      <c r="L119" s="18">
        <f t="shared" si="8"/>
        <v>0.49046597011916149</v>
      </c>
      <c r="M119" s="18">
        <f t="shared" si="9"/>
        <v>0.74355294812813899</v>
      </c>
    </row>
    <row r="120" spans="1:13" x14ac:dyDescent="0.3">
      <c r="A120" s="9" t="s">
        <v>89</v>
      </c>
      <c r="B120" s="10" t="s">
        <v>458</v>
      </c>
      <c r="C120" s="10" t="s">
        <v>22</v>
      </c>
      <c r="D120" s="10" t="s">
        <v>40</v>
      </c>
      <c r="E120" s="10" t="s">
        <v>693</v>
      </c>
      <c r="F120" s="10" t="s">
        <v>694</v>
      </c>
      <c r="G120" s="10" t="s">
        <v>698</v>
      </c>
      <c r="H120" s="11">
        <v>14550000</v>
      </c>
      <c r="I120" s="11">
        <v>27000889.570414651</v>
      </c>
      <c r="J120" s="11">
        <v>5250000</v>
      </c>
      <c r="K120" s="11">
        <f t="shared" si="7"/>
        <v>5431034.4827586208</v>
      </c>
      <c r="L120" s="18">
        <f t="shared" si="8"/>
        <v>0.20114279822504444</v>
      </c>
      <c r="M120" s="18">
        <f t="shared" si="9"/>
        <v>-0.62673302523995733</v>
      </c>
    </row>
    <row r="121" spans="1:13" x14ac:dyDescent="0.3">
      <c r="A121" s="9" t="s">
        <v>94</v>
      </c>
      <c r="B121" s="10" t="s">
        <v>463</v>
      </c>
      <c r="C121" s="10" t="s">
        <v>22</v>
      </c>
      <c r="D121" s="10" t="s">
        <v>40</v>
      </c>
      <c r="E121" s="10" t="s">
        <v>693</v>
      </c>
      <c r="F121" s="10" t="s">
        <v>694</v>
      </c>
      <c r="G121" s="10" t="s">
        <v>698</v>
      </c>
      <c r="H121" s="11">
        <v>21050000</v>
      </c>
      <c r="I121" s="11">
        <v>18137969.552857134</v>
      </c>
      <c r="J121" s="11">
        <v>7800000</v>
      </c>
      <c r="K121" s="11">
        <f t="shared" si="7"/>
        <v>8068965.5172413792</v>
      </c>
      <c r="L121" s="18">
        <f t="shared" si="8"/>
        <v>0.44486597541841927</v>
      </c>
      <c r="M121" s="18">
        <f t="shared" si="9"/>
        <v>-0.61667622245884179</v>
      </c>
    </row>
    <row r="122" spans="1:13" x14ac:dyDescent="0.3">
      <c r="A122" s="9" t="s">
        <v>99</v>
      </c>
      <c r="B122" s="10" t="s">
        <v>468</v>
      </c>
      <c r="C122" s="10" t="s">
        <v>22</v>
      </c>
      <c r="D122" s="10" t="s">
        <v>44</v>
      </c>
      <c r="E122" s="10" t="s">
        <v>693</v>
      </c>
      <c r="F122" s="10" t="s">
        <v>694</v>
      </c>
      <c r="G122" s="10" t="s">
        <v>698</v>
      </c>
      <c r="H122" s="11">
        <v>7850000</v>
      </c>
      <c r="I122" s="11">
        <v>16546395.111283142</v>
      </c>
      <c r="J122" s="11">
        <v>4115000</v>
      </c>
      <c r="K122" s="11">
        <f t="shared" si="7"/>
        <v>4256896.5517241387</v>
      </c>
      <c r="L122" s="18">
        <f t="shared" si="8"/>
        <v>0.25727033127725329</v>
      </c>
      <c r="M122" s="18">
        <f t="shared" si="9"/>
        <v>-0.4577201844937403</v>
      </c>
    </row>
    <row r="123" spans="1:13" x14ac:dyDescent="0.3">
      <c r="A123" s="9" t="s">
        <v>152</v>
      </c>
      <c r="B123" s="10" t="s">
        <v>510</v>
      </c>
      <c r="C123" s="10" t="s">
        <v>22</v>
      </c>
      <c r="D123" s="10" t="s">
        <v>46</v>
      </c>
      <c r="E123" s="10" t="s">
        <v>693</v>
      </c>
      <c r="F123" s="10" t="s">
        <v>694</v>
      </c>
      <c r="G123" s="10" t="s">
        <v>700</v>
      </c>
      <c r="H123" s="11">
        <v>26300000</v>
      </c>
      <c r="I123" s="11">
        <v>34661587.21238251</v>
      </c>
      <c r="J123" s="11">
        <v>6550000</v>
      </c>
      <c r="K123" s="11">
        <f t="shared" si="7"/>
        <v>6775862.068965517</v>
      </c>
      <c r="L123" s="18">
        <f t="shared" si="8"/>
        <v>0.19548620285181018</v>
      </c>
      <c r="M123" s="18">
        <f t="shared" si="9"/>
        <v>-0.74236265897469522</v>
      </c>
    </row>
    <row r="124" spans="1:13" x14ac:dyDescent="0.3">
      <c r="A124" s="9" t="s">
        <v>153</v>
      </c>
      <c r="B124" s="10" t="s">
        <v>511</v>
      </c>
      <c r="C124" s="10" t="s">
        <v>22</v>
      </c>
      <c r="D124" s="10" t="s">
        <v>46</v>
      </c>
      <c r="E124" s="10" t="s">
        <v>693</v>
      </c>
      <c r="F124" s="10" t="s">
        <v>694</v>
      </c>
      <c r="G124" s="10" t="s">
        <v>700</v>
      </c>
      <c r="H124" s="11">
        <v>46750000</v>
      </c>
      <c r="I124" s="11">
        <v>49697196.656294987</v>
      </c>
      <c r="J124" s="11">
        <v>12100000</v>
      </c>
      <c r="K124" s="11">
        <f t="shared" si="7"/>
        <v>12517241.379310343</v>
      </c>
      <c r="L124" s="18">
        <f t="shared" si="8"/>
        <v>0.25187017018041047</v>
      </c>
      <c r="M124" s="18">
        <f t="shared" si="9"/>
        <v>-0.7322515212981745</v>
      </c>
    </row>
    <row r="125" spans="1:13" x14ac:dyDescent="0.3">
      <c r="A125" s="9" t="s">
        <v>154</v>
      </c>
      <c r="B125" s="10" t="s">
        <v>512</v>
      </c>
      <c r="C125" s="10" t="s">
        <v>22</v>
      </c>
      <c r="D125" s="10" t="s">
        <v>46</v>
      </c>
      <c r="E125" s="10" t="s">
        <v>693</v>
      </c>
      <c r="F125" s="10" t="s">
        <v>694</v>
      </c>
      <c r="G125" s="10" t="s">
        <v>700</v>
      </c>
      <c r="H125" s="11">
        <v>29925000</v>
      </c>
      <c r="I125" s="11">
        <v>37465171.215848327</v>
      </c>
      <c r="J125" s="11">
        <v>15200000</v>
      </c>
      <c r="K125" s="11">
        <f t="shared" si="7"/>
        <v>15724137.931034483</v>
      </c>
      <c r="L125" s="18">
        <f t="shared" si="8"/>
        <v>0.41970014871793615</v>
      </c>
      <c r="M125" s="18">
        <f t="shared" si="9"/>
        <v>-0.47454844006568142</v>
      </c>
    </row>
    <row r="126" spans="1:13" x14ac:dyDescent="0.3">
      <c r="A126" s="9" t="s">
        <v>155</v>
      </c>
      <c r="B126" s="10" t="s">
        <v>513</v>
      </c>
      <c r="C126" s="10" t="s">
        <v>22</v>
      </c>
      <c r="D126" s="10" t="s">
        <v>42</v>
      </c>
      <c r="E126" s="10" t="s">
        <v>693</v>
      </c>
      <c r="F126" s="10" t="s">
        <v>694</v>
      </c>
      <c r="G126" s="10" t="s">
        <v>699</v>
      </c>
      <c r="H126" s="11">
        <v>7400000</v>
      </c>
      <c r="I126" s="11">
        <v>24425969.828735795</v>
      </c>
      <c r="J126" s="11">
        <v>10050000</v>
      </c>
      <c r="K126" s="11">
        <f t="shared" si="7"/>
        <v>10396551.72413793</v>
      </c>
      <c r="L126" s="18">
        <f t="shared" si="8"/>
        <v>0.42563516605620977</v>
      </c>
      <c r="M126" s="18">
        <f t="shared" si="9"/>
        <v>0.40493942218080137</v>
      </c>
    </row>
    <row r="127" spans="1:13" x14ac:dyDescent="0.3">
      <c r="A127" s="9" t="s">
        <v>108</v>
      </c>
      <c r="B127" s="10" t="s">
        <v>477</v>
      </c>
      <c r="C127" s="10" t="s">
        <v>22</v>
      </c>
      <c r="D127" s="10" t="s">
        <v>40</v>
      </c>
      <c r="E127" s="10" t="s">
        <v>693</v>
      </c>
      <c r="F127" s="10" t="s">
        <v>694</v>
      </c>
      <c r="G127" s="10" t="s">
        <v>698</v>
      </c>
      <c r="H127" s="11">
        <v>11500000</v>
      </c>
      <c r="I127" s="11">
        <v>15331716.316763449</v>
      </c>
      <c r="J127" s="11">
        <v>7950000</v>
      </c>
      <c r="K127" s="11">
        <f t="shared" si="7"/>
        <v>8224137.931034483</v>
      </c>
      <c r="L127" s="18">
        <f t="shared" si="8"/>
        <v>0.53641339045924974</v>
      </c>
      <c r="M127" s="18">
        <f t="shared" si="9"/>
        <v>-0.28485757121439276</v>
      </c>
    </row>
    <row r="128" spans="1:13" x14ac:dyDescent="0.3">
      <c r="A128" s="9" t="s">
        <v>114</v>
      </c>
      <c r="B128" s="10" t="s">
        <v>483</v>
      </c>
      <c r="C128" s="10" t="s">
        <v>22</v>
      </c>
      <c r="D128" s="10" t="s">
        <v>44</v>
      </c>
      <c r="E128" s="10" t="s">
        <v>693</v>
      </c>
      <c r="F128" s="10" t="s">
        <v>694</v>
      </c>
      <c r="G128" s="10" t="s">
        <v>698</v>
      </c>
      <c r="H128" s="11">
        <v>8130000</v>
      </c>
      <c r="I128" s="11">
        <v>9944706.6169779804</v>
      </c>
      <c r="J128" s="11">
        <v>6550000</v>
      </c>
      <c r="K128" s="11">
        <f t="shared" si="7"/>
        <v>6775862.068965517</v>
      </c>
      <c r="L128" s="18">
        <f t="shared" si="8"/>
        <v>0.68135364168486456</v>
      </c>
      <c r="M128" s="18">
        <f t="shared" si="9"/>
        <v>-0.16656063112355265</v>
      </c>
    </row>
    <row r="129" spans="1:22" x14ac:dyDescent="0.3">
      <c r="A129" s="9" t="s">
        <v>110</v>
      </c>
      <c r="B129" s="10" t="s">
        <v>479</v>
      </c>
      <c r="C129" s="10" t="s">
        <v>22</v>
      </c>
      <c r="D129" s="10" t="s">
        <v>44</v>
      </c>
      <c r="E129" s="10" t="s">
        <v>693</v>
      </c>
      <c r="F129" s="10" t="s">
        <v>694</v>
      </c>
      <c r="G129" s="10" t="s">
        <v>698</v>
      </c>
      <c r="H129" s="11">
        <v>8200000</v>
      </c>
      <c r="I129" s="11">
        <v>14020589.249956967</v>
      </c>
      <c r="J129" s="11">
        <v>1900000</v>
      </c>
      <c r="K129" s="11">
        <f t="shared" si="7"/>
        <v>1965517.2413793104</v>
      </c>
      <c r="L129" s="18">
        <f t="shared" si="8"/>
        <v>0.1401879198041083</v>
      </c>
      <c r="M129" s="18">
        <f t="shared" si="9"/>
        <v>-0.76030277544154756</v>
      </c>
    </row>
    <row r="130" spans="1:22" x14ac:dyDescent="0.3">
      <c r="A130" s="9" t="s">
        <v>156</v>
      </c>
      <c r="B130" s="10" t="s">
        <v>514</v>
      </c>
      <c r="C130" s="10" t="s">
        <v>22</v>
      </c>
      <c r="D130" s="10" t="s">
        <v>46</v>
      </c>
      <c r="E130" s="10" t="s">
        <v>693</v>
      </c>
      <c r="F130" s="10" t="s">
        <v>694</v>
      </c>
      <c r="G130" s="10" t="s">
        <v>700</v>
      </c>
      <c r="H130" s="11">
        <v>20525000</v>
      </c>
      <c r="I130" s="11">
        <v>28860277.018984269</v>
      </c>
      <c r="J130" s="11">
        <v>10700000</v>
      </c>
      <c r="K130" s="11">
        <f t="shared" si="7"/>
        <v>11068965.517241379</v>
      </c>
      <c r="L130" s="18">
        <f t="shared" si="8"/>
        <v>0.38353635725534518</v>
      </c>
      <c r="M130" s="18">
        <f t="shared" si="9"/>
        <v>-0.46070813557898271</v>
      </c>
    </row>
    <row r="131" spans="1:22" x14ac:dyDescent="0.3">
      <c r="A131" s="9" t="s">
        <v>39</v>
      </c>
      <c r="B131" s="10" t="s">
        <v>415</v>
      </c>
      <c r="C131" s="10" t="s">
        <v>22</v>
      </c>
      <c r="D131" s="10" t="s">
        <v>42</v>
      </c>
      <c r="E131" s="10" t="s">
        <v>693</v>
      </c>
      <c r="F131" s="10" t="s">
        <v>694</v>
      </c>
      <c r="G131" s="10" t="s">
        <v>699</v>
      </c>
      <c r="H131" s="11">
        <v>7250000</v>
      </c>
      <c r="I131" s="11">
        <v>14903215.505570453</v>
      </c>
      <c r="J131" s="11">
        <v>3450000</v>
      </c>
      <c r="K131" s="11">
        <f t="shared" si="7"/>
        <v>3568965.5172413792</v>
      </c>
      <c r="L131" s="18">
        <f t="shared" si="8"/>
        <v>0.23947620672246123</v>
      </c>
      <c r="M131" s="18">
        <f t="shared" si="9"/>
        <v>-0.5077288941736029</v>
      </c>
    </row>
    <row r="132" spans="1:22" x14ac:dyDescent="0.3">
      <c r="A132" s="9" t="s">
        <v>102</v>
      </c>
      <c r="B132" s="10" t="s">
        <v>471</v>
      </c>
      <c r="C132" s="10" t="s">
        <v>22</v>
      </c>
      <c r="D132" s="10" t="s">
        <v>28</v>
      </c>
      <c r="E132" s="10" t="s">
        <v>693</v>
      </c>
      <c r="F132" s="10" t="s">
        <v>694</v>
      </c>
      <c r="G132" s="10" t="s">
        <v>695</v>
      </c>
      <c r="H132" s="11">
        <v>21125000</v>
      </c>
      <c r="I132" s="11">
        <v>35902068.58897154</v>
      </c>
      <c r="J132" s="11">
        <v>6165000</v>
      </c>
      <c r="K132" s="11">
        <f t="shared" si="7"/>
        <v>6377586.206896551</v>
      </c>
      <c r="L132" s="18">
        <f t="shared" si="8"/>
        <v>0.17763840518246987</v>
      </c>
      <c r="M132" s="18">
        <f t="shared" si="9"/>
        <v>-0.69810242807590295</v>
      </c>
    </row>
    <row r="133" spans="1:22" x14ac:dyDescent="0.3">
      <c r="A133" s="9" t="s">
        <v>90</v>
      </c>
      <c r="B133" s="10" t="s">
        <v>459</v>
      </c>
      <c r="C133" s="10" t="s">
        <v>22</v>
      </c>
      <c r="D133" s="10" t="s">
        <v>42</v>
      </c>
      <c r="E133" s="10" t="s">
        <v>693</v>
      </c>
      <c r="F133" s="10" t="s">
        <v>694</v>
      </c>
      <c r="G133" s="10" t="s">
        <v>699</v>
      </c>
      <c r="H133" s="11">
        <v>22500000</v>
      </c>
      <c r="I133" s="11">
        <v>33699595.773300551</v>
      </c>
      <c r="J133" s="11">
        <v>17725000</v>
      </c>
      <c r="K133" s="11">
        <f t="shared" si="7"/>
        <v>18336206.896551725</v>
      </c>
      <c r="L133" s="18">
        <f t="shared" si="8"/>
        <v>0.54410762134657709</v>
      </c>
      <c r="M133" s="18">
        <f t="shared" si="9"/>
        <v>-0.18505747126436781</v>
      </c>
    </row>
    <row r="134" spans="1:22" x14ac:dyDescent="0.3">
      <c r="A134" s="9" t="s">
        <v>158</v>
      </c>
      <c r="B134" s="10" t="s">
        <v>516</v>
      </c>
      <c r="C134" s="10" t="s">
        <v>22</v>
      </c>
      <c r="D134" s="10" t="s">
        <v>40</v>
      </c>
      <c r="E134" s="10" t="s">
        <v>693</v>
      </c>
      <c r="F134" s="10" t="s">
        <v>694</v>
      </c>
      <c r="G134" s="10" t="s">
        <v>698</v>
      </c>
      <c r="H134" s="11">
        <v>4400000</v>
      </c>
      <c r="I134" s="11">
        <v>13111626.565748561</v>
      </c>
      <c r="J134" s="11">
        <v>8415000</v>
      </c>
      <c r="K134" s="11">
        <f t="shared" ref="K134:K206" si="10">IFERROR(J134/$A$1*$B$1,0)</f>
        <v>8705172.4137931019</v>
      </c>
      <c r="L134" s="18">
        <f t="shared" ref="L134:L206" si="11">IFERROR(K134/I134,0)</f>
        <v>0.66392772629244812</v>
      </c>
      <c r="M134" s="18">
        <f t="shared" ref="M134:M206" si="12">IFERROR((K134-H134)/H134,0)</f>
        <v>0.97844827586206862</v>
      </c>
    </row>
    <row r="135" spans="1:22" x14ac:dyDescent="0.3">
      <c r="A135" s="9" t="s">
        <v>115</v>
      </c>
      <c r="B135" s="10" t="s">
        <v>484</v>
      </c>
      <c r="C135" s="10" t="s">
        <v>22</v>
      </c>
      <c r="D135" s="10" t="s">
        <v>40</v>
      </c>
      <c r="E135" s="10" t="s">
        <v>693</v>
      </c>
      <c r="F135" s="10" t="s">
        <v>694</v>
      </c>
      <c r="G135" s="10" t="s">
        <v>698</v>
      </c>
      <c r="H135" s="11">
        <v>5515000</v>
      </c>
      <c r="I135" s="11">
        <v>10020050.156620471</v>
      </c>
      <c r="J135" s="11">
        <v>1200000</v>
      </c>
      <c r="K135" s="11">
        <f t="shared" si="10"/>
        <v>1241379.3103448276</v>
      </c>
      <c r="L135" s="18">
        <f t="shared" si="11"/>
        <v>0.12388953058529559</v>
      </c>
      <c r="M135" s="18">
        <f t="shared" si="12"/>
        <v>-0.77490855660111924</v>
      </c>
    </row>
    <row r="136" spans="1:22" x14ac:dyDescent="0.3">
      <c r="A136" s="9" t="s">
        <v>61</v>
      </c>
      <c r="B136" s="10" t="s">
        <v>432</v>
      </c>
      <c r="C136" s="10" t="s">
        <v>22</v>
      </c>
      <c r="D136" s="10" t="s">
        <v>48</v>
      </c>
      <c r="E136" s="10" t="s">
        <v>693</v>
      </c>
      <c r="F136" s="10" t="s">
        <v>694</v>
      </c>
      <c r="G136" s="10" t="s">
        <v>699</v>
      </c>
      <c r="H136" s="11">
        <v>48050000</v>
      </c>
      <c r="I136" s="11">
        <v>72325883.182269454</v>
      </c>
      <c r="J136" s="11">
        <v>35325000</v>
      </c>
      <c r="K136" s="11">
        <f t="shared" si="10"/>
        <v>36543103.448275864</v>
      </c>
      <c r="L136" s="18">
        <f t="shared" si="11"/>
        <v>0.50525623525651375</v>
      </c>
      <c r="M136" s="18">
        <f t="shared" si="12"/>
        <v>-0.23947755570705798</v>
      </c>
    </row>
    <row r="137" spans="1:22" x14ac:dyDescent="0.3">
      <c r="A137" s="9" t="s">
        <v>160</v>
      </c>
      <c r="B137" s="10" t="s">
        <v>518</v>
      </c>
      <c r="C137" s="10" t="s">
        <v>22</v>
      </c>
      <c r="D137" s="10" t="s">
        <v>40</v>
      </c>
      <c r="E137" s="10" t="s">
        <v>693</v>
      </c>
      <c r="F137" s="10" t="s">
        <v>694</v>
      </c>
      <c r="G137" s="10" t="s">
        <v>698</v>
      </c>
      <c r="H137" s="11">
        <v>10800000</v>
      </c>
      <c r="I137" s="11">
        <v>17432224.446050063</v>
      </c>
      <c r="J137" s="11">
        <v>4300000</v>
      </c>
      <c r="K137" s="11">
        <f t="shared" si="10"/>
        <v>4448275.8620689651</v>
      </c>
      <c r="L137" s="18">
        <f t="shared" si="11"/>
        <v>0.25517545829195037</v>
      </c>
      <c r="M137" s="18">
        <f t="shared" si="12"/>
        <v>-0.58812260536398475</v>
      </c>
    </row>
    <row r="138" spans="1:22" x14ac:dyDescent="0.3">
      <c r="A138" s="9" t="s">
        <v>45</v>
      </c>
      <c r="B138" s="10" t="s">
        <v>418</v>
      </c>
      <c r="C138" s="10" t="s">
        <v>22</v>
      </c>
      <c r="D138" s="10" t="s">
        <v>44</v>
      </c>
      <c r="E138" s="10" t="s">
        <v>693</v>
      </c>
      <c r="F138" s="10" t="s">
        <v>694</v>
      </c>
      <c r="G138" s="10" t="s">
        <v>698</v>
      </c>
      <c r="H138" s="11">
        <v>115275000</v>
      </c>
      <c r="I138" s="11">
        <v>153607397.72870418</v>
      </c>
      <c r="J138" s="11">
        <v>88400000</v>
      </c>
      <c r="K138" s="11">
        <f t="shared" si="10"/>
        <v>91448275.862068966</v>
      </c>
      <c r="L138" s="18">
        <f t="shared" si="11"/>
        <v>0.59533770647935591</v>
      </c>
      <c r="M138" s="18">
        <f t="shared" si="12"/>
        <v>-0.20669463576604671</v>
      </c>
    </row>
    <row r="139" spans="1:22" x14ac:dyDescent="0.3">
      <c r="A139" s="9" t="s">
        <v>161</v>
      </c>
      <c r="B139" s="10" t="s">
        <v>519</v>
      </c>
      <c r="C139" s="10" t="s">
        <v>22</v>
      </c>
      <c r="D139" s="10" t="s">
        <v>48</v>
      </c>
      <c r="E139" s="10" t="s">
        <v>693</v>
      </c>
      <c r="F139" s="10" t="s">
        <v>694</v>
      </c>
      <c r="G139" s="10" t="s">
        <v>699</v>
      </c>
      <c r="H139" s="11">
        <v>110700000</v>
      </c>
      <c r="I139" s="11">
        <v>163903838.02649778</v>
      </c>
      <c r="J139" s="11">
        <v>76725000</v>
      </c>
      <c r="K139" s="11">
        <f t="shared" si="10"/>
        <v>79370689.655172408</v>
      </c>
      <c r="L139" s="18">
        <f t="shared" si="11"/>
        <v>0.48425156244566292</v>
      </c>
      <c r="M139" s="18">
        <f t="shared" si="12"/>
        <v>-0.28301093355761148</v>
      </c>
      <c r="T139" s="16"/>
      <c r="U139" s="16"/>
      <c r="V139" s="16"/>
    </row>
    <row r="140" spans="1:22" x14ac:dyDescent="0.3">
      <c r="A140" s="9" t="s">
        <v>43</v>
      </c>
      <c r="B140" s="10" t="s">
        <v>417</v>
      </c>
      <c r="C140" s="10" t="s">
        <v>22</v>
      </c>
      <c r="D140" s="10" t="s">
        <v>44</v>
      </c>
      <c r="E140" s="10" t="s">
        <v>693</v>
      </c>
      <c r="F140" s="10" t="s">
        <v>694</v>
      </c>
      <c r="G140" s="10" t="s">
        <v>698</v>
      </c>
      <c r="H140" s="11">
        <v>158100000</v>
      </c>
      <c r="I140" s="11">
        <v>212035832.2595821</v>
      </c>
      <c r="J140" s="11">
        <v>153575000</v>
      </c>
      <c r="K140" s="11">
        <f t="shared" si="10"/>
        <v>158870689.65517244</v>
      </c>
      <c r="L140" s="18">
        <f t="shared" si="11"/>
        <v>0.74926340497334931</v>
      </c>
      <c r="M140" s="18">
        <f t="shared" si="12"/>
        <v>4.8746973761697497E-3</v>
      </c>
    </row>
    <row r="141" spans="1:22" x14ac:dyDescent="0.3">
      <c r="A141" s="9" t="s">
        <v>19</v>
      </c>
      <c r="B141" s="10" t="s">
        <v>404</v>
      </c>
      <c r="C141" s="10" t="s">
        <v>22</v>
      </c>
      <c r="D141" s="10" t="s">
        <v>28</v>
      </c>
      <c r="E141" s="10" t="s">
        <v>693</v>
      </c>
      <c r="F141" s="10" t="s">
        <v>694</v>
      </c>
      <c r="G141" s="10" t="s">
        <v>695</v>
      </c>
      <c r="H141" s="11">
        <v>107825000</v>
      </c>
      <c r="I141" s="11">
        <v>153004507.05249077</v>
      </c>
      <c r="J141" s="11">
        <v>24375000</v>
      </c>
      <c r="K141" s="11">
        <f t="shared" si="10"/>
        <v>25215517.241379313</v>
      </c>
      <c r="L141" s="18">
        <f t="shared" si="11"/>
        <v>0.16480244750390721</v>
      </c>
      <c r="M141" s="18">
        <f t="shared" si="12"/>
        <v>-0.7661440552619585</v>
      </c>
    </row>
    <row r="142" spans="1:22" x14ac:dyDescent="0.3">
      <c r="A142" s="9" t="s">
        <v>66</v>
      </c>
      <c r="B142" s="10" t="s">
        <v>436</v>
      </c>
      <c r="C142" s="10" t="s">
        <v>22</v>
      </c>
      <c r="D142" s="10" t="s">
        <v>42</v>
      </c>
      <c r="E142" s="10" t="s">
        <v>693</v>
      </c>
      <c r="F142" s="10" t="s">
        <v>694</v>
      </c>
      <c r="G142" s="10" t="s">
        <v>699</v>
      </c>
      <c r="H142" s="11">
        <v>30000000</v>
      </c>
      <c r="I142" s="11">
        <v>52672501.292153344</v>
      </c>
      <c r="J142" s="11">
        <v>18050000</v>
      </c>
      <c r="K142" s="11">
        <f t="shared" si="10"/>
        <v>18672413.793103445</v>
      </c>
      <c r="L142" s="18">
        <f t="shared" si="11"/>
        <v>0.3545002294372735</v>
      </c>
      <c r="M142" s="18">
        <f t="shared" si="12"/>
        <v>-0.37758620689655181</v>
      </c>
    </row>
    <row r="143" spans="1:22" x14ac:dyDescent="0.3">
      <c r="A143" s="9" t="s">
        <v>35</v>
      </c>
      <c r="B143" s="10" t="s">
        <v>413</v>
      </c>
      <c r="C143" s="10" t="s">
        <v>22</v>
      </c>
      <c r="D143" s="10" t="s">
        <v>40</v>
      </c>
      <c r="E143" s="10" t="s">
        <v>693</v>
      </c>
      <c r="F143" s="10" t="s">
        <v>694</v>
      </c>
      <c r="G143" s="10" t="s">
        <v>698</v>
      </c>
      <c r="H143" s="11">
        <v>32450000</v>
      </c>
      <c r="I143" s="11">
        <v>39078633.364970803</v>
      </c>
      <c r="J143" s="11">
        <v>12500000</v>
      </c>
      <c r="K143" s="11">
        <f t="shared" si="10"/>
        <v>12931034.482758621</v>
      </c>
      <c r="L143" s="18">
        <f t="shared" si="11"/>
        <v>0.33089781728011258</v>
      </c>
      <c r="M143" s="18">
        <f t="shared" si="12"/>
        <v>-0.60150895276552796</v>
      </c>
    </row>
    <row r="144" spans="1:22" x14ac:dyDescent="0.3">
      <c r="A144" s="9" t="s">
        <v>53</v>
      </c>
      <c r="B144" s="10" t="s">
        <v>424</v>
      </c>
      <c r="C144" s="10" t="s">
        <v>22</v>
      </c>
      <c r="D144" s="10" t="s">
        <v>28</v>
      </c>
      <c r="E144" s="10" t="s">
        <v>693</v>
      </c>
      <c r="F144" s="10" t="s">
        <v>694</v>
      </c>
      <c r="G144" s="10" t="s">
        <v>695</v>
      </c>
      <c r="H144" s="11">
        <v>51250000</v>
      </c>
      <c r="I144" s="11">
        <v>67462541.334302396</v>
      </c>
      <c r="J144" s="11">
        <v>23750000</v>
      </c>
      <c r="K144" s="11">
        <f t="shared" si="10"/>
        <v>24568965.517241381</v>
      </c>
      <c r="L144" s="18">
        <f t="shared" si="11"/>
        <v>0.36418677730346488</v>
      </c>
      <c r="M144" s="18">
        <f t="shared" si="12"/>
        <v>-0.52060555088309501</v>
      </c>
    </row>
    <row r="145" spans="1:23" x14ac:dyDescent="0.3">
      <c r="A145" s="9" t="s">
        <v>68</v>
      </c>
      <c r="B145" s="10" t="s">
        <v>437</v>
      </c>
      <c r="C145" s="10" t="s">
        <v>22</v>
      </c>
      <c r="D145" s="10" t="s">
        <v>28</v>
      </c>
      <c r="E145" s="10" t="s">
        <v>693</v>
      </c>
      <c r="F145" s="10" t="s">
        <v>694</v>
      </c>
      <c r="G145" s="10" t="s">
        <v>695</v>
      </c>
      <c r="H145" s="11">
        <v>20900000</v>
      </c>
      <c r="I145" s="11">
        <v>40644227.275633596</v>
      </c>
      <c r="J145" s="11">
        <v>10365000</v>
      </c>
      <c r="K145" s="11">
        <f t="shared" si="10"/>
        <v>10722413.793103449</v>
      </c>
      <c r="L145" s="18">
        <f t="shared" si="11"/>
        <v>0.263811481034887</v>
      </c>
      <c r="M145" s="18">
        <f t="shared" si="12"/>
        <v>-0.48696584721993069</v>
      </c>
    </row>
    <row r="146" spans="1:23" x14ac:dyDescent="0.3">
      <c r="A146" s="9" t="s">
        <v>76</v>
      </c>
      <c r="B146" s="10" t="s">
        <v>445</v>
      </c>
      <c r="C146" s="10" t="s">
        <v>22</v>
      </c>
      <c r="D146" s="10" t="s">
        <v>48</v>
      </c>
      <c r="E146" s="10" t="s">
        <v>693</v>
      </c>
      <c r="F146" s="10" t="s">
        <v>694</v>
      </c>
      <c r="G146" s="10" t="s">
        <v>699</v>
      </c>
      <c r="H146" s="11">
        <v>21300000</v>
      </c>
      <c r="I146" s="11">
        <v>38856126.13311211</v>
      </c>
      <c r="J146" s="11">
        <v>7600000</v>
      </c>
      <c r="K146" s="11">
        <f t="shared" si="10"/>
        <v>7862068.9655172415</v>
      </c>
      <c r="L146" s="18">
        <f t="shared" si="11"/>
        <v>0.20233795151332404</v>
      </c>
      <c r="M146" s="18">
        <f t="shared" si="12"/>
        <v>-0.63088878096163181</v>
      </c>
    </row>
    <row r="147" spans="1:23" x14ac:dyDescent="0.3">
      <c r="A147" s="9" t="s">
        <v>73</v>
      </c>
      <c r="B147" s="10" t="s">
        <v>442</v>
      </c>
      <c r="C147" s="10" t="s">
        <v>22</v>
      </c>
      <c r="D147" s="10" t="s">
        <v>44</v>
      </c>
      <c r="E147" s="10" t="s">
        <v>693</v>
      </c>
      <c r="F147" s="10" t="s">
        <v>694</v>
      </c>
      <c r="G147" s="10" t="s">
        <v>699</v>
      </c>
      <c r="H147" s="11">
        <v>6000000</v>
      </c>
      <c r="I147" s="11">
        <v>14136255.997164378</v>
      </c>
      <c r="J147" s="11">
        <v>11925000</v>
      </c>
      <c r="K147" s="11">
        <f t="shared" si="10"/>
        <v>12336206.896551723</v>
      </c>
      <c r="L147" s="18">
        <f t="shared" si="11"/>
        <v>0.87266436735626951</v>
      </c>
      <c r="M147" s="18">
        <f t="shared" si="12"/>
        <v>1.0560344827586206</v>
      </c>
    </row>
    <row r="148" spans="1:23" x14ac:dyDescent="0.3">
      <c r="A148" s="9" t="s">
        <v>79</v>
      </c>
      <c r="B148" s="10" t="s">
        <v>448</v>
      </c>
      <c r="C148" s="10" t="s">
        <v>22</v>
      </c>
      <c r="D148" s="10" t="s">
        <v>40</v>
      </c>
      <c r="E148" s="10" t="s">
        <v>693</v>
      </c>
      <c r="F148" s="10" t="s">
        <v>694</v>
      </c>
      <c r="G148" s="10" t="s">
        <v>698</v>
      </c>
      <c r="H148" s="11">
        <v>24350000</v>
      </c>
      <c r="I148" s="11">
        <v>43376453.793514535</v>
      </c>
      <c r="J148" s="11">
        <v>13875000</v>
      </c>
      <c r="K148" s="11">
        <f t="shared" si="10"/>
        <v>14353448.27586207</v>
      </c>
      <c r="L148" s="18">
        <f t="shared" si="11"/>
        <v>0.33090414315999567</v>
      </c>
      <c r="M148" s="18">
        <f t="shared" si="12"/>
        <v>-0.41053600509806693</v>
      </c>
    </row>
    <row r="149" spans="1:23" x14ac:dyDescent="0.3">
      <c r="A149" s="9" t="s">
        <v>75</v>
      </c>
      <c r="B149" s="10" t="s">
        <v>444</v>
      </c>
      <c r="C149" s="10" t="s">
        <v>22</v>
      </c>
      <c r="D149" s="10" t="s">
        <v>28</v>
      </c>
      <c r="E149" s="10" t="s">
        <v>693</v>
      </c>
      <c r="F149" s="10" t="s">
        <v>694</v>
      </c>
      <c r="G149" s="10" t="s">
        <v>695</v>
      </c>
      <c r="H149" s="11">
        <v>15300000</v>
      </c>
      <c r="I149" s="11">
        <v>18382471.261569418</v>
      </c>
      <c r="J149" s="11">
        <v>9150000</v>
      </c>
      <c r="K149" s="11">
        <f t="shared" si="10"/>
        <v>9465517.2413793094</v>
      </c>
      <c r="L149" s="18">
        <f t="shared" si="11"/>
        <v>0.5149208235765349</v>
      </c>
      <c r="M149" s="18">
        <f t="shared" si="12"/>
        <v>-0.38133874239350918</v>
      </c>
    </row>
    <row r="150" spans="1:23" x14ac:dyDescent="0.3">
      <c r="A150" s="9" t="s">
        <v>193</v>
      </c>
      <c r="B150" s="10" t="s">
        <v>551</v>
      </c>
      <c r="C150" s="10" t="s">
        <v>22</v>
      </c>
      <c r="D150" s="10" t="s">
        <v>44</v>
      </c>
      <c r="E150" s="10" t="s">
        <v>693</v>
      </c>
      <c r="F150" s="10" t="s">
        <v>694</v>
      </c>
      <c r="G150" s="10" t="s">
        <v>698</v>
      </c>
      <c r="H150" s="11">
        <v>20725000</v>
      </c>
      <c r="I150" s="11">
        <v>26738415.028674755</v>
      </c>
      <c r="J150" s="11">
        <v>8250000</v>
      </c>
      <c r="K150" s="11">
        <f t="shared" si="10"/>
        <v>8534482.7586206906</v>
      </c>
      <c r="L150" s="18">
        <f t="shared" si="11"/>
        <v>0.31918431774913203</v>
      </c>
      <c r="M150" s="18">
        <f t="shared" si="12"/>
        <v>-0.58820348571190872</v>
      </c>
    </row>
    <row r="151" spans="1:23" x14ac:dyDescent="0.3">
      <c r="A151" s="9" t="s">
        <v>230</v>
      </c>
      <c r="B151" s="10" t="s">
        <v>588</v>
      </c>
      <c r="C151" s="10" t="s">
        <v>118</v>
      </c>
      <c r="D151" s="10" t="s">
        <v>138</v>
      </c>
      <c r="E151" s="10" t="s">
        <v>703</v>
      </c>
      <c r="F151" s="10" t="s">
        <v>694</v>
      </c>
      <c r="G151" s="10" t="s">
        <v>699</v>
      </c>
      <c r="H151" s="11">
        <v>13400000</v>
      </c>
      <c r="I151" s="11">
        <v>11337641.101692058</v>
      </c>
      <c r="J151" s="11">
        <v>14945000</v>
      </c>
      <c r="K151" s="11">
        <f t="shared" si="10"/>
        <v>15460344.827586208</v>
      </c>
      <c r="L151" s="18">
        <f t="shared" si="11"/>
        <v>1.3636297611571835</v>
      </c>
      <c r="M151" s="18">
        <f t="shared" si="12"/>
        <v>0.15375707668553787</v>
      </c>
    </row>
    <row r="152" spans="1:23" x14ac:dyDescent="0.3">
      <c r="A152" s="9" t="s">
        <v>241</v>
      </c>
      <c r="B152" s="10" t="s">
        <v>597</v>
      </c>
      <c r="C152" s="10" t="s">
        <v>118</v>
      </c>
      <c r="D152" s="10" t="s">
        <v>138</v>
      </c>
      <c r="E152" s="10" t="s">
        <v>703</v>
      </c>
      <c r="F152" s="10" t="s">
        <v>694</v>
      </c>
      <c r="G152" s="10" t="s">
        <v>698</v>
      </c>
      <c r="H152" s="11">
        <v>6650000</v>
      </c>
      <c r="I152" s="11">
        <v>4768073.0916660326</v>
      </c>
      <c r="J152" s="11">
        <v>7350000</v>
      </c>
      <c r="K152" s="11">
        <f t="shared" si="10"/>
        <v>7603448.2758620689</v>
      </c>
      <c r="L152" s="18">
        <f t="shared" si="11"/>
        <v>1.5946584982415435</v>
      </c>
      <c r="M152" s="18">
        <f t="shared" si="12"/>
        <v>0.14337568058076225</v>
      </c>
    </row>
    <row r="153" spans="1:23" x14ac:dyDescent="0.3">
      <c r="A153" s="9" t="s">
        <v>163</v>
      </c>
      <c r="B153" s="10" t="s">
        <v>521</v>
      </c>
      <c r="C153" s="10" t="s">
        <v>118</v>
      </c>
      <c r="D153" s="10" t="s">
        <v>123</v>
      </c>
      <c r="E153" s="10" t="s">
        <v>702</v>
      </c>
      <c r="F153" s="10" t="s">
        <v>694</v>
      </c>
      <c r="G153" s="10" t="s">
        <v>696</v>
      </c>
      <c r="H153" s="11">
        <v>9550000</v>
      </c>
      <c r="I153" s="11">
        <v>10199650.896147301</v>
      </c>
      <c r="J153" s="11">
        <v>11050000</v>
      </c>
      <c r="K153" s="11">
        <f t="shared" si="10"/>
        <v>11431034.482758621</v>
      </c>
      <c r="L153" s="18">
        <f t="shared" si="11"/>
        <v>1.1207280130613537</v>
      </c>
      <c r="M153" s="18">
        <f t="shared" si="12"/>
        <v>0.19696696154540533</v>
      </c>
    </row>
    <row r="154" spans="1:23" x14ac:dyDescent="0.3">
      <c r="A154" s="9" t="s">
        <v>164</v>
      </c>
      <c r="B154" s="10" t="s">
        <v>522</v>
      </c>
      <c r="C154" s="10" t="s">
        <v>118</v>
      </c>
      <c r="D154" s="10" t="s">
        <v>138</v>
      </c>
      <c r="E154" s="10" t="s">
        <v>702</v>
      </c>
      <c r="F154" s="10" t="s">
        <v>694</v>
      </c>
      <c r="G154" s="10" t="s">
        <v>698</v>
      </c>
      <c r="H154" s="11">
        <v>25400000</v>
      </c>
      <c r="I154" s="11">
        <v>40444660.322383165</v>
      </c>
      <c r="J154" s="11">
        <v>27725000</v>
      </c>
      <c r="K154" s="11">
        <f t="shared" si="10"/>
        <v>28681034.482758619</v>
      </c>
      <c r="L154" s="18">
        <f t="shared" si="11"/>
        <v>0.70914267184204194</v>
      </c>
      <c r="M154" s="18">
        <f t="shared" si="12"/>
        <v>0.1291745859353787</v>
      </c>
    </row>
    <row r="155" spans="1:23" x14ac:dyDescent="0.3">
      <c r="A155" s="9" t="s">
        <v>165</v>
      </c>
      <c r="B155" s="10" t="s">
        <v>523</v>
      </c>
      <c r="C155" s="10" t="s">
        <v>118</v>
      </c>
      <c r="D155" s="10" t="s">
        <v>138</v>
      </c>
      <c r="E155" s="10" t="s">
        <v>703</v>
      </c>
      <c r="F155" s="10" t="s">
        <v>694</v>
      </c>
      <c r="G155" s="10" t="s">
        <v>698</v>
      </c>
      <c r="H155" s="11">
        <v>55075000</v>
      </c>
      <c r="I155" s="11">
        <v>61848129.558299541</v>
      </c>
      <c r="J155" s="11">
        <v>47375000</v>
      </c>
      <c r="K155" s="11">
        <f t="shared" si="10"/>
        <v>49008620.68965517</v>
      </c>
      <c r="L155" s="18">
        <f t="shared" si="11"/>
        <v>0.79240263270142164</v>
      </c>
      <c r="M155" s="18">
        <f t="shared" si="12"/>
        <v>-0.11014760436395515</v>
      </c>
    </row>
    <row r="156" spans="1:23" x14ac:dyDescent="0.3">
      <c r="A156" s="9" t="s">
        <v>166</v>
      </c>
      <c r="B156" s="10" t="s">
        <v>524</v>
      </c>
      <c r="C156" s="10" t="s">
        <v>118</v>
      </c>
      <c r="D156" s="10" t="s">
        <v>138</v>
      </c>
      <c r="E156" s="10" t="s">
        <v>703</v>
      </c>
      <c r="F156" s="10" t="s">
        <v>694</v>
      </c>
      <c r="G156" s="10" t="s">
        <v>698</v>
      </c>
      <c r="H156" s="11">
        <v>53300000</v>
      </c>
      <c r="I156" s="11">
        <v>65269804.090950362</v>
      </c>
      <c r="J156" s="11">
        <v>57565000</v>
      </c>
      <c r="K156" s="11">
        <f t="shared" si="10"/>
        <v>59550000</v>
      </c>
      <c r="L156" s="18">
        <f t="shared" si="11"/>
        <v>0.91236676483692081</v>
      </c>
      <c r="M156" s="18">
        <f t="shared" si="12"/>
        <v>0.11726078799249531</v>
      </c>
      <c r="W156" s="16"/>
    </row>
    <row r="157" spans="1:23" x14ac:dyDescent="0.3">
      <c r="A157" s="9" t="s">
        <v>167</v>
      </c>
      <c r="B157" s="10" t="s">
        <v>525</v>
      </c>
      <c r="C157" s="10" t="s">
        <v>118</v>
      </c>
      <c r="D157" s="10" t="s">
        <v>138</v>
      </c>
      <c r="E157" s="10" t="s">
        <v>703</v>
      </c>
      <c r="F157" s="10" t="s">
        <v>694</v>
      </c>
      <c r="G157" s="10" t="s">
        <v>700</v>
      </c>
      <c r="H157" s="11">
        <v>39950000</v>
      </c>
      <c r="I157" s="11">
        <v>41288282.858453438</v>
      </c>
      <c r="J157" s="11">
        <v>24150000</v>
      </c>
      <c r="K157" s="11">
        <f t="shared" si="10"/>
        <v>24982758.620689657</v>
      </c>
      <c r="L157" s="18">
        <f t="shared" si="11"/>
        <v>0.60508107606065387</v>
      </c>
      <c r="M157" s="18">
        <f t="shared" si="12"/>
        <v>-0.37464934616546541</v>
      </c>
    </row>
    <row r="158" spans="1:23" x14ac:dyDescent="0.3">
      <c r="A158" s="9" t="s">
        <v>168</v>
      </c>
      <c r="B158" s="10" t="s">
        <v>526</v>
      </c>
      <c r="C158" s="10" t="s">
        <v>118</v>
      </c>
      <c r="D158" s="10" t="s">
        <v>123</v>
      </c>
      <c r="E158" s="10" t="s">
        <v>703</v>
      </c>
      <c r="F158" s="10" t="s">
        <v>694</v>
      </c>
      <c r="G158" s="10" t="s">
        <v>696</v>
      </c>
      <c r="H158" s="11">
        <v>41275000</v>
      </c>
      <c r="I158" s="11">
        <v>52537039.557213068</v>
      </c>
      <c r="J158" s="11">
        <v>27800000</v>
      </c>
      <c r="K158" s="11">
        <f t="shared" si="10"/>
        <v>28758620.689655174</v>
      </c>
      <c r="L158" s="18">
        <f t="shared" si="11"/>
        <v>0.54739705419329743</v>
      </c>
      <c r="M158" s="18">
        <f t="shared" si="12"/>
        <v>-0.30324359322458694</v>
      </c>
    </row>
    <row r="159" spans="1:23" x14ac:dyDescent="0.3">
      <c r="A159" s="9" t="s">
        <v>169</v>
      </c>
      <c r="B159" s="10" t="s">
        <v>527</v>
      </c>
      <c r="C159" s="10" t="s">
        <v>118</v>
      </c>
      <c r="D159" s="10" t="s">
        <v>138</v>
      </c>
      <c r="E159" s="10" t="s">
        <v>703</v>
      </c>
      <c r="F159" s="10" t="s">
        <v>694</v>
      </c>
      <c r="G159" s="10" t="s">
        <v>699</v>
      </c>
      <c r="H159" s="11">
        <v>51475000</v>
      </c>
      <c r="I159" s="11">
        <v>62111550.587613955</v>
      </c>
      <c r="J159" s="11">
        <v>41040000</v>
      </c>
      <c r="K159" s="11">
        <f t="shared" si="10"/>
        <v>42455172.413793109</v>
      </c>
      <c r="L159" s="18">
        <f t="shared" si="11"/>
        <v>0.68353103427849948</v>
      </c>
      <c r="M159" s="18">
        <f t="shared" si="12"/>
        <v>-0.17522734504530141</v>
      </c>
    </row>
    <row r="160" spans="1:23" x14ac:dyDescent="0.3">
      <c r="A160" s="9" t="s">
        <v>170</v>
      </c>
      <c r="B160" s="10" t="s">
        <v>528</v>
      </c>
      <c r="C160" s="10" t="s">
        <v>118</v>
      </c>
      <c r="D160" s="10" t="s">
        <v>123</v>
      </c>
      <c r="E160" s="10" t="s">
        <v>703</v>
      </c>
      <c r="F160" s="10" t="s">
        <v>694</v>
      </c>
      <c r="G160" s="10" t="s">
        <v>696</v>
      </c>
      <c r="H160" s="11">
        <v>50675000</v>
      </c>
      <c r="I160" s="11">
        <v>55283205.633123584</v>
      </c>
      <c r="J160" s="11">
        <v>46550000</v>
      </c>
      <c r="K160" s="11">
        <f t="shared" si="10"/>
        <v>48155172.413793109</v>
      </c>
      <c r="L160" s="18">
        <f t="shared" si="11"/>
        <v>0.87106331592573871</v>
      </c>
      <c r="M160" s="18">
        <f t="shared" si="12"/>
        <v>-4.9725260704625372E-2</v>
      </c>
    </row>
    <row r="161" spans="1:13" x14ac:dyDescent="0.3">
      <c r="A161" s="9" t="s">
        <v>171</v>
      </c>
      <c r="B161" s="10" t="s">
        <v>529</v>
      </c>
      <c r="C161" s="10" t="s">
        <v>118</v>
      </c>
      <c r="D161" s="10" t="s">
        <v>138</v>
      </c>
      <c r="E161" s="10" t="s">
        <v>703</v>
      </c>
      <c r="F161" s="10" t="s">
        <v>694</v>
      </c>
      <c r="G161" s="10" t="s">
        <v>699</v>
      </c>
      <c r="H161" s="11">
        <v>35165000</v>
      </c>
      <c r="I161" s="11">
        <v>53977372.623414397</v>
      </c>
      <c r="J161" s="11">
        <v>30600000</v>
      </c>
      <c r="K161" s="11">
        <f t="shared" si="10"/>
        <v>31655172.413793106</v>
      </c>
      <c r="L161" s="18">
        <f t="shared" si="11"/>
        <v>0.5864526351558963</v>
      </c>
      <c r="M161" s="18">
        <f t="shared" si="12"/>
        <v>-9.9810254122192354E-2</v>
      </c>
    </row>
    <row r="162" spans="1:13" x14ac:dyDescent="0.3">
      <c r="A162" s="9" t="s">
        <v>172</v>
      </c>
      <c r="B162" s="10" t="s">
        <v>530</v>
      </c>
      <c r="C162" s="10" t="s">
        <v>118</v>
      </c>
      <c r="D162" s="10" t="s">
        <v>138</v>
      </c>
      <c r="E162" s="10" t="s">
        <v>703</v>
      </c>
      <c r="F162" s="10" t="s">
        <v>694</v>
      </c>
      <c r="G162" s="10" t="s">
        <v>695</v>
      </c>
      <c r="H162" s="11">
        <v>104850000</v>
      </c>
      <c r="I162" s="11">
        <v>104645800.49119228</v>
      </c>
      <c r="J162" s="11">
        <v>77625000</v>
      </c>
      <c r="K162" s="11">
        <f t="shared" si="10"/>
        <v>80301724.137931034</v>
      </c>
      <c r="L162" s="18">
        <f t="shared" si="11"/>
        <v>0.76736690589594936</v>
      </c>
      <c r="M162" s="18">
        <f t="shared" si="12"/>
        <v>-0.23412757140742935</v>
      </c>
    </row>
    <row r="163" spans="1:13" x14ac:dyDescent="0.3">
      <c r="A163" s="9" t="s">
        <v>173</v>
      </c>
      <c r="B163" s="10" t="s">
        <v>531</v>
      </c>
      <c r="C163" s="10" t="s">
        <v>118</v>
      </c>
      <c r="D163" s="10" t="s">
        <v>138</v>
      </c>
      <c r="E163" s="10" t="s">
        <v>703</v>
      </c>
      <c r="F163" s="10" t="s">
        <v>694</v>
      </c>
      <c r="G163" s="10" t="s">
        <v>698</v>
      </c>
      <c r="H163" s="11">
        <v>53900000</v>
      </c>
      <c r="I163" s="11">
        <v>101015800.49119228</v>
      </c>
      <c r="J163" s="11">
        <v>64075000</v>
      </c>
      <c r="K163" s="11">
        <f t="shared" si="10"/>
        <v>66284482.758620687</v>
      </c>
      <c r="L163" s="18">
        <f t="shared" si="11"/>
        <v>0.65617935448029374</v>
      </c>
      <c r="M163" s="18">
        <f t="shared" si="12"/>
        <v>0.22976776917663613</v>
      </c>
    </row>
    <row r="164" spans="1:13" x14ac:dyDescent="0.3">
      <c r="A164" s="9" t="s">
        <v>174</v>
      </c>
      <c r="B164" s="10" t="s">
        <v>532</v>
      </c>
      <c r="C164" s="10" t="s">
        <v>118</v>
      </c>
      <c r="D164" s="10" t="s">
        <v>138</v>
      </c>
      <c r="E164" s="10" t="s">
        <v>703</v>
      </c>
      <c r="F164" s="10" t="s">
        <v>694</v>
      </c>
      <c r="G164" s="10" t="s">
        <v>698</v>
      </c>
      <c r="H164" s="11">
        <v>29350000</v>
      </c>
      <c r="I164" s="11">
        <v>31127145.928936847</v>
      </c>
      <c r="J164" s="11">
        <v>26150000</v>
      </c>
      <c r="K164" s="11">
        <f t="shared" si="10"/>
        <v>27051724.137931034</v>
      </c>
      <c r="L164" s="18">
        <f t="shared" si="11"/>
        <v>0.86907178061522294</v>
      </c>
      <c r="M164" s="18">
        <f t="shared" si="12"/>
        <v>-7.8305821535569545E-2</v>
      </c>
    </row>
    <row r="165" spans="1:13" x14ac:dyDescent="0.3">
      <c r="A165" s="9" t="s">
        <v>229</v>
      </c>
      <c r="B165" s="10" t="s">
        <v>587</v>
      </c>
      <c r="C165" s="10" t="s">
        <v>118</v>
      </c>
      <c r="D165" s="10" t="s">
        <v>123</v>
      </c>
      <c r="E165" s="10" t="s">
        <v>703</v>
      </c>
      <c r="F165" s="10" t="s">
        <v>694</v>
      </c>
      <c r="G165" s="10" t="s">
        <v>696</v>
      </c>
      <c r="H165" s="11">
        <v>8275000</v>
      </c>
      <c r="I165" s="11">
        <v>7874816.7744352594</v>
      </c>
      <c r="J165" s="11">
        <v>8800000</v>
      </c>
      <c r="K165" s="11">
        <f t="shared" si="10"/>
        <v>9103448.2758620698</v>
      </c>
      <c r="L165" s="18">
        <f t="shared" si="11"/>
        <v>1.1560203286780499</v>
      </c>
      <c r="M165" s="18">
        <f t="shared" si="12"/>
        <v>0.10011459527034076</v>
      </c>
    </row>
    <row r="166" spans="1:13" x14ac:dyDescent="0.3">
      <c r="A166" s="9" t="s">
        <v>218</v>
      </c>
      <c r="B166" s="10" t="s">
        <v>576</v>
      </c>
      <c r="C166" s="10" t="s">
        <v>118</v>
      </c>
      <c r="D166" s="10" t="s">
        <v>123</v>
      </c>
      <c r="E166" s="10" t="s">
        <v>702</v>
      </c>
      <c r="F166" s="10" t="s">
        <v>694</v>
      </c>
      <c r="G166" s="10" t="s">
        <v>696</v>
      </c>
      <c r="H166" s="11">
        <v>15650000</v>
      </c>
      <c r="I166" s="11">
        <v>15937774.40510826</v>
      </c>
      <c r="J166" s="11">
        <v>9525000</v>
      </c>
      <c r="K166" s="11">
        <f t="shared" si="10"/>
        <v>9853448.2758620698</v>
      </c>
      <c r="L166" s="18">
        <f t="shared" si="11"/>
        <v>0.61824493341453712</v>
      </c>
      <c r="M166" s="18">
        <f t="shared" si="12"/>
        <v>-0.37038669163820642</v>
      </c>
    </row>
    <row r="167" spans="1:13" x14ac:dyDescent="0.3">
      <c r="A167" s="9" t="s">
        <v>219</v>
      </c>
      <c r="B167" s="10" t="s">
        <v>577</v>
      </c>
      <c r="C167" s="10" t="s">
        <v>118</v>
      </c>
      <c r="D167" s="10" t="s">
        <v>138</v>
      </c>
      <c r="E167" s="10" t="s">
        <v>706</v>
      </c>
      <c r="F167" s="10" t="s">
        <v>694</v>
      </c>
      <c r="G167" s="10" t="s">
        <v>699</v>
      </c>
      <c r="H167" s="11">
        <v>9475000</v>
      </c>
      <c r="I167" s="11">
        <v>8093446.4875418171</v>
      </c>
      <c r="J167" s="11">
        <v>13800000</v>
      </c>
      <c r="K167" s="11">
        <f t="shared" si="10"/>
        <v>14275862.068965517</v>
      </c>
      <c r="L167" s="18">
        <f t="shared" si="11"/>
        <v>1.7638792189384642</v>
      </c>
      <c r="M167" s="18">
        <f t="shared" si="12"/>
        <v>0.50668728960058229</v>
      </c>
    </row>
    <row r="168" spans="1:13" x14ac:dyDescent="0.3">
      <c r="A168" s="9" t="s">
        <v>224</v>
      </c>
      <c r="B168" s="10" t="s">
        <v>582</v>
      </c>
      <c r="C168" s="10" t="s">
        <v>118</v>
      </c>
      <c r="D168" s="10" t="s">
        <v>123</v>
      </c>
      <c r="E168" s="10" t="s">
        <v>703</v>
      </c>
      <c r="F168" s="10" t="s">
        <v>694</v>
      </c>
      <c r="G168" s="10" t="s">
        <v>697</v>
      </c>
      <c r="H168" s="11">
        <v>8300000</v>
      </c>
      <c r="I168" s="11">
        <v>6188280.7136105243</v>
      </c>
      <c r="J168" s="11">
        <v>3300000</v>
      </c>
      <c r="K168" s="11">
        <f t="shared" si="10"/>
        <v>3413793.1034482755</v>
      </c>
      <c r="L168" s="18">
        <f t="shared" si="11"/>
        <v>0.55165453240347806</v>
      </c>
      <c r="M168" s="18">
        <f t="shared" si="12"/>
        <v>-0.58869962609056925</v>
      </c>
    </row>
    <row r="169" spans="1:13" x14ac:dyDescent="0.3">
      <c r="A169" s="9" t="s">
        <v>227</v>
      </c>
      <c r="B169" s="10" t="s">
        <v>585</v>
      </c>
      <c r="C169" s="10" t="s">
        <v>118</v>
      </c>
      <c r="D169" s="10" t="s">
        <v>123</v>
      </c>
      <c r="E169" s="10" t="s">
        <v>702</v>
      </c>
      <c r="F169" s="10" t="s">
        <v>694</v>
      </c>
      <c r="G169" s="10" t="s">
        <v>697</v>
      </c>
      <c r="H169" s="11">
        <v>4700000</v>
      </c>
      <c r="I169" s="11">
        <v>11082704.676433798</v>
      </c>
      <c r="J169" s="11">
        <v>9200000</v>
      </c>
      <c r="K169" s="11">
        <f t="shared" si="10"/>
        <v>9517241.3793103434</v>
      </c>
      <c r="L169" s="18">
        <f t="shared" si="11"/>
        <v>0.8587471792465744</v>
      </c>
      <c r="M169" s="18">
        <f t="shared" si="12"/>
        <v>1.0249449743213497</v>
      </c>
    </row>
    <row r="170" spans="1:13" x14ac:dyDescent="0.3">
      <c r="A170" s="9" t="s">
        <v>233</v>
      </c>
      <c r="B170" s="10" t="s">
        <v>591</v>
      </c>
      <c r="C170" s="10" t="s">
        <v>118</v>
      </c>
      <c r="D170" s="10" t="s">
        <v>123</v>
      </c>
      <c r="E170" s="10" t="s">
        <v>702</v>
      </c>
      <c r="F170" s="10" t="s">
        <v>694</v>
      </c>
      <c r="G170" s="10" t="s">
        <v>696</v>
      </c>
      <c r="H170" s="11">
        <v>9900000</v>
      </c>
      <c r="I170" s="11">
        <v>6349494.9885885511</v>
      </c>
      <c r="J170" s="11">
        <v>5850000</v>
      </c>
      <c r="K170" s="11">
        <f t="shared" si="10"/>
        <v>6051724.1379310349</v>
      </c>
      <c r="L170" s="18">
        <f t="shared" si="11"/>
        <v>0.95310322298187866</v>
      </c>
      <c r="M170" s="18">
        <f t="shared" si="12"/>
        <v>-0.38871473354231972</v>
      </c>
    </row>
    <row r="171" spans="1:13" x14ac:dyDescent="0.3">
      <c r="A171" s="9" t="s">
        <v>237</v>
      </c>
      <c r="B171" s="10" t="s">
        <v>595</v>
      </c>
      <c r="C171" s="10" t="s">
        <v>118</v>
      </c>
      <c r="D171" s="10" t="s">
        <v>123</v>
      </c>
      <c r="E171" s="10" t="s">
        <v>703</v>
      </c>
      <c r="F171" s="10" t="s">
        <v>694</v>
      </c>
      <c r="G171" s="10" t="s">
        <v>697</v>
      </c>
      <c r="H171" s="11">
        <v>9300000</v>
      </c>
      <c r="I171" s="11">
        <v>2781377.7590962839</v>
      </c>
      <c r="J171" s="11">
        <v>10700000</v>
      </c>
      <c r="K171" s="11">
        <f t="shared" si="10"/>
        <v>11068965.517241379</v>
      </c>
      <c r="L171" s="18">
        <f t="shared" si="11"/>
        <v>3.9796699607024508</v>
      </c>
      <c r="M171" s="18">
        <f t="shared" si="12"/>
        <v>0.19021134593993325</v>
      </c>
    </row>
    <row r="172" spans="1:13" x14ac:dyDescent="0.3">
      <c r="A172" s="9" t="s">
        <v>242</v>
      </c>
      <c r="B172" s="10" t="s">
        <v>598</v>
      </c>
      <c r="C172" s="10" t="s">
        <v>118</v>
      </c>
      <c r="D172" s="10" t="s">
        <v>123</v>
      </c>
      <c r="E172" s="10" t="s">
        <v>703</v>
      </c>
      <c r="F172" s="10" t="s">
        <v>694</v>
      </c>
      <c r="G172" s="10" t="s">
        <v>696</v>
      </c>
      <c r="H172" s="11">
        <v>8900000</v>
      </c>
      <c r="I172" s="11">
        <v>2495196.5300667672</v>
      </c>
      <c r="J172" s="11">
        <v>9290000</v>
      </c>
      <c r="K172" s="11">
        <f t="shared" si="10"/>
        <v>9610344.8275862075</v>
      </c>
      <c r="L172" s="18">
        <f t="shared" si="11"/>
        <v>3.8515382302688002</v>
      </c>
      <c r="M172" s="18">
        <f t="shared" si="12"/>
        <v>7.9814025571483996E-2</v>
      </c>
    </row>
    <row r="173" spans="1:13" x14ac:dyDescent="0.3">
      <c r="A173" s="9" t="s">
        <v>175</v>
      </c>
      <c r="B173" s="10" t="s">
        <v>533</v>
      </c>
      <c r="C173" s="10" t="s">
        <v>118</v>
      </c>
      <c r="D173" s="10" t="s">
        <v>136</v>
      </c>
      <c r="E173" s="10" t="s">
        <v>704</v>
      </c>
      <c r="F173" s="10" t="s">
        <v>694</v>
      </c>
      <c r="G173" s="10" t="s">
        <v>696</v>
      </c>
      <c r="H173" s="11">
        <v>41300000</v>
      </c>
      <c r="I173" s="11">
        <v>60010374.100814402</v>
      </c>
      <c r="J173" s="11">
        <v>43600000</v>
      </c>
      <c r="K173" s="11">
        <f t="shared" si="10"/>
        <v>45103448.275862068</v>
      </c>
      <c r="L173" s="18">
        <f t="shared" si="11"/>
        <v>0.75159418603341066</v>
      </c>
      <c r="M173" s="18">
        <f t="shared" si="12"/>
        <v>9.2093178592301886E-2</v>
      </c>
    </row>
    <row r="174" spans="1:13" x14ac:dyDescent="0.3">
      <c r="A174" s="9" t="s">
        <v>176</v>
      </c>
      <c r="B174" s="10" t="s">
        <v>534</v>
      </c>
      <c r="C174" s="10" t="s">
        <v>118</v>
      </c>
      <c r="D174" s="10" t="s">
        <v>136</v>
      </c>
      <c r="E174" s="10" t="s">
        <v>704</v>
      </c>
      <c r="F174" s="10" t="s">
        <v>694</v>
      </c>
      <c r="G174" s="10" t="s">
        <v>697</v>
      </c>
      <c r="H174" s="11">
        <v>32900000</v>
      </c>
      <c r="I174" s="11">
        <v>52970799.164300635</v>
      </c>
      <c r="J174" s="11">
        <v>44775000</v>
      </c>
      <c r="K174" s="11">
        <f t="shared" si="10"/>
        <v>46318965.517241374</v>
      </c>
      <c r="L174" s="18">
        <f t="shared" si="11"/>
        <v>0.87442451780976282</v>
      </c>
      <c r="M174" s="18">
        <f t="shared" si="12"/>
        <v>0.40787129231736696</v>
      </c>
    </row>
    <row r="175" spans="1:13" x14ac:dyDescent="0.3">
      <c r="A175" s="9" t="s">
        <v>177</v>
      </c>
      <c r="B175" s="10" t="s">
        <v>535</v>
      </c>
      <c r="C175" s="10" t="s">
        <v>118</v>
      </c>
      <c r="D175" s="10" t="s">
        <v>134</v>
      </c>
      <c r="E175" s="10" t="s">
        <v>704</v>
      </c>
      <c r="F175" s="10" t="s">
        <v>694</v>
      </c>
      <c r="G175" s="10" t="s">
        <v>695</v>
      </c>
      <c r="H175" s="11">
        <v>33900000</v>
      </c>
      <c r="I175" s="11">
        <v>39399111.784244619</v>
      </c>
      <c r="J175" s="11">
        <v>34950000</v>
      </c>
      <c r="K175" s="11">
        <f t="shared" si="10"/>
        <v>36155172.413793109</v>
      </c>
      <c r="L175" s="18">
        <f t="shared" si="11"/>
        <v>0.91766465730964186</v>
      </c>
      <c r="M175" s="18">
        <f t="shared" si="12"/>
        <v>6.6524259993897036E-2</v>
      </c>
    </row>
    <row r="176" spans="1:13" x14ac:dyDescent="0.3">
      <c r="A176" s="9" t="s">
        <v>178</v>
      </c>
      <c r="B176" s="10" t="s">
        <v>536</v>
      </c>
      <c r="C176" s="10" t="s">
        <v>118</v>
      </c>
      <c r="D176" s="10" t="s">
        <v>134</v>
      </c>
      <c r="E176" s="10" t="s">
        <v>704</v>
      </c>
      <c r="F176" s="10" t="s">
        <v>694</v>
      </c>
      <c r="G176" s="10" t="s">
        <v>699</v>
      </c>
      <c r="H176" s="11">
        <v>66425000</v>
      </c>
      <c r="I176" s="11">
        <v>72621852.688897431</v>
      </c>
      <c r="J176" s="11">
        <v>42900000</v>
      </c>
      <c r="K176" s="11">
        <f t="shared" si="10"/>
        <v>44379310.344827592</v>
      </c>
      <c r="L176" s="18">
        <f t="shared" si="11"/>
        <v>0.61110132421080998</v>
      </c>
      <c r="M176" s="18">
        <f t="shared" si="12"/>
        <v>-0.33188844042412358</v>
      </c>
    </row>
    <row r="177" spans="1:13" x14ac:dyDescent="0.3">
      <c r="A177" s="9" t="s">
        <v>179</v>
      </c>
      <c r="B177" s="10" t="s">
        <v>537</v>
      </c>
      <c r="C177" s="10" t="s">
        <v>118</v>
      </c>
      <c r="D177" s="10" t="s">
        <v>134</v>
      </c>
      <c r="E177" s="10" t="s">
        <v>704</v>
      </c>
      <c r="F177" s="10" t="s">
        <v>694</v>
      </c>
      <c r="G177" s="10" t="s">
        <v>698</v>
      </c>
      <c r="H177" s="11">
        <v>34050000</v>
      </c>
      <c r="I177" s="11">
        <v>36572856.389715478</v>
      </c>
      <c r="J177" s="11">
        <v>35450000</v>
      </c>
      <c r="K177" s="11">
        <f t="shared" si="10"/>
        <v>36672413.793103449</v>
      </c>
      <c r="L177" s="18">
        <f t="shared" si="11"/>
        <v>1.0027221664703216</v>
      </c>
      <c r="M177" s="18">
        <f t="shared" si="12"/>
        <v>7.7016557800394986E-2</v>
      </c>
    </row>
    <row r="178" spans="1:13" x14ac:dyDescent="0.3">
      <c r="A178" s="9" t="s">
        <v>180</v>
      </c>
      <c r="B178" s="10" t="s">
        <v>538</v>
      </c>
      <c r="C178" s="10" t="s">
        <v>118</v>
      </c>
      <c r="D178" s="10" t="s">
        <v>136</v>
      </c>
      <c r="E178" s="10" t="s">
        <v>704</v>
      </c>
      <c r="F178" s="10" t="s">
        <v>694</v>
      </c>
      <c r="G178" s="10" t="s">
        <v>697</v>
      </c>
      <c r="H178" s="11">
        <v>29425000</v>
      </c>
      <c r="I178" s="11">
        <v>60441026.794679686</v>
      </c>
      <c r="J178" s="11">
        <v>20425000</v>
      </c>
      <c r="K178" s="11">
        <f t="shared" si="10"/>
        <v>21129310.344827585</v>
      </c>
      <c r="L178" s="18">
        <f t="shared" si="11"/>
        <v>0.34958556241283922</v>
      </c>
      <c r="M178" s="18">
        <f t="shared" si="12"/>
        <v>-0.28192658131427067</v>
      </c>
    </row>
    <row r="179" spans="1:13" x14ac:dyDescent="0.3">
      <c r="A179" s="9" t="s">
        <v>181</v>
      </c>
      <c r="B179" s="10" t="s">
        <v>539</v>
      </c>
      <c r="C179" s="10" t="s">
        <v>118</v>
      </c>
      <c r="D179" s="10" t="s">
        <v>136</v>
      </c>
      <c r="E179" s="10" t="s">
        <v>704</v>
      </c>
      <c r="F179" s="10" t="s">
        <v>694</v>
      </c>
      <c r="G179" s="10" t="s">
        <v>697</v>
      </c>
      <c r="H179" s="11">
        <v>6800000</v>
      </c>
      <c r="I179" s="11">
        <v>8984502.6136576757</v>
      </c>
      <c r="J179" s="11">
        <v>7450000</v>
      </c>
      <c r="K179" s="11">
        <f t="shared" si="10"/>
        <v>7706896.5517241387</v>
      </c>
      <c r="L179" s="18">
        <f t="shared" si="11"/>
        <v>0.85779891031570288</v>
      </c>
      <c r="M179" s="18">
        <f t="shared" si="12"/>
        <v>0.13336713995943217</v>
      </c>
    </row>
    <row r="180" spans="1:13" x14ac:dyDescent="0.3">
      <c r="A180" s="9" t="s">
        <v>182</v>
      </c>
      <c r="B180" s="10" t="s">
        <v>540</v>
      </c>
      <c r="C180" s="10" t="s">
        <v>118</v>
      </c>
      <c r="D180" s="10" t="s">
        <v>136</v>
      </c>
      <c r="E180" s="10" t="s">
        <v>704</v>
      </c>
      <c r="F180" s="10" t="s">
        <v>694</v>
      </c>
      <c r="G180" s="10" t="s">
        <v>697</v>
      </c>
      <c r="H180" s="11">
        <v>15775000</v>
      </c>
      <c r="I180" s="11">
        <v>27480820.05730908</v>
      </c>
      <c r="J180" s="11">
        <v>8525000</v>
      </c>
      <c r="K180" s="11">
        <f t="shared" si="10"/>
        <v>8818965.5172413792</v>
      </c>
      <c r="L180" s="18">
        <f t="shared" si="11"/>
        <v>0.32091347706691881</v>
      </c>
      <c r="M180" s="18">
        <f t="shared" si="12"/>
        <v>-0.44095305754412811</v>
      </c>
    </row>
    <row r="181" spans="1:13" x14ac:dyDescent="0.3">
      <c r="A181" s="9" t="s">
        <v>183</v>
      </c>
      <c r="B181" s="10" t="s">
        <v>541</v>
      </c>
      <c r="C181" s="10" t="s">
        <v>118</v>
      </c>
      <c r="D181" s="10" t="s">
        <v>134</v>
      </c>
      <c r="E181" s="10" t="s">
        <v>704</v>
      </c>
      <c r="F181" s="10" t="s">
        <v>694</v>
      </c>
      <c r="G181" s="10" t="s">
        <v>698</v>
      </c>
      <c r="H181" s="11">
        <v>112425000</v>
      </c>
      <c r="I181" s="11">
        <v>144246558.83973485</v>
      </c>
      <c r="J181" s="11">
        <v>112825000</v>
      </c>
      <c r="K181" s="11">
        <f t="shared" si="10"/>
        <v>116715517.24137931</v>
      </c>
      <c r="L181" s="18">
        <f t="shared" si="11"/>
        <v>0.80913900601993627</v>
      </c>
      <c r="M181" s="18">
        <f t="shared" si="12"/>
        <v>3.8163373283338277E-2</v>
      </c>
    </row>
    <row r="182" spans="1:13" x14ac:dyDescent="0.3">
      <c r="A182" s="9" t="s">
        <v>184</v>
      </c>
      <c r="B182" s="10" t="s">
        <v>542</v>
      </c>
      <c r="C182" s="10" t="s">
        <v>118</v>
      </c>
      <c r="D182" s="10" t="s">
        <v>136</v>
      </c>
      <c r="E182" s="10" t="s">
        <v>704</v>
      </c>
      <c r="F182" s="10" t="s">
        <v>694</v>
      </c>
      <c r="G182" s="10" t="s">
        <v>697</v>
      </c>
      <c r="H182" s="11">
        <v>10375000</v>
      </c>
      <c r="I182" s="11">
        <v>14756974.774353782</v>
      </c>
      <c r="J182" s="11">
        <v>16075000</v>
      </c>
      <c r="K182" s="11">
        <f>IFERROR(J182/$A$1*$B$1,0)</f>
        <v>16629310.344827587</v>
      </c>
      <c r="L182" s="18">
        <f t="shared" si="11"/>
        <v>1.1268780084741858</v>
      </c>
      <c r="M182" s="18">
        <f t="shared" si="12"/>
        <v>0.6028250934773578</v>
      </c>
    </row>
    <row r="183" spans="1:13" x14ac:dyDescent="0.3">
      <c r="A183" s="9" t="s">
        <v>185</v>
      </c>
      <c r="B183" s="10" t="s">
        <v>543</v>
      </c>
      <c r="C183" s="10" t="s">
        <v>118</v>
      </c>
      <c r="D183" s="10" t="s">
        <v>134</v>
      </c>
      <c r="E183" s="10" t="s">
        <v>704</v>
      </c>
      <c r="F183" s="10" t="s">
        <v>694</v>
      </c>
      <c r="G183" s="10" t="s">
        <v>700</v>
      </c>
      <c r="H183" s="11">
        <v>24000000</v>
      </c>
      <c r="I183" s="11">
        <v>51176038.959566668</v>
      </c>
      <c r="J183" s="11">
        <v>33700000</v>
      </c>
      <c r="K183" s="11">
        <f t="shared" si="10"/>
        <v>34862068.965517238</v>
      </c>
      <c r="L183" s="18">
        <f t="shared" si="11"/>
        <v>0.68121858733656926</v>
      </c>
      <c r="M183" s="18">
        <f t="shared" si="12"/>
        <v>0.4525862068965516</v>
      </c>
    </row>
    <row r="184" spans="1:13" x14ac:dyDescent="0.3">
      <c r="A184" s="9" t="s">
        <v>186</v>
      </c>
      <c r="B184" s="10" t="s">
        <v>544</v>
      </c>
      <c r="C184" s="10" t="s">
        <v>118</v>
      </c>
      <c r="D184" s="10" t="s">
        <v>134</v>
      </c>
      <c r="E184" s="10" t="s">
        <v>704</v>
      </c>
      <c r="F184" s="10" t="s">
        <v>694</v>
      </c>
      <c r="G184" s="10" t="s">
        <v>698</v>
      </c>
      <c r="H184" s="11">
        <v>61500000</v>
      </c>
      <c r="I184" s="11">
        <v>69330768.555057988</v>
      </c>
      <c r="J184" s="11">
        <v>30775000</v>
      </c>
      <c r="K184" s="11">
        <f t="shared" si="10"/>
        <v>31836206.896551721</v>
      </c>
      <c r="L184" s="18">
        <f t="shared" si="11"/>
        <v>0.45919304747457801</v>
      </c>
      <c r="M184" s="18">
        <f t="shared" si="12"/>
        <v>-0.48233809924306142</v>
      </c>
    </row>
    <row r="185" spans="1:13" x14ac:dyDescent="0.3">
      <c r="A185" s="9" t="s">
        <v>187</v>
      </c>
      <c r="B185" s="10" t="s">
        <v>545</v>
      </c>
      <c r="C185" s="10" t="s">
        <v>118</v>
      </c>
      <c r="D185" s="10" t="s">
        <v>136</v>
      </c>
      <c r="E185" s="10" t="s">
        <v>704</v>
      </c>
      <c r="F185" s="10" t="s">
        <v>694</v>
      </c>
      <c r="G185" s="10" t="s">
        <v>697</v>
      </c>
      <c r="H185" s="11">
        <v>1900000</v>
      </c>
      <c r="I185" s="11">
        <v>3580890.0949616181</v>
      </c>
      <c r="J185" s="11">
        <v>950000</v>
      </c>
      <c r="K185" s="11">
        <f t="shared" si="10"/>
        <v>982758.62068965519</v>
      </c>
      <c r="L185" s="18">
        <f t="shared" si="11"/>
        <v>0.27444534588548686</v>
      </c>
      <c r="M185" s="18">
        <f t="shared" si="12"/>
        <v>-0.48275862068965514</v>
      </c>
    </row>
    <row r="186" spans="1:13" x14ac:dyDescent="0.3">
      <c r="A186" s="9" t="s">
        <v>188</v>
      </c>
      <c r="B186" s="10" t="s">
        <v>546</v>
      </c>
      <c r="C186" s="10" t="s">
        <v>118</v>
      </c>
      <c r="D186" s="10" t="s">
        <v>134</v>
      </c>
      <c r="E186" s="10" t="s">
        <v>704</v>
      </c>
      <c r="F186" s="10" t="s">
        <v>694</v>
      </c>
      <c r="G186" s="10" t="s">
        <v>700</v>
      </c>
      <c r="H186" s="11">
        <v>1800000</v>
      </c>
      <c r="I186" s="11">
        <v>4476026.3155569592</v>
      </c>
      <c r="J186" s="11">
        <v>5900000</v>
      </c>
      <c r="K186" s="11">
        <f t="shared" si="10"/>
        <v>6103448.2758620689</v>
      </c>
      <c r="L186" s="18">
        <f t="shared" si="11"/>
        <v>1.3635863253638192</v>
      </c>
      <c r="M186" s="18">
        <f t="shared" si="12"/>
        <v>2.3908045977011492</v>
      </c>
    </row>
    <row r="187" spans="1:13" x14ac:dyDescent="0.3">
      <c r="A187" s="9" t="s">
        <v>189</v>
      </c>
      <c r="B187" s="10" t="s">
        <v>547</v>
      </c>
      <c r="C187" s="10" t="s">
        <v>118</v>
      </c>
      <c r="D187" s="10" t="s">
        <v>136</v>
      </c>
      <c r="E187" s="10" t="s">
        <v>704</v>
      </c>
      <c r="F187" s="10" t="s">
        <v>694</v>
      </c>
      <c r="G187" s="10" t="s">
        <v>696</v>
      </c>
      <c r="H187" s="11">
        <v>127625000</v>
      </c>
      <c r="I187" s="11">
        <v>165657678.70475021</v>
      </c>
      <c r="J187" s="11">
        <v>64600000</v>
      </c>
      <c r="K187" s="11">
        <f t="shared" si="10"/>
        <v>66827586.206896558</v>
      </c>
      <c r="L187" s="18">
        <f t="shared" si="11"/>
        <v>0.40340771843122708</v>
      </c>
      <c r="M187" s="18">
        <f t="shared" si="12"/>
        <v>-0.47637542639062441</v>
      </c>
    </row>
    <row r="188" spans="1:13" x14ac:dyDescent="0.3">
      <c r="A188" s="9" t="s">
        <v>190</v>
      </c>
      <c r="B188" s="10" t="s">
        <v>548</v>
      </c>
      <c r="C188" s="10" t="s">
        <v>118</v>
      </c>
      <c r="D188" s="10" t="s">
        <v>134</v>
      </c>
      <c r="E188" s="10" t="s">
        <v>704</v>
      </c>
      <c r="F188" s="10" t="s">
        <v>694</v>
      </c>
      <c r="G188" s="10" t="s">
        <v>699</v>
      </c>
      <c r="H188" s="11">
        <v>2300000</v>
      </c>
      <c r="I188" s="11">
        <v>3744175.6454211618</v>
      </c>
      <c r="J188" s="11">
        <v>2500000</v>
      </c>
      <c r="K188" s="11">
        <f t="shared" si="10"/>
        <v>2586206.8965517245</v>
      </c>
      <c r="L188" s="18">
        <f t="shared" si="11"/>
        <v>0.69072798433333549</v>
      </c>
      <c r="M188" s="18">
        <f t="shared" si="12"/>
        <v>0.12443778110944545</v>
      </c>
    </row>
    <row r="189" spans="1:13" x14ac:dyDescent="0.3">
      <c r="A189" s="9" t="s">
        <v>191</v>
      </c>
      <c r="B189" s="10" t="s">
        <v>549</v>
      </c>
      <c r="C189" s="10" t="s">
        <v>118</v>
      </c>
      <c r="D189" s="10" t="s">
        <v>128</v>
      </c>
      <c r="E189" s="10" t="s">
        <v>704</v>
      </c>
      <c r="F189" s="10" t="s">
        <v>694</v>
      </c>
      <c r="G189" s="10" t="s">
        <v>698</v>
      </c>
      <c r="H189" s="11">
        <v>4550000</v>
      </c>
      <c r="I189" s="11">
        <v>8114566.911420783</v>
      </c>
      <c r="J189" s="11">
        <v>8380000</v>
      </c>
      <c r="K189" s="11">
        <f t="shared" si="10"/>
        <v>8668965.5172413792</v>
      </c>
      <c r="L189" s="18">
        <f t="shared" si="11"/>
        <v>1.0683214041947591</v>
      </c>
      <c r="M189" s="18">
        <f t="shared" si="12"/>
        <v>0.90526714664645702</v>
      </c>
    </row>
    <row r="190" spans="1:13" x14ac:dyDescent="0.3">
      <c r="A190" s="9" t="s">
        <v>192</v>
      </c>
      <c r="B190" s="10" t="s">
        <v>550</v>
      </c>
      <c r="C190" s="10" t="s">
        <v>118</v>
      </c>
      <c r="D190" s="10" t="s">
        <v>134</v>
      </c>
      <c r="E190" s="10" t="s">
        <v>704</v>
      </c>
      <c r="F190" s="10" t="s">
        <v>694</v>
      </c>
      <c r="G190" s="10" t="s">
        <v>699</v>
      </c>
      <c r="H190" s="11">
        <v>36500000</v>
      </c>
      <c r="I190" s="11">
        <v>44126798.070805825</v>
      </c>
      <c r="J190" s="11">
        <v>23275000</v>
      </c>
      <c r="K190" s="11">
        <f t="shared" si="10"/>
        <v>24077586.206896555</v>
      </c>
      <c r="L190" s="18">
        <f t="shared" si="11"/>
        <v>0.54564544130896786</v>
      </c>
      <c r="M190" s="18">
        <f t="shared" si="12"/>
        <v>-0.34034010392064235</v>
      </c>
    </row>
    <row r="191" spans="1:13" x14ac:dyDescent="0.3">
      <c r="A191" s="9" t="s">
        <v>223</v>
      </c>
      <c r="B191" s="10" t="s">
        <v>581</v>
      </c>
      <c r="C191" s="10" t="s">
        <v>118</v>
      </c>
      <c r="D191" s="10" t="s">
        <v>136</v>
      </c>
      <c r="E191" s="10" t="s">
        <v>704</v>
      </c>
      <c r="F191" s="10" t="s">
        <v>694</v>
      </c>
      <c r="G191" s="10" t="s">
        <v>697</v>
      </c>
      <c r="H191" s="11">
        <v>1450000</v>
      </c>
      <c r="I191" s="11">
        <v>2024326.570602037</v>
      </c>
      <c r="J191" s="11">
        <v>600000</v>
      </c>
      <c r="K191" s="11">
        <f t="shared" si="10"/>
        <v>620689.6551724138</v>
      </c>
      <c r="L191" s="18">
        <f t="shared" si="11"/>
        <v>0.30661537727473487</v>
      </c>
      <c r="M191" s="18">
        <f t="shared" si="12"/>
        <v>-0.57193816884661119</v>
      </c>
    </row>
    <row r="192" spans="1:13" x14ac:dyDescent="0.3">
      <c r="A192" s="9" t="s">
        <v>226</v>
      </c>
      <c r="B192" s="10" t="s">
        <v>584</v>
      </c>
      <c r="C192" s="10" t="s">
        <v>118</v>
      </c>
      <c r="D192" s="10" t="s">
        <v>136</v>
      </c>
      <c r="E192" s="10" t="s">
        <v>704</v>
      </c>
      <c r="F192" s="10" t="s">
        <v>694</v>
      </c>
      <c r="G192" s="10" t="s">
        <v>697</v>
      </c>
      <c r="H192" s="11">
        <v>10850000</v>
      </c>
      <c r="I192" s="11">
        <v>10747158.048428141</v>
      </c>
      <c r="J192" s="11">
        <v>7525000</v>
      </c>
      <c r="K192" s="11">
        <f t="shared" si="10"/>
        <v>7784482.7586206896</v>
      </c>
      <c r="L192" s="18">
        <f t="shared" si="11"/>
        <v>0.72432942025629121</v>
      </c>
      <c r="M192" s="18">
        <f t="shared" si="12"/>
        <v>-0.28253615127919912</v>
      </c>
    </row>
    <row r="193" spans="1:23" x14ac:dyDescent="0.3">
      <c r="A193" s="9" t="s">
        <v>228</v>
      </c>
      <c r="B193" s="10" t="s">
        <v>586</v>
      </c>
      <c r="C193" s="10" t="s">
        <v>118</v>
      </c>
      <c r="D193" s="10" t="s">
        <v>134</v>
      </c>
      <c r="E193" s="10" t="s">
        <v>704</v>
      </c>
      <c r="F193" s="10" t="s">
        <v>694</v>
      </c>
      <c r="G193" s="10" t="s">
        <v>698</v>
      </c>
      <c r="H193" s="11">
        <v>1900000</v>
      </c>
      <c r="I193" s="11">
        <v>1383957.2342332138</v>
      </c>
      <c r="J193" s="11">
        <v>0</v>
      </c>
      <c r="K193" s="11">
        <f t="shared" si="10"/>
        <v>0</v>
      </c>
      <c r="L193" s="18">
        <f t="shared" si="11"/>
        <v>0</v>
      </c>
      <c r="M193" s="18">
        <f t="shared" si="12"/>
        <v>-1</v>
      </c>
    </row>
    <row r="194" spans="1:23" x14ac:dyDescent="0.3">
      <c r="A194" s="9" t="s">
        <v>235</v>
      </c>
      <c r="B194" s="10" t="s">
        <v>593</v>
      </c>
      <c r="C194" s="10" t="s">
        <v>118</v>
      </c>
      <c r="D194" s="10" t="s">
        <v>136</v>
      </c>
      <c r="E194" s="10" t="s">
        <v>704</v>
      </c>
      <c r="F194" s="10" t="s">
        <v>694</v>
      </c>
      <c r="G194" s="10" t="s">
        <v>696</v>
      </c>
      <c r="H194" s="11">
        <v>4750000</v>
      </c>
      <c r="I194" s="11">
        <v>6168948.809116371</v>
      </c>
      <c r="J194" s="11">
        <v>4750000</v>
      </c>
      <c r="K194" s="11">
        <f t="shared" si="10"/>
        <v>4913793.1034482755</v>
      </c>
      <c r="L194" s="18">
        <f t="shared" si="11"/>
        <v>0.79653653409909209</v>
      </c>
      <c r="M194" s="18">
        <f t="shared" si="12"/>
        <v>3.4482758620689571E-2</v>
      </c>
    </row>
    <row r="195" spans="1:23" x14ac:dyDescent="0.3">
      <c r="A195" s="9" t="s">
        <v>234</v>
      </c>
      <c r="B195" s="10" t="s">
        <v>592</v>
      </c>
      <c r="C195" s="10" t="s">
        <v>118</v>
      </c>
      <c r="D195" s="10" t="s">
        <v>136</v>
      </c>
      <c r="E195" s="10" t="s">
        <v>704</v>
      </c>
      <c r="F195" s="10" t="s">
        <v>694</v>
      </c>
      <c r="G195" s="10" t="s">
        <v>697</v>
      </c>
      <c r="H195" s="11">
        <v>13925000</v>
      </c>
      <c r="I195" s="11">
        <v>6698332.3009339403</v>
      </c>
      <c r="J195" s="11">
        <v>47975000</v>
      </c>
      <c r="K195" s="11">
        <f t="shared" si="10"/>
        <v>49629310.344827592</v>
      </c>
      <c r="L195" s="18">
        <f t="shared" si="11"/>
        <v>7.4092039802068106</v>
      </c>
      <c r="M195" s="18">
        <f t="shared" si="12"/>
        <v>2.5640438308673317</v>
      </c>
    </row>
    <row r="196" spans="1:23" x14ac:dyDescent="0.3">
      <c r="A196" s="9" t="s">
        <v>232</v>
      </c>
      <c r="B196" s="10" t="s">
        <v>590</v>
      </c>
      <c r="C196" s="10" t="s">
        <v>118</v>
      </c>
      <c r="D196" s="10" t="s">
        <v>136</v>
      </c>
      <c r="E196" s="10" t="s">
        <v>704</v>
      </c>
      <c r="F196" s="10" t="s">
        <v>694</v>
      </c>
      <c r="G196" s="10" t="s">
        <v>696</v>
      </c>
      <c r="H196" s="11">
        <v>18225000</v>
      </c>
      <c r="I196" s="11">
        <v>11160550.11328079</v>
      </c>
      <c r="J196" s="11">
        <v>7550000</v>
      </c>
      <c r="K196" s="11">
        <f t="shared" si="10"/>
        <v>7810344.8275862066</v>
      </c>
      <c r="L196" s="18">
        <f t="shared" si="11"/>
        <v>0.69981719075765647</v>
      </c>
      <c r="M196" s="18">
        <f t="shared" si="12"/>
        <v>-0.57144884347949476</v>
      </c>
    </row>
    <row r="197" spans="1:23" x14ac:dyDescent="0.3">
      <c r="A197" s="9" t="s">
        <v>231</v>
      </c>
      <c r="B197" s="10" t="s">
        <v>589</v>
      </c>
      <c r="C197" s="10" t="s">
        <v>118</v>
      </c>
      <c r="D197" s="10" t="s">
        <v>136</v>
      </c>
      <c r="E197" s="10" t="s">
        <v>704</v>
      </c>
      <c r="F197" s="10" t="s">
        <v>694</v>
      </c>
      <c r="G197" s="10" t="s">
        <v>697</v>
      </c>
      <c r="H197" s="11">
        <v>8800000</v>
      </c>
      <c r="I197" s="11">
        <v>10940131.880789418</v>
      </c>
      <c r="J197" s="11">
        <v>19725000</v>
      </c>
      <c r="K197" s="11">
        <f t="shared" si="10"/>
        <v>20405172.413793102</v>
      </c>
      <c r="L197" s="18">
        <f t="shared" si="11"/>
        <v>1.8651669501008525</v>
      </c>
      <c r="M197" s="18">
        <f t="shared" si="12"/>
        <v>1.3187695924764888</v>
      </c>
    </row>
    <row r="198" spans="1:23" x14ac:dyDescent="0.3">
      <c r="A198" s="9" t="s">
        <v>209</v>
      </c>
      <c r="B198" s="10" t="s">
        <v>567</v>
      </c>
      <c r="C198" s="10" t="s">
        <v>118</v>
      </c>
      <c r="D198" s="10" t="s">
        <v>128</v>
      </c>
      <c r="E198" s="10" t="s">
        <v>705</v>
      </c>
      <c r="F198" s="10" t="s">
        <v>694</v>
      </c>
      <c r="G198" s="10" t="s">
        <v>698</v>
      </c>
      <c r="H198" s="11">
        <v>2850000</v>
      </c>
      <c r="I198" s="11">
        <v>4581661.3651142959</v>
      </c>
      <c r="J198" s="11">
        <v>3800000</v>
      </c>
      <c r="K198" s="11">
        <f t="shared" si="10"/>
        <v>3931034.4827586208</v>
      </c>
      <c r="L198" s="18">
        <f t="shared" si="11"/>
        <v>0.85799324076858219</v>
      </c>
      <c r="M198" s="18">
        <f t="shared" si="12"/>
        <v>0.37931034482758624</v>
      </c>
    </row>
    <row r="199" spans="1:23" x14ac:dyDescent="0.3">
      <c r="A199" s="9" t="s">
        <v>236</v>
      </c>
      <c r="B199" s="10" t="s">
        <v>594</v>
      </c>
      <c r="C199" s="10" t="s">
        <v>118</v>
      </c>
      <c r="D199" s="10" t="s">
        <v>138</v>
      </c>
      <c r="E199" s="10" t="s">
        <v>703</v>
      </c>
      <c r="F199" s="10" t="s">
        <v>694</v>
      </c>
      <c r="G199" s="10" t="s">
        <v>698</v>
      </c>
      <c r="H199" s="11">
        <v>6950000</v>
      </c>
      <c r="I199" s="11">
        <v>4768073.0916660326</v>
      </c>
      <c r="J199" s="11">
        <v>10450000</v>
      </c>
      <c r="K199" s="11">
        <f t="shared" si="10"/>
        <v>10810344.827586208</v>
      </c>
      <c r="L199" s="18">
        <f t="shared" si="11"/>
        <v>2.2672355519216505</v>
      </c>
      <c r="M199" s="18">
        <f t="shared" si="12"/>
        <v>0.55544529893326722</v>
      </c>
    </row>
    <row r="200" spans="1:23" x14ac:dyDescent="0.3">
      <c r="A200" s="9" t="s">
        <v>243</v>
      </c>
      <c r="B200" s="10" t="s">
        <v>599</v>
      </c>
      <c r="C200" s="10" t="s">
        <v>118</v>
      </c>
      <c r="D200" s="10" t="s">
        <v>138</v>
      </c>
      <c r="E200" s="10" t="s">
        <v>703</v>
      </c>
      <c r="F200" s="10" t="s">
        <v>694</v>
      </c>
      <c r="G200" s="10" t="s">
        <v>695</v>
      </c>
      <c r="H200" s="11">
        <v>1875000</v>
      </c>
      <c r="I200" s="11">
        <v>4768073.0916660326</v>
      </c>
      <c r="J200" s="11">
        <v>14950000</v>
      </c>
      <c r="K200" s="11">
        <f t="shared" si="10"/>
        <v>15465517.241379309</v>
      </c>
      <c r="L200" s="18">
        <f t="shared" si="11"/>
        <v>3.2435570814572889</v>
      </c>
      <c r="M200" s="18">
        <f t="shared" si="12"/>
        <v>7.2482758620689651</v>
      </c>
    </row>
    <row r="201" spans="1:23" x14ac:dyDescent="0.3">
      <c r="A201" s="9" t="s">
        <v>244</v>
      </c>
      <c r="B201" s="10" t="s">
        <v>600</v>
      </c>
      <c r="C201" s="10" t="s">
        <v>118</v>
      </c>
      <c r="D201" s="10" t="s">
        <v>138</v>
      </c>
      <c r="E201" s="10" t="s">
        <v>703</v>
      </c>
      <c r="F201" s="10" t="s">
        <v>694</v>
      </c>
      <c r="G201" s="10" t="s">
        <v>699</v>
      </c>
      <c r="H201" s="11">
        <v>4400000</v>
      </c>
      <c r="I201" s="11">
        <v>4768073.0916660326</v>
      </c>
      <c r="J201" s="11">
        <v>7600000</v>
      </c>
      <c r="K201" s="11">
        <f t="shared" si="10"/>
        <v>7862068.9655172415</v>
      </c>
      <c r="L201" s="18">
        <f t="shared" si="11"/>
        <v>1.6488985832157457</v>
      </c>
      <c r="M201" s="18">
        <f t="shared" si="12"/>
        <v>0.78683385579937304</v>
      </c>
    </row>
    <row r="202" spans="1:23" x14ac:dyDescent="0.3">
      <c r="A202" s="9" t="s">
        <v>245</v>
      </c>
      <c r="B202" s="10" t="s">
        <v>601</v>
      </c>
      <c r="C202" s="10" t="s">
        <v>118</v>
      </c>
      <c r="D202" s="10" t="s">
        <v>138</v>
      </c>
      <c r="E202" s="10" t="s">
        <v>703</v>
      </c>
      <c r="F202" s="10" t="s">
        <v>694</v>
      </c>
      <c r="G202" s="10" t="s">
        <v>695</v>
      </c>
      <c r="H202" s="11">
        <v>1900000</v>
      </c>
      <c r="I202" s="11">
        <v>4768073.0916660326</v>
      </c>
      <c r="J202" s="11">
        <v>7600000</v>
      </c>
      <c r="K202" s="11">
        <f t="shared" si="10"/>
        <v>7862068.9655172415</v>
      </c>
      <c r="L202" s="18">
        <f t="shared" si="11"/>
        <v>1.6488985832157457</v>
      </c>
      <c r="M202" s="18">
        <f t="shared" si="12"/>
        <v>3.1379310344827589</v>
      </c>
    </row>
    <row r="203" spans="1:23" x14ac:dyDescent="0.3">
      <c r="A203" s="5"/>
      <c r="B203" s="8"/>
      <c r="C203" s="8"/>
      <c r="D203" s="8"/>
      <c r="E203" s="8"/>
      <c r="F203" s="8"/>
      <c r="G203" s="8"/>
      <c r="H203" s="13">
        <f>SUM(H5:H202)</f>
        <v>5842233000</v>
      </c>
      <c r="I203" s="13">
        <f>SUM(I5:I202)</f>
        <v>8717776904.8408833</v>
      </c>
      <c r="J203" s="13">
        <f>SUM(J5:J202)</f>
        <v>4250056000</v>
      </c>
      <c r="K203" s="13">
        <f>SUM(K5:K202)</f>
        <v>4396609655.1724119</v>
      </c>
      <c r="L203" s="14">
        <f>IFERROR(K203/I203,0)</f>
        <v>0.50432692912008614</v>
      </c>
      <c r="M203" s="19">
        <f>IFERROR((K203-H203)/H203,0)</f>
        <v>-0.24744363068497749</v>
      </c>
    </row>
    <row r="208" spans="1:23" s="16" customFormat="1" ht="23.35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P208"/>
      <c r="Q208"/>
      <c r="R208"/>
      <c r="S208"/>
      <c r="T208"/>
      <c r="U208"/>
      <c r="V208"/>
      <c r="W208"/>
    </row>
  </sheetData>
  <autoFilter ref="A4:M203" xr:uid="{619E141B-F8A0-4F90-B288-8950C7572E4A}"/>
  <mergeCells count="2">
    <mergeCell ref="A3:M3"/>
    <mergeCell ref="P3:V3"/>
  </mergeCells>
  <conditionalFormatting sqref="M5:M203">
    <cfRule type="cellIs" dxfId="10" priority="3" operator="lessThan">
      <formula>0</formula>
    </cfRule>
  </conditionalFormatting>
  <conditionalFormatting sqref="V5:V9">
    <cfRule type="cellIs" dxfId="9" priority="2" operator="lessThan">
      <formula>0</formula>
    </cfRule>
  </conditionalFormatting>
  <conditionalFormatting sqref="V12:V32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4E95-7E8B-4E1A-8C96-45AA1520B00C}">
  <dimension ref="A1:V208"/>
  <sheetViews>
    <sheetView showGridLines="0" zoomScale="68" zoomScaleNormal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8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9" width="19.44140625" customWidth="1"/>
    <col min="10" max="11" width="14.109375" bestFit="1" customWidth="1"/>
    <col min="12" max="13" width="14.77734375" hidden="1" customWidth="1"/>
    <col min="14" max="15" width="0" hidden="1" customWidth="1"/>
    <col min="16" max="16" width="23.21875" hidden="1" customWidth="1"/>
    <col min="17" max="19" width="17.109375" hidden="1" customWidth="1"/>
    <col min="20" max="22" width="17.10937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2" x14ac:dyDescent="0.3">
      <c r="A1" s="1">
        <v>29</v>
      </c>
      <c r="B1" s="1">
        <v>30</v>
      </c>
      <c r="G1" s="16"/>
      <c r="H1" s="16"/>
      <c r="I1" s="16"/>
      <c r="J1" s="16"/>
      <c r="K1" s="16"/>
    </row>
    <row r="2" spans="1:22" x14ac:dyDescent="0.3">
      <c r="A2" s="17"/>
      <c r="B2" s="17"/>
    </row>
    <row r="3" spans="1:22" s="4" customFormat="1" ht="23.5" customHeight="1" x14ac:dyDescent="0.3">
      <c r="A3" s="2" t="str">
        <f>"XL (01 - "&amp;A1&amp;" SEPTEMBER 2026)"</f>
        <v>XL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 t="str">
        <f>A3</f>
        <v>XL (01 - 29 SEPTEMBER 2026)</v>
      </c>
      <c r="Q3" s="2"/>
      <c r="R3" s="2"/>
      <c r="S3" s="2"/>
      <c r="T3" s="2"/>
      <c r="U3" s="2"/>
      <c r="V3" s="2"/>
    </row>
    <row r="4" spans="1:22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P4" s="8" t="s">
        <v>2</v>
      </c>
      <c r="Q4" s="8" t="s">
        <v>7</v>
      </c>
      <c r="R4" s="8" t="s">
        <v>8</v>
      </c>
      <c r="S4" s="8" t="s">
        <v>9</v>
      </c>
      <c r="T4" s="8" t="s">
        <v>10</v>
      </c>
      <c r="U4" s="8" t="s">
        <v>11</v>
      </c>
      <c r="V4" s="8" t="s">
        <v>12</v>
      </c>
    </row>
    <row r="5" spans="1:22" x14ac:dyDescent="0.3">
      <c r="A5" s="9" t="s">
        <v>25</v>
      </c>
      <c r="B5" s="10" t="s">
        <v>407</v>
      </c>
      <c r="C5" s="10" t="s">
        <v>20</v>
      </c>
      <c r="D5" s="10" t="s">
        <v>32</v>
      </c>
      <c r="E5" s="10" t="s">
        <v>693</v>
      </c>
      <c r="F5" s="10" t="s">
        <v>694</v>
      </c>
      <c r="G5" s="10" t="s">
        <v>696</v>
      </c>
      <c r="H5" s="11">
        <v>30180031</v>
      </c>
      <c r="I5" s="11">
        <v>23251010.055590648</v>
      </c>
      <c r="J5" s="11">
        <v>23920000</v>
      </c>
      <c r="K5" s="11">
        <f>IFERROR(J5/$A$1*$B$1,0)</f>
        <v>24744827.586206898</v>
      </c>
      <c r="L5" s="18">
        <f t="shared" ref="L5:L68" si="0">IFERROR(K5/I5,0)</f>
        <v>1.0642474252535565</v>
      </c>
      <c r="M5" s="18">
        <f t="shared" ref="M5:M68" si="1">IFERROR((K5-H5)/H5,0)</f>
        <v>-0.18009270480183079</v>
      </c>
      <c r="P5" s="10" t="s">
        <v>116</v>
      </c>
      <c r="Q5" s="11">
        <f t="shared" ref="Q5:T8" si="2">SUMIF($C:$C,$P5,H:H)</f>
        <v>1569089000</v>
      </c>
      <c r="R5" s="11">
        <f t="shared" si="2"/>
        <v>1596967955.5952799</v>
      </c>
      <c r="S5" s="11">
        <f t="shared" si="2"/>
        <v>1662864003</v>
      </c>
      <c r="T5" s="11">
        <f t="shared" si="2"/>
        <v>1720204141.0344825</v>
      </c>
      <c r="U5" s="18">
        <f>IFERROR(T5/R5,0)</f>
        <v>1.0771688530176333</v>
      </c>
      <c r="V5" s="18">
        <f>IFERROR((T5-Q5)/Q5,0)</f>
        <v>9.6307565112292853E-2</v>
      </c>
    </row>
    <row r="6" spans="1:22" x14ac:dyDescent="0.3">
      <c r="A6" s="9" t="s">
        <v>117</v>
      </c>
      <c r="B6" s="10" t="s">
        <v>485</v>
      </c>
      <c r="C6" s="10" t="s">
        <v>20</v>
      </c>
      <c r="D6" s="10" t="s">
        <v>38</v>
      </c>
      <c r="E6" s="10" t="s">
        <v>693</v>
      </c>
      <c r="F6" s="10" t="s">
        <v>694</v>
      </c>
      <c r="G6" s="10" t="s">
        <v>696</v>
      </c>
      <c r="H6" s="11">
        <v>293620000</v>
      </c>
      <c r="I6" s="11">
        <v>243428787.53888801</v>
      </c>
      <c r="J6" s="11">
        <v>282580000</v>
      </c>
      <c r="K6" s="11">
        <f t="shared" ref="K6:K69" si="3">IFERROR(J6/$A$1*$B$1,0)</f>
        <v>292324137.93103451</v>
      </c>
      <c r="L6" s="18">
        <f t="shared" si="0"/>
        <v>1.2008610028685922</v>
      </c>
      <c r="M6" s="18">
        <f t="shared" si="1"/>
        <v>-4.4133985047527229E-3</v>
      </c>
      <c r="P6" s="10" t="s">
        <v>20</v>
      </c>
      <c r="Q6" s="11">
        <f t="shared" si="2"/>
        <v>1703123663</v>
      </c>
      <c r="R6" s="11">
        <f t="shared" si="2"/>
        <v>1539358520.7559559</v>
      </c>
      <c r="S6" s="11">
        <f t="shared" si="2"/>
        <v>1811423659</v>
      </c>
      <c r="T6" s="11">
        <f t="shared" si="2"/>
        <v>1873886543.793103</v>
      </c>
      <c r="U6" s="18">
        <f>IFERROR(T6/R6,0)</f>
        <v>1.2173165110833735</v>
      </c>
      <c r="V6" s="18">
        <f>IFERROR((T6-Q6)/Q6,0)</f>
        <v>0.10026452247883716</v>
      </c>
    </row>
    <row r="7" spans="1:22" x14ac:dyDescent="0.3">
      <c r="A7" s="9" t="s">
        <v>47</v>
      </c>
      <c r="B7" s="10" t="s">
        <v>419</v>
      </c>
      <c r="C7" s="10" t="s">
        <v>20</v>
      </c>
      <c r="D7" s="10" t="s">
        <v>38</v>
      </c>
      <c r="E7" s="10" t="s">
        <v>693</v>
      </c>
      <c r="F7" s="10" t="s">
        <v>694</v>
      </c>
      <c r="G7" s="10" t="s">
        <v>696</v>
      </c>
      <c r="H7" s="11">
        <v>137426000</v>
      </c>
      <c r="I7" s="11">
        <v>120056072.816385</v>
      </c>
      <c r="J7" s="11">
        <v>111020000</v>
      </c>
      <c r="K7" s="11">
        <f t="shared" si="3"/>
        <v>114848275.86206897</v>
      </c>
      <c r="L7" s="18">
        <f t="shared" si="0"/>
        <v>0.95662196145395417</v>
      </c>
      <c r="M7" s="18">
        <f t="shared" si="1"/>
        <v>-0.1642900480107915</v>
      </c>
      <c r="P7" s="10" t="s">
        <v>118</v>
      </c>
      <c r="Q7" s="11">
        <f t="shared" si="2"/>
        <v>1634531010</v>
      </c>
      <c r="R7" s="11">
        <f t="shared" si="2"/>
        <v>1443867061.8880222</v>
      </c>
      <c r="S7" s="11">
        <f t="shared" si="2"/>
        <v>1424325075</v>
      </c>
      <c r="T7" s="11">
        <f t="shared" si="2"/>
        <v>1473439732.7586205</v>
      </c>
      <c r="U7" s="18">
        <f>IFERROR(T7/R7,0)</f>
        <v>1.0204815745515579</v>
      </c>
      <c r="V7" s="18">
        <f>IFERROR((T7-Q7)/Q7,0)</f>
        <v>-9.8555044998124258E-2</v>
      </c>
    </row>
    <row r="8" spans="1:22" x14ac:dyDescent="0.3">
      <c r="A8" s="9" t="s">
        <v>119</v>
      </c>
      <c r="B8" s="10" t="s">
        <v>486</v>
      </c>
      <c r="C8" s="10" t="s">
        <v>20</v>
      </c>
      <c r="D8" s="10" t="s">
        <v>34</v>
      </c>
      <c r="E8" s="10" t="s">
        <v>693</v>
      </c>
      <c r="F8" s="10" t="s">
        <v>694</v>
      </c>
      <c r="G8" s="10" t="s">
        <v>697</v>
      </c>
      <c r="H8" s="11">
        <v>26570000</v>
      </c>
      <c r="I8" s="11">
        <v>30259846.8184922</v>
      </c>
      <c r="J8" s="11">
        <v>32740017</v>
      </c>
      <c r="K8" s="11">
        <f t="shared" si="3"/>
        <v>33868983.103448279</v>
      </c>
      <c r="L8" s="18">
        <f t="shared" si="0"/>
        <v>1.1192714658010261</v>
      </c>
      <c r="M8" s="18">
        <f t="shared" si="1"/>
        <v>0.27470768172556564</v>
      </c>
      <c r="P8" s="10" t="s">
        <v>22</v>
      </c>
      <c r="Q8" s="11">
        <f t="shared" si="2"/>
        <v>1589787119</v>
      </c>
      <c r="R8" s="11">
        <f t="shared" si="2"/>
        <v>1662709746.7607422</v>
      </c>
      <c r="S8" s="11">
        <f t="shared" si="2"/>
        <v>2227106221</v>
      </c>
      <c r="T8" s="11">
        <f t="shared" si="2"/>
        <v>2303902987.2413783</v>
      </c>
      <c r="U8" s="18">
        <f>IFERROR(T8/R8,0)</f>
        <v>1.3856314920447155</v>
      </c>
      <c r="V8" s="18">
        <f>IFERROR((T8-Q8)/Q8,0)</f>
        <v>0.44918961772099897</v>
      </c>
    </row>
    <row r="9" spans="1:22" x14ac:dyDescent="0.3">
      <c r="A9" s="9" t="s">
        <v>120</v>
      </c>
      <c r="B9" s="10" t="s">
        <v>487</v>
      </c>
      <c r="C9" s="10" t="s">
        <v>20</v>
      </c>
      <c r="D9" s="10" t="s">
        <v>36</v>
      </c>
      <c r="E9" s="10" t="s">
        <v>693</v>
      </c>
      <c r="F9" s="10" t="s">
        <v>694</v>
      </c>
      <c r="G9" s="10" t="s">
        <v>697</v>
      </c>
      <c r="H9" s="11">
        <v>6920000</v>
      </c>
      <c r="I9" s="11">
        <v>5950619.4323968496</v>
      </c>
      <c r="J9" s="11">
        <v>5900000</v>
      </c>
      <c r="K9" s="11">
        <f t="shared" si="3"/>
        <v>6103448.2758620689</v>
      </c>
      <c r="L9" s="18">
        <f t="shared" si="0"/>
        <v>1.0256828461644136</v>
      </c>
      <c r="M9" s="18">
        <f t="shared" si="1"/>
        <v>-0.11799880406617502</v>
      </c>
      <c r="P9" s="5" t="s">
        <v>67</v>
      </c>
      <c r="Q9" s="13">
        <f>SUM(Q5:Q8)</f>
        <v>6496530792</v>
      </c>
      <c r="R9" s="13">
        <f>SUM(R5:R8)</f>
        <v>6242903285</v>
      </c>
      <c r="S9" s="13">
        <f>SUM(S5:S8)</f>
        <v>7125718958</v>
      </c>
      <c r="T9" s="13">
        <f>SUM(T5:T8)</f>
        <v>7371433404.8275833</v>
      </c>
      <c r="U9" s="14">
        <f>IFERROR(T9/R9,0)</f>
        <v>1.1807700789693689</v>
      </c>
      <c r="V9" s="19">
        <f>IFERROR((T9-Q9)/Q9,0)</f>
        <v>0.13467227984279881</v>
      </c>
    </row>
    <row r="10" spans="1:22" x14ac:dyDescent="0.3">
      <c r="A10" s="9" t="s">
        <v>56</v>
      </c>
      <c r="B10" s="10" t="s">
        <v>427</v>
      </c>
      <c r="C10" s="10" t="s">
        <v>22</v>
      </c>
      <c r="D10" s="10" t="s">
        <v>48</v>
      </c>
      <c r="E10" s="10" t="s">
        <v>693</v>
      </c>
      <c r="F10" s="10" t="s">
        <v>694</v>
      </c>
      <c r="G10" s="10" t="s">
        <v>699</v>
      </c>
      <c r="H10" s="11">
        <v>41520000</v>
      </c>
      <c r="I10" s="11">
        <v>46072806.969172113</v>
      </c>
      <c r="J10" s="11">
        <v>41700000</v>
      </c>
      <c r="K10" s="11">
        <f t="shared" si="3"/>
        <v>43137931.034482762</v>
      </c>
      <c r="L10" s="18">
        <f t="shared" si="0"/>
        <v>0.9362991723805083</v>
      </c>
      <c r="M10" s="18">
        <f t="shared" si="1"/>
        <v>3.8967510464421054E-2</v>
      </c>
    </row>
    <row r="11" spans="1:22" x14ac:dyDescent="0.3">
      <c r="A11" s="9" t="s">
        <v>121</v>
      </c>
      <c r="B11" s="10" t="s">
        <v>488</v>
      </c>
      <c r="C11" s="10" t="s">
        <v>20</v>
      </c>
      <c r="D11" s="10" t="s">
        <v>36</v>
      </c>
      <c r="E11" s="10" t="s">
        <v>693</v>
      </c>
      <c r="F11" s="10" t="s">
        <v>694</v>
      </c>
      <c r="G11" s="10" t="s">
        <v>697</v>
      </c>
      <c r="H11" s="11">
        <v>2880000</v>
      </c>
      <c r="I11" s="11">
        <v>6788568.2408961719</v>
      </c>
      <c r="J11" s="11">
        <v>6980000</v>
      </c>
      <c r="K11" s="11">
        <f t="shared" si="3"/>
        <v>7220689.6551724141</v>
      </c>
      <c r="L11" s="18">
        <f t="shared" si="0"/>
        <v>1.0636542786257972</v>
      </c>
      <c r="M11" s="18">
        <f t="shared" si="1"/>
        <v>1.5071839080459772</v>
      </c>
      <c r="P11" s="8" t="s">
        <v>3</v>
      </c>
      <c r="Q11" s="8" t="s">
        <v>7</v>
      </c>
      <c r="R11" s="8" t="s">
        <v>8</v>
      </c>
      <c r="S11" s="8" t="s">
        <v>9</v>
      </c>
      <c r="T11" s="8" t="s">
        <v>10</v>
      </c>
      <c r="U11" s="8" t="s">
        <v>11</v>
      </c>
      <c r="V11" s="8" t="s">
        <v>12</v>
      </c>
    </row>
    <row r="12" spans="1:22" x14ac:dyDescent="0.3">
      <c r="A12" s="9" t="s">
        <v>60</v>
      </c>
      <c r="B12" s="10" t="s">
        <v>431</v>
      </c>
      <c r="C12" s="10" t="s">
        <v>22</v>
      </c>
      <c r="D12" s="10" t="s">
        <v>46</v>
      </c>
      <c r="E12" s="10" t="s">
        <v>693</v>
      </c>
      <c r="F12" s="10" t="s">
        <v>694</v>
      </c>
      <c r="G12" s="10" t="s">
        <v>700</v>
      </c>
      <c r="H12" s="11">
        <v>16660000</v>
      </c>
      <c r="I12" s="11">
        <v>18862137.828486815</v>
      </c>
      <c r="J12" s="11">
        <v>27920000</v>
      </c>
      <c r="K12" s="11">
        <f t="shared" si="3"/>
        <v>28882758.620689657</v>
      </c>
      <c r="L12" s="18">
        <f t="shared" si="0"/>
        <v>1.5312558355431511</v>
      </c>
      <c r="M12" s="18">
        <f t="shared" si="1"/>
        <v>0.73365898083371284</v>
      </c>
      <c r="P12" s="10" t="s">
        <v>28</v>
      </c>
      <c r="Q12" s="11">
        <f t="shared" ref="Q12:T31" si="4">SUMIF($D:$D,$P12,H:H)</f>
        <v>354700002</v>
      </c>
      <c r="R12" s="11">
        <f t="shared" si="4"/>
        <v>349196627.10982615</v>
      </c>
      <c r="S12" s="11">
        <f t="shared" si="4"/>
        <v>563960157</v>
      </c>
      <c r="T12" s="11">
        <f t="shared" si="4"/>
        <v>583407058.96551728</v>
      </c>
      <c r="U12" s="18">
        <f t="shared" ref="U12:U32" si="5">IFERROR(T12/R12,0)</f>
        <v>1.6707121824004028</v>
      </c>
      <c r="V12" s="18">
        <f t="shared" ref="V12:V32" si="6">IFERROR((T12-Q12)/Q12,0)</f>
        <v>0.64479012031558225</v>
      </c>
    </row>
    <row r="13" spans="1:22" x14ac:dyDescent="0.3">
      <c r="A13" s="9" t="s">
        <v>63</v>
      </c>
      <c r="B13" s="10" t="s">
        <v>434</v>
      </c>
      <c r="C13" s="10" t="s">
        <v>22</v>
      </c>
      <c r="D13" s="10" t="s">
        <v>42</v>
      </c>
      <c r="E13" s="10" t="s">
        <v>693</v>
      </c>
      <c r="F13" s="10" t="s">
        <v>694</v>
      </c>
      <c r="G13" s="10" t="s">
        <v>699</v>
      </c>
      <c r="H13" s="11">
        <v>68440000</v>
      </c>
      <c r="I13" s="11">
        <v>68103232.881343201</v>
      </c>
      <c r="J13" s="11">
        <v>65560000</v>
      </c>
      <c r="K13" s="11">
        <f t="shared" si="3"/>
        <v>67820689.655172408</v>
      </c>
      <c r="L13" s="18">
        <f t="shared" si="0"/>
        <v>0.99585125089930648</v>
      </c>
      <c r="M13" s="18">
        <f t="shared" si="1"/>
        <v>-9.0489530220279422E-3</v>
      </c>
      <c r="P13" s="10" t="s">
        <v>48</v>
      </c>
      <c r="Q13" s="11">
        <f t="shared" si="4"/>
        <v>308927006</v>
      </c>
      <c r="R13" s="11">
        <f t="shared" si="4"/>
        <v>360033478.26625276</v>
      </c>
      <c r="S13" s="11">
        <f t="shared" si="4"/>
        <v>397562000</v>
      </c>
      <c r="T13" s="11">
        <f t="shared" si="4"/>
        <v>411271034.48275864</v>
      </c>
      <c r="U13" s="18">
        <f t="shared" si="5"/>
        <v>1.1423133105933403</v>
      </c>
      <c r="V13" s="18">
        <f t="shared" si="6"/>
        <v>0.33128870734842342</v>
      </c>
    </row>
    <row r="14" spans="1:22" x14ac:dyDescent="0.3">
      <c r="A14" s="9" t="s">
        <v>122</v>
      </c>
      <c r="B14" s="10" t="s">
        <v>489</v>
      </c>
      <c r="C14" s="10" t="s">
        <v>22</v>
      </c>
      <c r="D14" s="10" t="s">
        <v>44</v>
      </c>
      <c r="E14" s="10" t="s">
        <v>693</v>
      </c>
      <c r="F14" s="10" t="s">
        <v>694</v>
      </c>
      <c r="G14" s="10" t="s">
        <v>698</v>
      </c>
      <c r="H14" s="11">
        <v>80580000</v>
      </c>
      <c r="I14" s="11">
        <v>89691640.241895601</v>
      </c>
      <c r="J14" s="11">
        <v>83200000</v>
      </c>
      <c r="K14" s="11">
        <f t="shared" si="3"/>
        <v>86068965.517241374</v>
      </c>
      <c r="L14" s="18">
        <f t="shared" si="0"/>
        <v>0.95960967248581941</v>
      </c>
      <c r="M14" s="18">
        <f t="shared" si="1"/>
        <v>6.8118211929031697E-2</v>
      </c>
      <c r="P14" s="10" t="s">
        <v>123</v>
      </c>
      <c r="Q14" s="11">
        <f t="shared" si="4"/>
        <v>229717001</v>
      </c>
      <c r="R14" s="11">
        <f t="shared" si="4"/>
        <v>217191974.67011231</v>
      </c>
      <c r="S14" s="11">
        <f t="shared" si="4"/>
        <v>244080000</v>
      </c>
      <c r="T14" s="11">
        <f t="shared" si="4"/>
        <v>252496551.72413793</v>
      </c>
      <c r="U14" s="18">
        <f t="shared" si="5"/>
        <v>1.1625500993195024</v>
      </c>
      <c r="V14" s="18">
        <f t="shared" si="6"/>
        <v>9.9163538723622519E-2</v>
      </c>
    </row>
    <row r="15" spans="1:22" x14ac:dyDescent="0.3">
      <c r="A15" s="9" t="s">
        <v>124</v>
      </c>
      <c r="B15" s="10" t="s">
        <v>490</v>
      </c>
      <c r="C15" s="10" t="s">
        <v>22</v>
      </c>
      <c r="D15" s="10" t="s">
        <v>42</v>
      </c>
      <c r="E15" s="10" t="s">
        <v>693</v>
      </c>
      <c r="F15" s="10" t="s">
        <v>694</v>
      </c>
      <c r="G15" s="10" t="s">
        <v>699</v>
      </c>
      <c r="H15" s="11">
        <v>16660000</v>
      </c>
      <c r="I15" s="11">
        <v>22659851.630175099</v>
      </c>
      <c r="J15" s="11">
        <v>34180000</v>
      </c>
      <c r="K15" s="11">
        <f t="shared" si="3"/>
        <v>35358620.68965517</v>
      </c>
      <c r="L15" s="18">
        <f t="shared" si="0"/>
        <v>1.5604083057000115</v>
      </c>
      <c r="M15" s="18">
        <f t="shared" si="1"/>
        <v>1.122366187854452</v>
      </c>
      <c r="P15" s="10" t="s">
        <v>42</v>
      </c>
      <c r="Q15" s="11">
        <f t="shared" si="4"/>
        <v>224940000</v>
      </c>
      <c r="R15" s="11">
        <f t="shared" si="4"/>
        <v>256282362.07688177</v>
      </c>
      <c r="S15" s="11">
        <f t="shared" si="4"/>
        <v>319900000</v>
      </c>
      <c r="T15" s="11">
        <f t="shared" si="4"/>
        <v>330931034.48275858</v>
      </c>
      <c r="U15" s="18">
        <f t="shared" si="5"/>
        <v>1.2912751068818504</v>
      </c>
      <c r="V15" s="18">
        <f t="shared" si="6"/>
        <v>0.47119691687898363</v>
      </c>
    </row>
    <row r="16" spans="1:22" x14ac:dyDescent="0.3">
      <c r="A16" s="9" t="s">
        <v>125</v>
      </c>
      <c r="B16" s="10" t="s">
        <v>491</v>
      </c>
      <c r="C16" s="10" t="s">
        <v>22</v>
      </c>
      <c r="D16" s="10" t="s">
        <v>42</v>
      </c>
      <c r="E16" s="10" t="s">
        <v>693</v>
      </c>
      <c r="F16" s="10" t="s">
        <v>694</v>
      </c>
      <c r="G16" s="10" t="s">
        <v>698</v>
      </c>
      <c r="H16" s="11">
        <v>109820000</v>
      </c>
      <c r="I16" s="11">
        <v>90769702.651434153</v>
      </c>
      <c r="J16" s="11">
        <v>131920000</v>
      </c>
      <c r="K16" s="11">
        <f t="shared" si="3"/>
        <v>136468965.51724139</v>
      </c>
      <c r="L16" s="18">
        <f t="shared" si="0"/>
        <v>1.5034638379426837</v>
      </c>
      <c r="M16" s="18">
        <f t="shared" si="1"/>
        <v>0.24266040354435794</v>
      </c>
      <c r="P16" s="10" t="s">
        <v>38</v>
      </c>
      <c r="Q16" s="11">
        <f t="shared" si="4"/>
        <v>608346000</v>
      </c>
      <c r="R16" s="11">
        <f t="shared" si="4"/>
        <v>513913135.94287491</v>
      </c>
      <c r="S16" s="11">
        <f t="shared" si="4"/>
        <v>571900003</v>
      </c>
      <c r="T16" s="11">
        <f t="shared" si="4"/>
        <v>591620692.75862074</v>
      </c>
      <c r="U16" s="18">
        <f t="shared" si="5"/>
        <v>1.1512075706591465</v>
      </c>
      <c r="V16" s="18">
        <f t="shared" si="6"/>
        <v>-2.749308328053322E-2</v>
      </c>
    </row>
    <row r="17" spans="1:22" x14ac:dyDescent="0.3">
      <c r="A17" s="9" t="s">
        <v>126</v>
      </c>
      <c r="B17" s="10" t="s">
        <v>492</v>
      </c>
      <c r="C17" s="10" t="s">
        <v>20</v>
      </c>
      <c r="D17" s="10" t="s">
        <v>34</v>
      </c>
      <c r="E17" s="10" t="s">
        <v>693</v>
      </c>
      <c r="F17" s="10" t="s">
        <v>694</v>
      </c>
      <c r="G17" s="10" t="s">
        <v>697</v>
      </c>
      <c r="H17" s="11">
        <v>2440000</v>
      </c>
      <c r="I17" s="11">
        <v>5604656.5891187396</v>
      </c>
      <c r="J17" s="11">
        <v>27460000</v>
      </c>
      <c r="K17" s="11">
        <f t="shared" si="3"/>
        <v>28406896.55172414</v>
      </c>
      <c r="L17" s="18">
        <f t="shared" si="0"/>
        <v>5.0684455149090164</v>
      </c>
      <c r="M17" s="18">
        <f t="shared" si="1"/>
        <v>10.642170717919729</v>
      </c>
      <c r="P17" s="10" t="s">
        <v>32</v>
      </c>
      <c r="Q17" s="11">
        <f t="shared" si="4"/>
        <v>149425059</v>
      </c>
      <c r="R17" s="11">
        <f t="shared" si="4"/>
        <v>156001367.75459591</v>
      </c>
      <c r="S17" s="11">
        <f t="shared" si="4"/>
        <v>156440007</v>
      </c>
      <c r="T17" s="11">
        <f t="shared" si="4"/>
        <v>161834490</v>
      </c>
      <c r="U17" s="18">
        <f t="shared" si="5"/>
        <v>1.0373914814297021</v>
      </c>
      <c r="V17" s="18">
        <f t="shared" si="6"/>
        <v>8.3047857454752613E-2</v>
      </c>
    </row>
    <row r="18" spans="1:22" x14ac:dyDescent="0.3">
      <c r="A18" s="9" t="s">
        <v>64</v>
      </c>
      <c r="B18" s="10" t="s">
        <v>435</v>
      </c>
      <c r="C18" s="10" t="s">
        <v>20</v>
      </c>
      <c r="D18" s="10" t="s">
        <v>34</v>
      </c>
      <c r="E18" s="10" t="s">
        <v>693</v>
      </c>
      <c r="F18" s="10" t="s">
        <v>694</v>
      </c>
      <c r="G18" s="10" t="s">
        <v>697</v>
      </c>
      <c r="H18" s="11">
        <v>154984000</v>
      </c>
      <c r="I18" s="11">
        <v>165824447.53955701</v>
      </c>
      <c r="J18" s="11">
        <v>180040000</v>
      </c>
      <c r="K18" s="11">
        <f t="shared" si="3"/>
        <v>186248275.86206895</v>
      </c>
      <c r="L18" s="18">
        <f t="shared" si="0"/>
        <v>1.1231653632836007</v>
      </c>
      <c r="M18" s="18">
        <f t="shared" si="1"/>
        <v>0.20172582887310272</v>
      </c>
      <c r="P18" s="10" t="s">
        <v>36</v>
      </c>
      <c r="Q18" s="11">
        <f t="shared" si="4"/>
        <v>151528000</v>
      </c>
      <c r="R18" s="11">
        <f t="shared" si="4"/>
        <v>133809158.00555387</v>
      </c>
      <c r="S18" s="11">
        <f t="shared" si="4"/>
        <v>186980000</v>
      </c>
      <c r="T18" s="11">
        <f t="shared" si="4"/>
        <v>193427586.20689654</v>
      </c>
      <c r="U18" s="18">
        <f t="shared" si="5"/>
        <v>1.4455481903478398</v>
      </c>
      <c r="V18" s="18">
        <f t="shared" si="6"/>
        <v>0.27651382059353086</v>
      </c>
    </row>
    <row r="19" spans="1:22" x14ac:dyDescent="0.3">
      <c r="A19" s="9" t="s">
        <v>127</v>
      </c>
      <c r="B19" s="10" t="s">
        <v>493</v>
      </c>
      <c r="C19" s="10" t="s">
        <v>22</v>
      </c>
      <c r="D19" s="10" t="s">
        <v>28</v>
      </c>
      <c r="E19" s="10" t="s">
        <v>693</v>
      </c>
      <c r="F19" s="10" t="s">
        <v>694</v>
      </c>
      <c r="G19" s="10" t="s">
        <v>695</v>
      </c>
      <c r="H19" s="11">
        <v>175860000</v>
      </c>
      <c r="I19" s="11">
        <v>136845541.29477501</v>
      </c>
      <c r="J19" s="11">
        <v>206640000</v>
      </c>
      <c r="K19" s="11">
        <f t="shared" si="3"/>
        <v>213765517.24137932</v>
      </c>
      <c r="L19" s="18">
        <f t="shared" si="0"/>
        <v>1.5620934026700455</v>
      </c>
      <c r="M19" s="18">
        <f t="shared" si="1"/>
        <v>0.21554371227896804</v>
      </c>
      <c r="P19" s="10" t="s">
        <v>34</v>
      </c>
      <c r="Q19" s="11">
        <f t="shared" si="4"/>
        <v>315532004</v>
      </c>
      <c r="R19" s="11">
        <f t="shared" si="4"/>
        <v>329079924.24272043</v>
      </c>
      <c r="S19" s="11">
        <f t="shared" si="4"/>
        <v>376280017</v>
      </c>
      <c r="T19" s="11">
        <f t="shared" si="4"/>
        <v>389255190</v>
      </c>
      <c r="U19" s="18">
        <f t="shared" si="5"/>
        <v>1.1828591212173001</v>
      </c>
      <c r="V19" s="18">
        <f t="shared" si="6"/>
        <v>0.23364725310082968</v>
      </c>
    </row>
    <row r="20" spans="1:22" x14ac:dyDescent="0.3">
      <c r="A20" s="9" t="s">
        <v>59</v>
      </c>
      <c r="B20" s="10" t="s">
        <v>430</v>
      </c>
      <c r="C20" s="10" t="s">
        <v>20</v>
      </c>
      <c r="D20" s="10" t="s">
        <v>36</v>
      </c>
      <c r="E20" s="10" t="s">
        <v>693</v>
      </c>
      <c r="F20" s="10" t="s">
        <v>694</v>
      </c>
      <c r="G20" s="10" t="s">
        <v>697</v>
      </c>
      <c r="H20" s="11">
        <v>22120000</v>
      </c>
      <c r="I20" s="11">
        <v>15534770.5742824</v>
      </c>
      <c r="J20" s="11">
        <v>27300000</v>
      </c>
      <c r="K20" s="11">
        <f t="shared" si="3"/>
        <v>28241379.310344826</v>
      </c>
      <c r="L20" s="18">
        <f t="shared" si="0"/>
        <v>1.8179463401344365</v>
      </c>
      <c r="M20" s="18">
        <f t="shared" si="1"/>
        <v>0.27673505019642075</v>
      </c>
      <c r="P20" s="10" t="s">
        <v>46</v>
      </c>
      <c r="Q20" s="11">
        <f t="shared" si="4"/>
        <v>197340001</v>
      </c>
      <c r="R20" s="11">
        <f t="shared" si="4"/>
        <v>167635066.02411294</v>
      </c>
      <c r="S20" s="11">
        <f t="shared" si="4"/>
        <v>318696050</v>
      </c>
      <c r="T20" s="11">
        <f t="shared" si="4"/>
        <v>329685568.96551722</v>
      </c>
      <c r="U20" s="18">
        <f t="shared" si="5"/>
        <v>1.9666861879488546</v>
      </c>
      <c r="V20" s="18">
        <f t="shared" si="6"/>
        <v>0.67064744752645067</v>
      </c>
    </row>
    <row r="21" spans="1:22" x14ac:dyDescent="0.3">
      <c r="A21" s="9" t="s">
        <v>57</v>
      </c>
      <c r="B21" s="10" t="s">
        <v>428</v>
      </c>
      <c r="C21" s="10" t="s">
        <v>22</v>
      </c>
      <c r="D21" s="10" t="s">
        <v>46</v>
      </c>
      <c r="E21" s="10" t="s">
        <v>693</v>
      </c>
      <c r="F21" s="10" t="s">
        <v>694</v>
      </c>
      <c r="G21" s="10" t="s">
        <v>700</v>
      </c>
      <c r="H21" s="11">
        <v>56120000</v>
      </c>
      <c r="I21" s="11">
        <v>23535724.146035116</v>
      </c>
      <c r="J21" s="11">
        <v>55820000</v>
      </c>
      <c r="K21" s="11">
        <f t="shared" si="3"/>
        <v>57744827.586206891</v>
      </c>
      <c r="L21" s="18">
        <f t="shared" si="0"/>
        <v>2.4534969575573786</v>
      </c>
      <c r="M21" s="18">
        <f t="shared" si="1"/>
        <v>2.8952736746380804E-2</v>
      </c>
      <c r="P21" s="10" t="s">
        <v>40</v>
      </c>
      <c r="Q21" s="11">
        <f t="shared" si="4"/>
        <v>141260082</v>
      </c>
      <c r="R21" s="11">
        <f t="shared" si="4"/>
        <v>149796262.28457752</v>
      </c>
      <c r="S21" s="11">
        <f t="shared" si="4"/>
        <v>238064013</v>
      </c>
      <c r="T21" s="11">
        <f t="shared" si="4"/>
        <v>246273116.89655173</v>
      </c>
      <c r="U21" s="18">
        <f t="shared" si="5"/>
        <v>1.6440538177694379</v>
      </c>
      <c r="V21" s="18">
        <f t="shared" si="6"/>
        <v>0.74340205251014746</v>
      </c>
    </row>
    <row r="22" spans="1:22" x14ac:dyDescent="0.3">
      <c r="A22" s="9" t="s">
        <v>33</v>
      </c>
      <c r="B22" s="10" t="s">
        <v>412</v>
      </c>
      <c r="C22" s="10" t="s">
        <v>20</v>
      </c>
      <c r="D22" s="10" t="s">
        <v>30</v>
      </c>
      <c r="E22" s="10" t="s">
        <v>693</v>
      </c>
      <c r="F22" s="10" t="s">
        <v>694</v>
      </c>
      <c r="G22" s="10" t="s">
        <v>696</v>
      </c>
      <c r="H22" s="11">
        <v>23000000</v>
      </c>
      <c r="I22" s="11">
        <v>21648451.556175601</v>
      </c>
      <c r="J22" s="11">
        <v>30020000</v>
      </c>
      <c r="K22" s="11">
        <f t="shared" si="3"/>
        <v>31055172.413793102</v>
      </c>
      <c r="L22" s="18">
        <f t="shared" si="0"/>
        <v>1.4345216484979531</v>
      </c>
      <c r="M22" s="18">
        <f t="shared" si="1"/>
        <v>0.35022488755622183</v>
      </c>
      <c r="P22" s="10" t="s">
        <v>30</v>
      </c>
      <c r="Q22" s="11">
        <f t="shared" si="4"/>
        <v>478292600</v>
      </c>
      <c r="R22" s="11">
        <f t="shared" si="4"/>
        <v>406554934.81021088</v>
      </c>
      <c r="S22" s="11">
        <f t="shared" si="4"/>
        <v>519823632</v>
      </c>
      <c r="T22" s="11">
        <f t="shared" si="4"/>
        <v>537748584.82758617</v>
      </c>
      <c r="U22" s="18">
        <f t="shared" si="5"/>
        <v>1.3226959969840717</v>
      </c>
      <c r="V22" s="18">
        <f t="shared" si="6"/>
        <v>0.12430881186032602</v>
      </c>
    </row>
    <row r="23" spans="1:22" x14ac:dyDescent="0.3">
      <c r="A23" s="9" t="s">
        <v>54</v>
      </c>
      <c r="B23" s="10" t="s">
        <v>425</v>
      </c>
      <c r="C23" s="10" t="s">
        <v>22</v>
      </c>
      <c r="D23" s="10" t="s">
        <v>48</v>
      </c>
      <c r="E23" s="10" t="s">
        <v>693</v>
      </c>
      <c r="F23" s="10" t="s">
        <v>694</v>
      </c>
      <c r="G23" s="10" t="s">
        <v>699</v>
      </c>
      <c r="H23" s="11">
        <v>9180001</v>
      </c>
      <c r="I23" s="11">
        <v>15438722.147018766</v>
      </c>
      <c r="J23" s="11">
        <v>33480000</v>
      </c>
      <c r="K23" s="11">
        <f t="shared" si="3"/>
        <v>34634482.758620687</v>
      </c>
      <c r="L23" s="18">
        <f t="shared" si="0"/>
        <v>2.243351647163923</v>
      </c>
      <c r="M23" s="18">
        <f t="shared" si="1"/>
        <v>2.7728190616341641</v>
      </c>
      <c r="P23" s="10" t="s">
        <v>44</v>
      </c>
      <c r="Q23" s="11">
        <f t="shared" si="4"/>
        <v>362620028</v>
      </c>
      <c r="R23" s="11">
        <f t="shared" si="4"/>
        <v>379765950.99909127</v>
      </c>
      <c r="S23" s="11">
        <f t="shared" si="4"/>
        <v>388924001</v>
      </c>
      <c r="T23" s="11">
        <f t="shared" si="4"/>
        <v>402335173.44827586</v>
      </c>
      <c r="U23" s="18">
        <f t="shared" si="5"/>
        <v>1.0594292942529717</v>
      </c>
      <c r="V23" s="18">
        <f t="shared" si="6"/>
        <v>0.10952275765715805</v>
      </c>
    </row>
    <row r="24" spans="1:22" x14ac:dyDescent="0.3">
      <c r="A24" s="9" t="s">
        <v>21</v>
      </c>
      <c r="B24" s="10" t="s">
        <v>405</v>
      </c>
      <c r="C24" s="10" t="s">
        <v>20</v>
      </c>
      <c r="D24" s="10" t="s">
        <v>30</v>
      </c>
      <c r="E24" s="10" t="s">
        <v>693</v>
      </c>
      <c r="F24" s="10" t="s">
        <v>694</v>
      </c>
      <c r="G24" s="10" t="s">
        <v>696</v>
      </c>
      <c r="H24" s="11">
        <v>69680000</v>
      </c>
      <c r="I24" s="11">
        <v>67557497.551486894</v>
      </c>
      <c r="J24" s="11">
        <v>79160000</v>
      </c>
      <c r="K24" s="11">
        <f t="shared" si="3"/>
        <v>81889655.172413781</v>
      </c>
      <c r="L24" s="18">
        <f t="shared" si="0"/>
        <v>1.2121475504625385</v>
      </c>
      <c r="M24" s="18">
        <f t="shared" si="1"/>
        <v>0.175224672393998</v>
      </c>
      <c r="P24" s="10" t="s">
        <v>128</v>
      </c>
      <c r="Q24" s="11">
        <f t="shared" si="4"/>
        <v>6800000</v>
      </c>
      <c r="R24" s="11">
        <f t="shared" si="4"/>
        <v>16503468.92524522</v>
      </c>
      <c r="S24" s="11">
        <f t="shared" si="4"/>
        <v>14820000</v>
      </c>
      <c r="T24" s="11">
        <f t="shared" si="4"/>
        <v>15331034.482758623</v>
      </c>
      <c r="U24" s="18">
        <f t="shared" si="5"/>
        <v>0.92895830277880953</v>
      </c>
      <c r="V24" s="18">
        <f t="shared" si="6"/>
        <v>1.2545638945233268</v>
      </c>
    </row>
    <row r="25" spans="1:22" x14ac:dyDescent="0.3">
      <c r="A25" s="9" t="s">
        <v>23</v>
      </c>
      <c r="B25" s="10" t="s">
        <v>406</v>
      </c>
      <c r="C25" s="10" t="s">
        <v>20</v>
      </c>
      <c r="D25" s="10" t="s">
        <v>30</v>
      </c>
      <c r="E25" s="10" t="s">
        <v>693</v>
      </c>
      <c r="F25" s="10" t="s">
        <v>694</v>
      </c>
      <c r="G25" s="10" t="s">
        <v>696</v>
      </c>
      <c r="H25" s="11">
        <v>41227500</v>
      </c>
      <c r="I25" s="11">
        <v>38648451.556175597</v>
      </c>
      <c r="J25" s="11">
        <v>45800600</v>
      </c>
      <c r="K25" s="11">
        <f t="shared" si="3"/>
        <v>47379931.034482762</v>
      </c>
      <c r="L25" s="18">
        <f t="shared" si="0"/>
        <v>1.2259205511924829</v>
      </c>
      <c r="M25" s="18">
        <f t="shared" si="1"/>
        <v>0.1492312421195261</v>
      </c>
      <c r="P25" s="10" t="s">
        <v>129</v>
      </c>
      <c r="Q25" s="11">
        <f t="shared" si="4"/>
        <v>429984000</v>
      </c>
      <c r="R25" s="11">
        <f t="shared" si="4"/>
        <v>420461449.645913</v>
      </c>
      <c r="S25" s="11">
        <f t="shared" si="4"/>
        <v>561567003</v>
      </c>
      <c r="T25" s="11">
        <f t="shared" si="4"/>
        <v>580931382.41379309</v>
      </c>
      <c r="U25" s="18">
        <f t="shared" si="5"/>
        <v>1.3816519514524295</v>
      </c>
      <c r="V25" s="18">
        <f t="shared" si="6"/>
        <v>0.35105348667344155</v>
      </c>
    </row>
    <row r="26" spans="1:22" x14ac:dyDescent="0.3">
      <c r="A26" s="9" t="s">
        <v>130</v>
      </c>
      <c r="B26" s="10" t="s">
        <v>494</v>
      </c>
      <c r="C26" s="10" t="s">
        <v>22</v>
      </c>
      <c r="D26" s="10" t="s">
        <v>42</v>
      </c>
      <c r="E26" s="10" t="s">
        <v>693</v>
      </c>
      <c r="F26" s="10" t="s">
        <v>694</v>
      </c>
      <c r="G26" s="10" t="s">
        <v>699</v>
      </c>
      <c r="H26" s="11">
        <v>12080000</v>
      </c>
      <c r="I26" s="11">
        <v>14353569.841831867</v>
      </c>
      <c r="J26" s="11">
        <v>26000000</v>
      </c>
      <c r="K26" s="11">
        <f t="shared" si="3"/>
        <v>26896551.724137932</v>
      </c>
      <c r="L26" s="18">
        <f t="shared" si="0"/>
        <v>1.8738580033066725</v>
      </c>
      <c r="M26" s="18">
        <f t="shared" si="1"/>
        <v>1.2265357387531401</v>
      </c>
      <c r="P26" s="10" t="s">
        <v>131</v>
      </c>
      <c r="Q26" s="11">
        <f t="shared" si="4"/>
        <v>477405000</v>
      </c>
      <c r="R26" s="11">
        <f t="shared" si="4"/>
        <v>421632591.73037845</v>
      </c>
      <c r="S26" s="11">
        <f t="shared" si="4"/>
        <v>386610000</v>
      </c>
      <c r="T26" s="11">
        <f t="shared" si="4"/>
        <v>399941379.31034482</v>
      </c>
      <c r="U26" s="18">
        <f t="shared" si="5"/>
        <v>0.94855423217874835</v>
      </c>
      <c r="V26" s="18">
        <f t="shared" si="6"/>
        <v>-0.16225975993057296</v>
      </c>
    </row>
    <row r="27" spans="1:22" x14ac:dyDescent="0.3">
      <c r="A27" s="9" t="s">
        <v>52</v>
      </c>
      <c r="B27" s="10" t="s">
        <v>423</v>
      </c>
      <c r="C27" s="10" t="s">
        <v>22</v>
      </c>
      <c r="D27" s="10" t="s">
        <v>46</v>
      </c>
      <c r="E27" s="10" t="s">
        <v>693</v>
      </c>
      <c r="F27" s="10" t="s">
        <v>694</v>
      </c>
      <c r="G27" s="10" t="s">
        <v>700</v>
      </c>
      <c r="H27" s="11">
        <v>9020000</v>
      </c>
      <c r="I27" s="11">
        <v>9545775.6820215043</v>
      </c>
      <c r="J27" s="11">
        <v>29796000</v>
      </c>
      <c r="K27" s="11">
        <f t="shared" si="3"/>
        <v>30823448.275862068</v>
      </c>
      <c r="L27" s="18">
        <f t="shared" si="0"/>
        <v>3.2290145193663928</v>
      </c>
      <c r="M27" s="18">
        <f t="shared" si="1"/>
        <v>2.4172337334658613</v>
      </c>
      <c r="P27" s="10" t="s">
        <v>132</v>
      </c>
      <c r="Q27" s="11">
        <f t="shared" si="4"/>
        <v>342469000</v>
      </c>
      <c r="R27" s="11">
        <f t="shared" si="4"/>
        <v>402167610.36436886</v>
      </c>
      <c r="S27" s="11">
        <f t="shared" si="4"/>
        <v>365670000</v>
      </c>
      <c r="T27" s="11">
        <f t="shared" si="4"/>
        <v>378279310.34482759</v>
      </c>
      <c r="U27" s="18">
        <f t="shared" si="5"/>
        <v>0.94060113394537626</v>
      </c>
      <c r="V27" s="18">
        <f t="shared" si="6"/>
        <v>0.10456511492960703</v>
      </c>
    </row>
    <row r="28" spans="1:22" x14ac:dyDescent="0.3">
      <c r="A28" s="9" t="s">
        <v>41</v>
      </c>
      <c r="B28" s="10" t="s">
        <v>416</v>
      </c>
      <c r="C28" s="10" t="s">
        <v>22</v>
      </c>
      <c r="D28" s="10" t="s">
        <v>40</v>
      </c>
      <c r="E28" s="10" t="s">
        <v>693</v>
      </c>
      <c r="F28" s="10" t="s">
        <v>694</v>
      </c>
      <c r="G28" s="10" t="s">
        <v>698</v>
      </c>
      <c r="H28" s="11">
        <v>4320000</v>
      </c>
      <c r="I28" s="11">
        <v>10017902.657588972</v>
      </c>
      <c r="J28" s="11">
        <v>24860000</v>
      </c>
      <c r="K28" s="11">
        <f t="shared" si="3"/>
        <v>25717241.379310343</v>
      </c>
      <c r="L28" s="18">
        <f t="shared" si="0"/>
        <v>2.567128296043931</v>
      </c>
      <c r="M28" s="18">
        <f t="shared" si="1"/>
        <v>4.9530651340996164</v>
      </c>
      <c r="P28" s="10" t="s">
        <v>133</v>
      </c>
      <c r="Q28" s="11">
        <f t="shared" si="4"/>
        <v>319231000</v>
      </c>
      <c r="R28" s="11">
        <f t="shared" si="4"/>
        <v>352706303.85461986</v>
      </c>
      <c r="S28" s="11">
        <f t="shared" si="4"/>
        <v>349017000</v>
      </c>
      <c r="T28" s="11">
        <f t="shared" si="4"/>
        <v>361052068.96551728</v>
      </c>
      <c r="U28" s="18">
        <f t="shared" si="5"/>
        <v>1.023662080942952</v>
      </c>
      <c r="V28" s="18">
        <f t="shared" si="6"/>
        <v>0.13100566350234558</v>
      </c>
    </row>
    <row r="29" spans="1:22" x14ac:dyDescent="0.3">
      <c r="A29" s="9" t="s">
        <v>49</v>
      </c>
      <c r="B29" s="10" t="s">
        <v>420</v>
      </c>
      <c r="C29" s="10" t="s">
        <v>22</v>
      </c>
      <c r="D29" s="10" t="s">
        <v>46</v>
      </c>
      <c r="E29" s="10" t="s">
        <v>693</v>
      </c>
      <c r="F29" s="10" t="s">
        <v>694</v>
      </c>
      <c r="G29" s="10" t="s">
        <v>700</v>
      </c>
      <c r="H29" s="11">
        <v>26480000</v>
      </c>
      <c r="I29" s="11">
        <v>30974284.30952182</v>
      </c>
      <c r="J29" s="11">
        <v>42640000</v>
      </c>
      <c r="K29" s="11">
        <f t="shared" si="3"/>
        <v>44110344.827586204</v>
      </c>
      <c r="L29" s="18">
        <f t="shared" si="0"/>
        <v>1.4240956913418084</v>
      </c>
      <c r="M29" s="18">
        <f t="shared" si="1"/>
        <v>0.66579852067923728</v>
      </c>
      <c r="P29" s="10" t="s">
        <v>134</v>
      </c>
      <c r="Q29" s="11">
        <f t="shared" si="4"/>
        <v>374705000</v>
      </c>
      <c r="R29" s="11">
        <f t="shared" si="4"/>
        <v>328139678.9086113</v>
      </c>
      <c r="S29" s="11">
        <f t="shared" si="4"/>
        <v>354685069</v>
      </c>
      <c r="T29" s="11">
        <f t="shared" si="4"/>
        <v>366915588.62068963</v>
      </c>
      <c r="U29" s="18">
        <f t="shared" si="5"/>
        <v>1.1181689146556324</v>
      </c>
      <c r="V29" s="18">
        <f t="shared" si="6"/>
        <v>-2.0788116996865186E-2</v>
      </c>
    </row>
    <row r="30" spans="1:22" x14ac:dyDescent="0.3">
      <c r="A30" s="9" t="s">
        <v>135</v>
      </c>
      <c r="B30" s="10" t="s">
        <v>495</v>
      </c>
      <c r="C30" s="10" t="s">
        <v>20</v>
      </c>
      <c r="D30" s="10" t="s">
        <v>32</v>
      </c>
      <c r="E30" s="10" t="s">
        <v>693</v>
      </c>
      <c r="F30" s="10" t="s">
        <v>694</v>
      </c>
      <c r="G30" s="10" t="s">
        <v>696</v>
      </c>
      <c r="H30" s="11">
        <v>49755028</v>
      </c>
      <c r="I30" s="11">
        <v>46456834.960027248</v>
      </c>
      <c r="J30" s="11">
        <v>53540000</v>
      </c>
      <c r="K30" s="11">
        <f t="shared" si="3"/>
        <v>55386206.896551721</v>
      </c>
      <c r="L30" s="18">
        <f t="shared" si="0"/>
        <v>1.1922079268681895</v>
      </c>
      <c r="M30" s="18">
        <f t="shared" si="1"/>
        <v>0.11317808717848014</v>
      </c>
      <c r="P30" s="10" t="s">
        <v>136</v>
      </c>
      <c r="Q30" s="11">
        <f t="shared" si="4"/>
        <v>464686007</v>
      </c>
      <c r="R30" s="11">
        <f t="shared" si="4"/>
        <v>382800907.51818782</v>
      </c>
      <c r="S30" s="11">
        <f t="shared" si="4"/>
        <v>314460006</v>
      </c>
      <c r="T30" s="11">
        <f t="shared" si="4"/>
        <v>325303454.48275858</v>
      </c>
      <c r="U30" s="18">
        <f t="shared" si="5"/>
        <v>0.84979802318598896</v>
      </c>
      <c r="V30" s="18">
        <f t="shared" si="6"/>
        <v>-0.29994996711239774</v>
      </c>
    </row>
    <row r="31" spans="1:22" x14ac:dyDescent="0.3">
      <c r="A31" s="9" t="s">
        <v>137</v>
      </c>
      <c r="B31" s="10" t="s">
        <v>496</v>
      </c>
      <c r="C31" s="10" t="s">
        <v>20</v>
      </c>
      <c r="D31" s="10" t="s">
        <v>34</v>
      </c>
      <c r="E31" s="10" t="s">
        <v>693</v>
      </c>
      <c r="F31" s="10" t="s">
        <v>694</v>
      </c>
      <c r="G31" s="10" t="s">
        <v>697</v>
      </c>
      <c r="H31" s="11">
        <v>500000</v>
      </c>
      <c r="I31" s="11">
        <v>3717416.3067947999</v>
      </c>
      <c r="J31" s="11">
        <v>5460000</v>
      </c>
      <c r="K31" s="11">
        <f t="shared" si="3"/>
        <v>5648275.8620689651</v>
      </c>
      <c r="L31" s="18">
        <f t="shared" si="0"/>
        <v>1.5194090185016096</v>
      </c>
      <c r="M31" s="18">
        <f t="shared" si="1"/>
        <v>10.296551724137931</v>
      </c>
      <c r="P31" s="10" t="s">
        <v>138</v>
      </c>
      <c r="Q31" s="11">
        <f t="shared" si="4"/>
        <v>558623002</v>
      </c>
      <c r="R31" s="11">
        <f t="shared" si="4"/>
        <v>499231031.86586595</v>
      </c>
      <c r="S31" s="11">
        <f t="shared" si="4"/>
        <v>496280000</v>
      </c>
      <c r="T31" s="11">
        <f t="shared" si="4"/>
        <v>513393103.44827586</v>
      </c>
      <c r="U31" s="18">
        <f t="shared" si="5"/>
        <v>1.0283677709886732</v>
      </c>
      <c r="V31" s="18">
        <f t="shared" si="6"/>
        <v>-8.096676719324232E-2</v>
      </c>
    </row>
    <row r="32" spans="1:22" x14ac:dyDescent="0.3">
      <c r="A32" s="9" t="s">
        <v>50</v>
      </c>
      <c r="B32" s="10" t="s">
        <v>421</v>
      </c>
      <c r="C32" s="10" t="s">
        <v>22</v>
      </c>
      <c r="D32" s="10" t="s">
        <v>40</v>
      </c>
      <c r="E32" s="10" t="s">
        <v>693</v>
      </c>
      <c r="F32" s="10" t="s">
        <v>694</v>
      </c>
      <c r="G32" s="10" t="s">
        <v>698</v>
      </c>
      <c r="H32" s="11">
        <v>47880003</v>
      </c>
      <c r="I32" s="11">
        <v>43493908.623444572</v>
      </c>
      <c r="J32" s="11">
        <v>51284001</v>
      </c>
      <c r="K32" s="11">
        <f t="shared" si="3"/>
        <v>53052414.827586204</v>
      </c>
      <c r="L32" s="18">
        <f t="shared" si="0"/>
        <v>1.2197665490792267</v>
      </c>
      <c r="M32" s="18">
        <f t="shared" si="1"/>
        <v>0.10802864460109168</v>
      </c>
      <c r="P32" s="5" t="s">
        <v>67</v>
      </c>
      <c r="Q32" s="13">
        <f>SUM(Q12:Q31)</f>
        <v>6496530792</v>
      </c>
      <c r="R32" s="13">
        <f>SUM(R12:R31)</f>
        <v>6242903285.000001</v>
      </c>
      <c r="S32" s="13">
        <f>SUM(S12:S31)</f>
        <v>7125718958</v>
      </c>
      <c r="T32" s="13">
        <f>SUM(T12:T31)</f>
        <v>7371433404.8275852</v>
      </c>
      <c r="U32" s="14">
        <f t="shared" si="5"/>
        <v>1.1807700789693691</v>
      </c>
      <c r="V32" s="19">
        <f t="shared" si="6"/>
        <v>0.13467227984279909</v>
      </c>
    </row>
    <row r="33" spans="1:13" x14ac:dyDescent="0.3">
      <c r="A33" s="9" t="s">
        <v>51</v>
      </c>
      <c r="B33" s="10" t="s">
        <v>422</v>
      </c>
      <c r="C33" s="10" t="s">
        <v>22</v>
      </c>
      <c r="D33" s="10" t="s">
        <v>28</v>
      </c>
      <c r="E33" s="10" t="s">
        <v>693</v>
      </c>
      <c r="F33" s="10" t="s">
        <v>694</v>
      </c>
      <c r="G33" s="10" t="s">
        <v>695</v>
      </c>
      <c r="H33" s="11">
        <v>40060000</v>
      </c>
      <c r="I33" s="11">
        <v>19468882.529623263</v>
      </c>
      <c r="J33" s="11">
        <v>68160000</v>
      </c>
      <c r="K33" s="11">
        <f t="shared" si="3"/>
        <v>70510344.827586219</v>
      </c>
      <c r="L33" s="18">
        <f t="shared" si="0"/>
        <v>3.6216945025118834</v>
      </c>
      <c r="M33" s="18">
        <f t="shared" si="1"/>
        <v>0.76011844302511777</v>
      </c>
    </row>
    <row r="34" spans="1:13" x14ac:dyDescent="0.3">
      <c r="A34" s="9" t="s">
        <v>139</v>
      </c>
      <c r="B34" s="10" t="s">
        <v>497</v>
      </c>
      <c r="C34" s="10" t="s">
        <v>20</v>
      </c>
      <c r="D34" s="10" t="s">
        <v>32</v>
      </c>
      <c r="E34" s="10" t="s">
        <v>693</v>
      </c>
      <c r="F34" s="10" t="s">
        <v>694</v>
      </c>
      <c r="G34" s="10" t="s">
        <v>696</v>
      </c>
      <c r="H34" s="11">
        <v>26080000</v>
      </c>
      <c r="I34" s="11">
        <v>35299710.711083584</v>
      </c>
      <c r="J34" s="11">
        <v>24940000</v>
      </c>
      <c r="K34" s="11">
        <f t="shared" si="3"/>
        <v>25800000</v>
      </c>
      <c r="L34" s="18">
        <f t="shared" si="0"/>
        <v>0.73088417667681294</v>
      </c>
      <c r="M34" s="18">
        <f t="shared" si="1"/>
        <v>-1.0736196319018405E-2</v>
      </c>
    </row>
    <row r="35" spans="1:13" x14ac:dyDescent="0.3">
      <c r="A35" s="9" t="s">
        <v>246</v>
      </c>
      <c r="B35" s="10" t="s">
        <v>602</v>
      </c>
      <c r="C35" s="10" t="s">
        <v>22</v>
      </c>
      <c r="D35" s="10" t="s">
        <v>28</v>
      </c>
      <c r="E35" s="10" t="s">
        <v>693</v>
      </c>
      <c r="F35" s="10" t="s">
        <v>701</v>
      </c>
      <c r="G35" s="10" t="s">
        <v>695</v>
      </c>
      <c r="H35" s="11">
        <v>0</v>
      </c>
      <c r="I35" s="11">
        <v>183822.55799891622</v>
      </c>
      <c r="J35" s="11">
        <v>0</v>
      </c>
      <c r="K35" s="11">
        <f t="shared" si="3"/>
        <v>0</v>
      </c>
      <c r="L35" s="18">
        <f t="shared" si="0"/>
        <v>0</v>
      </c>
      <c r="M35" s="18">
        <f t="shared" si="1"/>
        <v>0</v>
      </c>
    </row>
    <row r="36" spans="1:13" x14ac:dyDescent="0.3">
      <c r="A36" s="9" t="s">
        <v>92</v>
      </c>
      <c r="B36" s="10" t="s">
        <v>461</v>
      </c>
      <c r="C36" s="10" t="s">
        <v>22</v>
      </c>
      <c r="D36" s="10" t="s">
        <v>40</v>
      </c>
      <c r="E36" s="10" t="s">
        <v>693</v>
      </c>
      <c r="F36" s="10" t="s">
        <v>694</v>
      </c>
      <c r="G36" s="10" t="s">
        <v>698</v>
      </c>
      <c r="H36" s="11">
        <v>6620001</v>
      </c>
      <c r="I36" s="11">
        <v>6511082.376179303</v>
      </c>
      <c r="J36" s="11">
        <v>15360001</v>
      </c>
      <c r="K36" s="11">
        <f t="shared" si="3"/>
        <v>15889656.206896553</v>
      </c>
      <c r="L36" s="18">
        <f t="shared" si="0"/>
        <v>2.4404016550349019</v>
      </c>
      <c r="M36" s="18">
        <f t="shared" si="1"/>
        <v>1.4002498197351561</v>
      </c>
    </row>
    <row r="37" spans="1:13" x14ac:dyDescent="0.3">
      <c r="A37" s="9" t="s">
        <v>62</v>
      </c>
      <c r="B37" s="10" t="s">
        <v>433</v>
      </c>
      <c r="C37" s="10" t="s">
        <v>20</v>
      </c>
      <c r="D37" s="10" t="s">
        <v>34</v>
      </c>
      <c r="E37" s="10" t="s">
        <v>693</v>
      </c>
      <c r="F37" s="10" t="s">
        <v>694</v>
      </c>
      <c r="G37" s="10" t="s">
        <v>697</v>
      </c>
      <c r="H37" s="11">
        <v>90938004</v>
      </c>
      <c r="I37" s="11">
        <v>72568834.814038381</v>
      </c>
      <c r="J37" s="11">
        <v>73500000</v>
      </c>
      <c r="K37" s="11">
        <f t="shared" si="3"/>
        <v>76034482.758620694</v>
      </c>
      <c r="L37" s="18">
        <f t="shared" si="0"/>
        <v>1.0477566982226354</v>
      </c>
      <c r="M37" s="18">
        <f t="shared" si="1"/>
        <v>-0.16388661050202186</v>
      </c>
    </row>
    <row r="38" spans="1:13" x14ac:dyDescent="0.3">
      <c r="A38" s="9" t="s">
        <v>140</v>
      </c>
      <c r="B38" s="10" t="s">
        <v>498</v>
      </c>
      <c r="C38" s="10" t="s">
        <v>22</v>
      </c>
      <c r="D38" s="10" t="s">
        <v>28</v>
      </c>
      <c r="E38" s="10" t="s">
        <v>693</v>
      </c>
      <c r="F38" s="10" t="s">
        <v>694</v>
      </c>
      <c r="G38" s="10" t="s">
        <v>695</v>
      </c>
      <c r="H38" s="11">
        <v>16260000</v>
      </c>
      <c r="I38" s="11">
        <v>16704916.306274071</v>
      </c>
      <c r="J38" s="11">
        <v>29200000</v>
      </c>
      <c r="K38" s="11">
        <f t="shared" si="3"/>
        <v>30206896.55172414</v>
      </c>
      <c r="L38" s="18">
        <f t="shared" si="0"/>
        <v>1.8082638666306257</v>
      </c>
      <c r="M38" s="18">
        <f t="shared" si="1"/>
        <v>0.85774271535818813</v>
      </c>
    </row>
    <row r="39" spans="1:13" x14ac:dyDescent="0.3">
      <c r="A39" s="9" t="s">
        <v>141</v>
      </c>
      <c r="B39" s="10" t="s">
        <v>499</v>
      </c>
      <c r="C39" s="10" t="s">
        <v>22</v>
      </c>
      <c r="D39" s="10" t="s">
        <v>46</v>
      </c>
      <c r="E39" s="10" t="s">
        <v>693</v>
      </c>
      <c r="F39" s="10" t="s">
        <v>694</v>
      </c>
      <c r="G39" s="10" t="s">
        <v>700</v>
      </c>
      <c r="H39" s="11">
        <v>6160001</v>
      </c>
      <c r="I39" s="11">
        <v>14502103.806504052</v>
      </c>
      <c r="J39" s="11">
        <v>21840000</v>
      </c>
      <c r="K39" s="11">
        <f t="shared" si="3"/>
        <v>22593103.44827586</v>
      </c>
      <c r="L39" s="18">
        <f t="shared" si="0"/>
        <v>1.5579190267651424</v>
      </c>
      <c r="M39" s="18">
        <f t="shared" si="1"/>
        <v>2.667711003338451</v>
      </c>
    </row>
    <row r="40" spans="1:13" x14ac:dyDescent="0.3">
      <c r="A40" s="9" t="s">
        <v>142</v>
      </c>
      <c r="B40" s="10" t="s">
        <v>500</v>
      </c>
      <c r="C40" s="10" t="s">
        <v>20</v>
      </c>
      <c r="D40" s="10" t="s">
        <v>32</v>
      </c>
      <c r="E40" s="10" t="s">
        <v>693</v>
      </c>
      <c r="F40" s="10" t="s">
        <v>694</v>
      </c>
      <c r="G40" s="10" t="s">
        <v>696</v>
      </c>
      <c r="H40" s="11">
        <v>8180000</v>
      </c>
      <c r="I40" s="11">
        <v>8257338.1821560217</v>
      </c>
      <c r="J40" s="11">
        <v>8760001</v>
      </c>
      <c r="K40" s="11">
        <f t="shared" si="3"/>
        <v>9062070</v>
      </c>
      <c r="L40" s="18">
        <f t="shared" si="0"/>
        <v>1.0974565653109607</v>
      </c>
      <c r="M40" s="18">
        <f t="shared" si="1"/>
        <v>0.10783251833740831</v>
      </c>
    </row>
    <row r="41" spans="1:13" x14ac:dyDescent="0.3">
      <c r="A41" s="9" t="s">
        <v>143</v>
      </c>
      <c r="B41" s="10" t="s">
        <v>501</v>
      </c>
      <c r="C41" s="10" t="s">
        <v>22</v>
      </c>
      <c r="D41" s="10" t="s">
        <v>46</v>
      </c>
      <c r="E41" s="10" t="s">
        <v>693</v>
      </c>
      <c r="F41" s="10" t="s">
        <v>694</v>
      </c>
      <c r="G41" s="10" t="s">
        <v>700</v>
      </c>
      <c r="H41" s="11">
        <v>11860000</v>
      </c>
      <c r="I41" s="11">
        <v>9905399.868573213</v>
      </c>
      <c r="J41" s="11">
        <v>20380000</v>
      </c>
      <c r="K41" s="11">
        <f t="shared" si="3"/>
        <v>21082758.620689657</v>
      </c>
      <c r="L41" s="18">
        <f t="shared" si="0"/>
        <v>2.1284106548367387</v>
      </c>
      <c r="M41" s="18">
        <f t="shared" si="1"/>
        <v>0.77763563412223069</v>
      </c>
    </row>
    <row r="42" spans="1:13" x14ac:dyDescent="0.3">
      <c r="A42" s="9" t="s">
        <v>58</v>
      </c>
      <c r="B42" s="10" t="s">
        <v>429</v>
      </c>
      <c r="C42" s="10" t="s">
        <v>22</v>
      </c>
      <c r="D42" s="10" t="s">
        <v>48</v>
      </c>
      <c r="E42" s="10" t="s">
        <v>693</v>
      </c>
      <c r="F42" s="10" t="s">
        <v>694</v>
      </c>
      <c r="G42" s="10" t="s">
        <v>699</v>
      </c>
      <c r="H42" s="11">
        <v>2580000</v>
      </c>
      <c r="I42" s="11">
        <v>10451955.6149204</v>
      </c>
      <c r="J42" s="11">
        <v>11860000</v>
      </c>
      <c r="K42" s="11">
        <f t="shared" si="3"/>
        <v>12268965.517241379</v>
      </c>
      <c r="L42" s="18">
        <f t="shared" si="0"/>
        <v>1.1738440124762066</v>
      </c>
      <c r="M42" s="18">
        <f t="shared" si="1"/>
        <v>3.755412991178829</v>
      </c>
    </row>
    <row r="43" spans="1:13" x14ac:dyDescent="0.3">
      <c r="A43" s="9" t="s">
        <v>74</v>
      </c>
      <c r="B43" s="10" t="s">
        <v>443</v>
      </c>
      <c r="C43" s="10" t="s">
        <v>20</v>
      </c>
      <c r="D43" s="10" t="s">
        <v>38</v>
      </c>
      <c r="E43" s="10" t="s">
        <v>693</v>
      </c>
      <c r="F43" s="10" t="s">
        <v>694</v>
      </c>
      <c r="G43" s="10" t="s">
        <v>696</v>
      </c>
      <c r="H43" s="11">
        <v>6580000</v>
      </c>
      <c r="I43" s="11">
        <v>9807683.3567793034</v>
      </c>
      <c r="J43" s="11">
        <v>3800000</v>
      </c>
      <c r="K43" s="11">
        <f t="shared" si="3"/>
        <v>3931034.4827586208</v>
      </c>
      <c r="L43" s="18">
        <f t="shared" si="0"/>
        <v>0.40081172482402755</v>
      </c>
      <c r="M43" s="18">
        <f t="shared" si="1"/>
        <v>-0.40257834608531601</v>
      </c>
    </row>
    <row r="44" spans="1:13" x14ac:dyDescent="0.3">
      <c r="A44" s="9" t="s">
        <v>103</v>
      </c>
      <c r="B44" s="10" t="s">
        <v>472</v>
      </c>
      <c r="C44" s="10" t="s">
        <v>22</v>
      </c>
      <c r="D44" s="10" t="s">
        <v>44</v>
      </c>
      <c r="E44" s="10" t="s">
        <v>693</v>
      </c>
      <c r="F44" s="10" t="s">
        <v>694</v>
      </c>
      <c r="G44" s="10" t="s">
        <v>695</v>
      </c>
      <c r="H44" s="11">
        <v>2600000</v>
      </c>
      <c r="I44" s="11">
        <v>5690853.8074239688</v>
      </c>
      <c r="J44" s="11">
        <v>5720000</v>
      </c>
      <c r="K44" s="11">
        <f t="shared" si="3"/>
        <v>5917241.3793103453</v>
      </c>
      <c r="L44" s="18">
        <f t="shared" si="0"/>
        <v>1.0397809501960926</v>
      </c>
      <c r="M44" s="18">
        <f t="shared" si="1"/>
        <v>1.2758620689655173</v>
      </c>
    </row>
    <row r="45" spans="1:13" x14ac:dyDescent="0.3">
      <c r="A45" s="9" t="s">
        <v>144</v>
      </c>
      <c r="B45" s="10" t="s">
        <v>502</v>
      </c>
      <c r="C45" s="10" t="s">
        <v>22</v>
      </c>
      <c r="D45" s="10" t="s">
        <v>44</v>
      </c>
      <c r="E45" s="10" t="s">
        <v>693</v>
      </c>
      <c r="F45" s="10" t="s">
        <v>694</v>
      </c>
      <c r="G45" s="10" t="s">
        <v>695</v>
      </c>
      <c r="H45" s="11">
        <v>2000000</v>
      </c>
      <c r="I45" s="11">
        <v>3488041.3076539473</v>
      </c>
      <c r="J45" s="11">
        <v>2640000</v>
      </c>
      <c r="K45" s="11">
        <f t="shared" si="3"/>
        <v>2731034.4827586208</v>
      </c>
      <c r="L45" s="18">
        <f t="shared" si="0"/>
        <v>0.78297079703895811</v>
      </c>
      <c r="M45" s="18">
        <f t="shared" si="1"/>
        <v>0.36551724137931035</v>
      </c>
    </row>
    <row r="46" spans="1:13" x14ac:dyDescent="0.3">
      <c r="A46" s="9" t="s">
        <v>78</v>
      </c>
      <c r="B46" s="10" t="s">
        <v>447</v>
      </c>
      <c r="C46" s="10" t="s">
        <v>20</v>
      </c>
      <c r="D46" s="10" t="s">
        <v>32</v>
      </c>
      <c r="E46" s="10" t="s">
        <v>693</v>
      </c>
      <c r="F46" s="10" t="s">
        <v>694</v>
      </c>
      <c r="G46" s="10" t="s">
        <v>696</v>
      </c>
      <c r="H46" s="11">
        <v>10480000</v>
      </c>
      <c r="I46" s="11">
        <v>9379989.6613634806</v>
      </c>
      <c r="J46" s="11">
        <v>11200006</v>
      </c>
      <c r="K46" s="11">
        <f t="shared" si="3"/>
        <v>11586213.103448277</v>
      </c>
      <c r="L46" s="18">
        <f t="shared" si="0"/>
        <v>1.2352053170348696</v>
      </c>
      <c r="M46" s="18">
        <f t="shared" si="1"/>
        <v>0.10555468544353791</v>
      </c>
    </row>
    <row r="47" spans="1:13" x14ac:dyDescent="0.3">
      <c r="A47" s="9" t="s">
        <v>84</v>
      </c>
      <c r="B47" s="10" t="s">
        <v>453</v>
      </c>
      <c r="C47" s="10" t="s">
        <v>22</v>
      </c>
      <c r="D47" s="10" t="s">
        <v>48</v>
      </c>
      <c r="E47" s="10" t="s">
        <v>693</v>
      </c>
      <c r="F47" s="10" t="s">
        <v>694</v>
      </c>
      <c r="G47" s="10" t="s">
        <v>699</v>
      </c>
      <c r="H47" s="11">
        <v>5380000</v>
      </c>
      <c r="I47" s="11">
        <v>5872910.0734992148</v>
      </c>
      <c r="J47" s="11">
        <v>7760000</v>
      </c>
      <c r="K47" s="11">
        <f t="shared" si="3"/>
        <v>8027586.206896551</v>
      </c>
      <c r="L47" s="18">
        <f t="shared" si="0"/>
        <v>1.3668838968129355</v>
      </c>
      <c r="M47" s="18">
        <f t="shared" si="1"/>
        <v>0.49211639533393142</v>
      </c>
    </row>
    <row r="48" spans="1:13" x14ac:dyDescent="0.3">
      <c r="A48" s="9" t="s">
        <v>26</v>
      </c>
      <c r="B48" s="10" t="s">
        <v>408</v>
      </c>
      <c r="C48" s="10" t="s">
        <v>20</v>
      </c>
      <c r="D48" s="10" t="s">
        <v>34</v>
      </c>
      <c r="E48" s="10" t="s">
        <v>693</v>
      </c>
      <c r="F48" s="10" t="s">
        <v>694</v>
      </c>
      <c r="G48" s="10" t="s">
        <v>697</v>
      </c>
      <c r="H48" s="11">
        <v>31180000</v>
      </c>
      <c r="I48" s="11">
        <v>35971997.0539985</v>
      </c>
      <c r="J48" s="11">
        <v>40520000</v>
      </c>
      <c r="K48" s="11">
        <f t="shared" si="3"/>
        <v>41917241.379310347</v>
      </c>
      <c r="L48" s="18">
        <f t="shared" si="0"/>
        <v>1.1652742358559434</v>
      </c>
      <c r="M48" s="18">
        <f t="shared" si="1"/>
        <v>0.34436309747627797</v>
      </c>
    </row>
    <row r="49" spans="1:13" x14ac:dyDescent="0.3">
      <c r="A49" s="9" t="s">
        <v>145</v>
      </c>
      <c r="B49" s="10" t="s">
        <v>503</v>
      </c>
      <c r="C49" s="10" t="s">
        <v>20</v>
      </c>
      <c r="D49" s="10" t="s">
        <v>36</v>
      </c>
      <c r="E49" s="10" t="s">
        <v>693</v>
      </c>
      <c r="F49" s="10" t="s">
        <v>694</v>
      </c>
      <c r="G49" s="10" t="s">
        <v>697</v>
      </c>
      <c r="H49" s="11">
        <v>10338000</v>
      </c>
      <c r="I49" s="11">
        <v>8861621.4044179991</v>
      </c>
      <c r="J49" s="11">
        <v>12240000</v>
      </c>
      <c r="K49" s="11">
        <f t="shared" si="3"/>
        <v>12662068.965517242</v>
      </c>
      <c r="L49" s="18">
        <f t="shared" si="0"/>
        <v>1.4288659363403309</v>
      </c>
      <c r="M49" s="18">
        <f t="shared" si="1"/>
        <v>0.22480837352652752</v>
      </c>
    </row>
    <row r="50" spans="1:13" x14ac:dyDescent="0.3">
      <c r="A50" s="9" t="s">
        <v>146</v>
      </c>
      <c r="B50" s="10" t="s">
        <v>504</v>
      </c>
      <c r="C50" s="10" t="s">
        <v>20</v>
      </c>
      <c r="D50" s="10" t="s">
        <v>30</v>
      </c>
      <c r="E50" s="10" t="s">
        <v>693</v>
      </c>
      <c r="F50" s="10" t="s">
        <v>694</v>
      </c>
      <c r="G50" s="10" t="s">
        <v>696</v>
      </c>
      <c r="H50" s="11">
        <v>5120000</v>
      </c>
      <c r="I50" s="11">
        <v>6146242.1000014255</v>
      </c>
      <c r="J50" s="11">
        <v>8140000</v>
      </c>
      <c r="K50" s="11">
        <f t="shared" si="3"/>
        <v>8420689.6551724132</v>
      </c>
      <c r="L50" s="18">
        <f t="shared" si="0"/>
        <v>1.370054989400834</v>
      </c>
      <c r="M50" s="18">
        <f t="shared" si="1"/>
        <v>0.64466594827586199</v>
      </c>
    </row>
    <row r="51" spans="1:13" x14ac:dyDescent="0.3">
      <c r="A51" s="9" t="s">
        <v>27</v>
      </c>
      <c r="B51" s="10" t="s">
        <v>409</v>
      </c>
      <c r="C51" s="10" t="s">
        <v>20</v>
      </c>
      <c r="D51" s="10" t="s">
        <v>36</v>
      </c>
      <c r="E51" s="10" t="s">
        <v>693</v>
      </c>
      <c r="F51" s="10" t="s">
        <v>694</v>
      </c>
      <c r="G51" s="10" t="s">
        <v>697</v>
      </c>
      <c r="H51" s="11">
        <v>46250000</v>
      </c>
      <c r="I51" s="11">
        <v>40784603.804386497</v>
      </c>
      <c r="J51" s="11">
        <v>50640000</v>
      </c>
      <c r="K51" s="11">
        <f t="shared" si="3"/>
        <v>52386206.896551721</v>
      </c>
      <c r="L51" s="18">
        <f t="shared" si="0"/>
        <v>1.2844603602822651</v>
      </c>
      <c r="M51" s="18">
        <f t="shared" si="1"/>
        <v>0.13267474370922638</v>
      </c>
    </row>
    <row r="52" spans="1:13" x14ac:dyDescent="0.3">
      <c r="A52" s="9" t="s">
        <v>83</v>
      </c>
      <c r="B52" s="10" t="s">
        <v>452</v>
      </c>
      <c r="C52" s="10" t="s">
        <v>22</v>
      </c>
      <c r="D52" s="10" t="s">
        <v>28</v>
      </c>
      <c r="E52" s="10" t="s">
        <v>693</v>
      </c>
      <c r="F52" s="10" t="s">
        <v>694</v>
      </c>
      <c r="G52" s="10" t="s">
        <v>695</v>
      </c>
      <c r="H52" s="11">
        <v>7300000</v>
      </c>
      <c r="I52" s="11">
        <v>8172525.6938717328</v>
      </c>
      <c r="J52" s="11">
        <v>21820001</v>
      </c>
      <c r="K52" s="11">
        <f t="shared" si="3"/>
        <v>22572414.827586204</v>
      </c>
      <c r="L52" s="18">
        <f t="shared" si="0"/>
        <v>2.7619876245249864</v>
      </c>
      <c r="M52" s="18">
        <f t="shared" si="1"/>
        <v>2.0921116202172882</v>
      </c>
    </row>
    <row r="53" spans="1:13" x14ac:dyDescent="0.3">
      <c r="A53" s="9" t="s">
        <v>70</v>
      </c>
      <c r="B53" s="10" t="s">
        <v>439</v>
      </c>
      <c r="C53" s="10" t="s">
        <v>20</v>
      </c>
      <c r="D53" s="10" t="s">
        <v>32</v>
      </c>
      <c r="E53" s="10" t="s">
        <v>693</v>
      </c>
      <c r="F53" s="10" t="s">
        <v>694</v>
      </c>
      <c r="G53" s="10" t="s">
        <v>696</v>
      </c>
      <c r="H53" s="11">
        <v>4340000</v>
      </c>
      <c r="I53" s="11">
        <v>7680658.4947162289</v>
      </c>
      <c r="J53" s="11">
        <v>9380000</v>
      </c>
      <c r="K53" s="11">
        <f t="shared" si="3"/>
        <v>9703448.2758620698</v>
      </c>
      <c r="L53" s="18">
        <f t="shared" si="0"/>
        <v>1.2633615050763398</v>
      </c>
      <c r="M53" s="18">
        <f t="shared" si="1"/>
        <v>1.2358175750834262</v>
      </c>
    </row>
    <row r="54" spans="1:13" x14ac:dyDescent="0.3">
      <c r="A54" s="9" t="s">
        <v>100</v>
      </c>
      <c r="B54" s="10" t="s">
        <v>469</v>
      </c>
      <c r="C54" s="10" t="s">
        <v>20</v>
      </c>
      <c r="D54" s="10" t="s">
        <v>38</v>
      </c>
      <c r="E54" s="10" t="s">
        <v>693</v>
      </c>
      <c r="F54" s="10" t="s">
        <v>694</v>
      </c>
      <c r="G54" s="10" t="s">
        <v>696</v>
      </c>
      <c r="H54" s="11">
        <v>7280000</v>
      </c>
      <c r="I54" s="11">
        <v>5950619.4323968496</v>
      </c>
      <c r="J54" s="11">
        <v>1780000</v>
      </c>
      <c r="K54" s="11">
        <f t="shared" si="3"/>
        <v>1841379.3103448276</v>
      </c>
      <c r="L54" s="18">
        <f t="shared" si="0"/>
        <v>0.30944329935129772</v>
      </c>
      <c r="M54" s="18">
        <f t="shared" si="1"/>
        <v>-0.74706328154604018</v>
      </c>
    </row>
    <row r="55" spans="1:13" x14ac:dyDescent="0.3">
      <c r="A55" s="9" t="s">
        <v>147</v>
      </c>
      <c r="B55" s="10" t="s">
        <v>505</v>
      </c>
      <c r="C55" s="10" t="s">
        <v>22</v>
      </c>
      <c r="D55" s="10" t="s">
        <v>42</v>
      </c>
      <c r="E55" s="10" t="s">
        <v>693</v>
      </c>
      <c r="F55" s="10" t="s">
        <v>694</v>
      </c>
      <c r="G55" s="10" t="s">
        <v>699</v>
      </c>
      <c r="H55" s="11">
        <v>3460000</v>
      </c>
      <c r="I55" s="11">
        <v>7342963.1822514841</v>
      </c>
      <c r="J55" s="11">
        <v>17340000</v>
      </c>
      <c r="K55" s="11">
        <f t="shared" si="3"/>
        <v>17937931.034482758</v>
      </c>
      <c r="L55" s="18">
        <f t="shared" si="0"/>
        <v>2.4428736178114225</v>
      </c>
      <c r="M55" s="18">
        <f t="shared" si="1"/>
        <v>4.1843731313533983</v>
      </c>
    </row>
    <row r="56" spans="1:13" x14ac:dyDescent="0.3">
      <c r="A56" s="9" t="s">
        <v>148</v>
      </c>
      <c r="B56" s="10" t="s">
        <v>506</v>
      </c>
      <c r="C56" s="10" t="s">
        <v>22</v>
      </c>
      <c r="D56" s="10" t="s">
        <v>46</v>
      </c>
      <c r="E56" s="10" t="s">
        <v>693</v>
      </c>
      <c r="F56" s="10" t="s">
        <v>694</v>
      </c>
      <c r="G56" s="10" t="s">
        <v>700</v>
      </c>
      <c r="H56" s="11">
        <v>5280000</v>
      </c>
      <c r="I56" s="11">
        <v>3305973.2173100682</v>
      </c>
      <c r="J56" s="11">
        <v>17160050</v>
      </c>
      <c r="K56" s="11">
        <f t="shared" si="3"/>
        <v>17751775.862068966</v>
      </c>
      <c r="L56" s="18">
        <f t="shared" si="0"/>
        <v>5.3696066771263329</v>
      </c>
      <c r="M56" s="18">
        <f t="shared" si="1"/>
        <v>2.3620787617554861</v>
      </c>
    </row>
    <row r="57" spans="1:13" x14ac:dyDescent="0.3">
      <c r="A57" s="9" t="s">
        <v>72</v>
      </c>
      <c r="B57" s="10" t="s">
        <v>441</v>
      </c>
      <c r="C57" s="10" t="s">
        <v>20</v>
      </c>
      <c r="D57" s="10" t="s">
        <v>30</v>
      </c>
      <c r="E57" s="10" t="s">
        <v>693</v>
      </c>
      <c r="F57" s="10" t="s">
        <v>694</v>
      </c>
      <c r="G57" s="10" t="s">
        <v>696</v>
      </c>
      <c r="H57" s="11">
        <v>9300000</v>
      </c>
      <c r="I57" s="11">
        <v>6950619.4323968496</v>
      </c>
      <c r="J57" s="11">
        <v>14580000</v>
      </c>
      <c r="K57" s="11">
        <f t="shared" si="3"/>
        <v>15082758.620689657</v>
      </c>
      <c r="L57" s="18">
        <f t="shared" si="0"/>
        <v>2.1699876920881169</v>
      </c>
      <c r="M57" s="18">
        <f t="shared" si="1"/>
        <v>0.62180200222469428</v>
      </c>
    </row>
    <row r="58" spans="1:13" x14ac:dyDescent="0.3">
      <c r="A58" s="9" t="s">
        <v>87</v>
      </c>
      <c r="B58" s="10" t="s">
        <v>456</v>
      </c>
      <c r="C58" s="10" t="s">
        <v>20</v>
      </c>
      <c r="D58" s="10" t="s">
        <v>38</v>
      </c>
      <c r="E58" s="10" t="s">
        <v>693</v>
      </c>
      <c r="F58" s="10" t="s">
        <v>694</v>
      </c>
      <c r="G58" s="10" t="s">
        <v>696</v>
      </c>
      <c r="H58" s="11">
        <v>1780000</v>
      </c>
      <c r="I58" s="11">
        <v>5950619.4323968496</v>
      </c>
      <c r="J58" s="11">
        <v>1320000</v>
      </c>
      <c r="K58" s="11">
        <f t="shared" si="3"/>
        <v>1365517.2413793104</v>
      </c>
      <c r="L58" s="18">
        <f t="shared" si="0"/>
        <v>0.22947480626051292</v>
      </c>
      <c r="M58" s="18">
        <f t="shared" si="1"/>
        <v>-0.23285548237117396</v>
      </c>
    </row>
    <row r="59" spans="1:13" x14ac:dyDescent="0.3">
      <c r="A59" s="9" t="s">
        <v>85</v>
      </c>
      <c r="B59" s="10" t="s">
        <v>454</v>
      </c>
      <c r="C59" s="10" t="s">
        <v>22</v>
      </c>
      <c r="D59" s="10" t="s">
        <v>46</v>
      </c>
      <c r="E59" s="10" t="s">
        <v>693</v>
      </c>
      <c r="F59" s="10" t="s">
        <v>694</v>
      </c>
      <c r="G59" s="10" t="s">
        <v>700</v>
      </c>
      <c r="H59" s="11">
        <v>13480000</v>
      </c>
      <c r="I59" s="11">
        <v>10887180.086664997</v>
      </c>
      <c r="J59" s="11">
        <v>12760000</v>
      </c>
      <c r="K59" s="11">
        <f t="shared" si="3"/>
        <v>13200000</v>
      </c>
      <c r="L59" s="18">
        <f t="shared" si="0"/>
        <v>1.2124351663997757</v>
      </c>
      <c r="M59" s="18">
        <f t="shared" si="1"/>
        <v>-2.0771513353115726E-2</v>
      </c>
    </row>
    <row r="60" spans="1:13" x14ac:dyDescent="0.3">
      <c r="A60" s="9" t="s">
        <v>37</v>
      </c>
      <c r="B60" s="10" t="s">
        <v>414</v>
      </c>
      <c r="C60" s="10" t="s">
        <v>20</v>
      </c>
      <c r="D60" s="10" t="s">
        <v>38</v>
      </c>
      <c r="E60" s="10" t="s">
        <v>693</v>
      </c>
      <c r="F60" s="10" t="s">
        <v>694</v>
      </c>
      <c r="G60" s="10" t="s">
        <v>696</v>
      </c>
      <c r="H60" s="11">
        <v>3460000</v>
      </c>
      <c r="I60" s="11">
        <v>8257338.1821560217</v>
      </c>
      <c r="J60" s="11">
        <v>6360000</v>
      </c>
      <c r="K60" s="11">
        <f t="shared" si="3"/>
        <v>6579310.3448275859</v>
      </c>
      <c r="L60" s="18">
        <f t="shared" si="0"/>
        <v>0.7967834427619026</v>
      </c>
      <c r="M60" s="18">
        <f t="shared" si="1"/>
        <v>0.9015347817420768</v>
      </c>
    </row>
    <row r="61" spans="1:13" x14ac:dyDescent="0.3">
      <c r="A61" s="9" t="s">
        <v>93</v>
      </c>
      <c r="B61" s="10" t="s">
        <v>462</v>
      </c>
      <c r="C61" s="10" t="s">
        <v>22</v>
      </c>
      <c r="D61" s="10" t="s">
        <v>42</v>
      </c>
      <c r="E61" s="10" t="s">
        <v>693</v>
      </c>
      <c r="F61" s="10" t="s">
        <v>694</v>
      </c>
      <c r="G61" s="10" t="s">
        <v>699</v>
      </c>
      <c r="H61" s="11">
        <v>5860000</v>
      </c>
      <c r="I61" s="11">
        <v>10096478.80696401</v>
      </c>
      <c r="J61" s="11">
        <v>6300000</v>
      </c>
      <c r="K61" s="11">
        <f t="shared" si="3"/>
        <v>6517241.3793103453</v>
      </c>
      <c r="L61" s="18">
        <f t="shared" si="0"/>
        <v>0.64549646504631908</v>
      </c>
      <c r="M61" s="18">
        <f t="shared" si="1"/>
        <v>0.11215723196422274</v>
      </c>
    </row>
    <row r="62" spans="1:13" x14ac:dyDescent="0.3">
      <c r="A62" s="9" t="s">
        <v>149</v>
      </c>
      <c r="B62" s="10" t="s">
        <v>507</v>
      </c>
      <c r="C62" s="10" t="s">
        <v>22</v>
      </c>
      <c r="D62" s="10" t="s">
        <v>46</v>
      </c>
      <c r="E62" s="10" t="s">
        <v>693</v>
      </c>
      <c r="F62" s="10" t="s">
        <v>694</v>
      </c>
      <c r="G62" s="10" t="s">
        <v>700</v>
      </c>
      <c r="H62" s="11">
        <v>7480000</v>
      </c>
      <c r="I62" s="11">
        <v>1972008.3570992912</v>
      </c>
      <c r="J62" s="11">
        <v>13420000</v>
      </c>
      <c r="K62" s="11">
        <f t="shared" si="3"/>
        <v>13882758.620689657</v>
      </c>
      <c r="L62" s="18">
        <f t="shared" si="0"/>
        <v>7.0399086143379135</v>
      </c>
      <c r="M62" s="18">
        <f t="shared" si="1"/>
        <v>0.8559837728194728</v>
      </c>
    </row>
    <row r="63" spans="1:13" x14ac:dyDescent="0.3">
      <c r="A63" s="9" t="s">
        <v>150</v>
      </c>
      <c r="B63" s="10" t="s">
        <v>508</v>
      </c>
      <c r="C63" s="10" t="s">
        <v>20</v>
      </c>
      <c r="D63" s="10" t="s">
        <v>30</v>
      </c>
      <c r="E63" s="10" t="s">
        <v>693</v>
      </c>
      <c r="F63" s="10" t="s">
        <v>694</v>
      </c>
      <c r="G63" s="10" t="s">
        <v>696</v>
      </c>
      <c r="H63" s="11">
        <v>32705100</v>
      </c>
      <c r="I63" s="11">
        <v>25400978.0563058</v>
      </c>
      <c r="J63" s="11">
        <v>33988000</v>
      </c>
      <c r="K63" s="11">
        <f t="shared" si="3"/>
        <v>35160000</v>
      </c>
      <c r="L63" s="18">
        <f t="shared" si="0"/>
        <v>1.3841986683371634</v>
      </c>
      <c r="M63" s="18">
        <f t="shared" si="1"/>
        <v>7.506168762670043E-2</v>
      </c>
    </row>
    <row r="64" spans="1:13" x14ac:dyDescent="0.3">
      <c r="A64" s="9" t="s">
        <v>86</v>
      </c>
      <c r="B64" s="10" t="s">
        <v>455</v>
      </c>
      <c r="C64" s="10" t="s">
        <v>22</v>
      </c>
      <c r="D64" s="10" t="s">
        <v>48</v>
      </c>
      <c r="E64" s="10" t="s">
        <v>693</v>
      </c>
      <c r="F64" s="10" t="s">
        <v>694</v>
      </c>
      <c r="G64" s="10" t="s">
        <v>699</v>
      </c>
      <c r="H64" s="11">
        <v>680000</v>
      </c>
      <c r="I64" s="11">
        <v>5690853.8074239688</v>
      </c>
      <c r="J64" s="11">
        <v>4420000</v>
      </c>
      <c r="K64" s="11">
        <f t="shared" si="3"/>
        <v>4572413.793103449</v>
      </c>
      <c r="L64" s="18">
        <f t="shared" si="0"/>
        <v>0.80346709787879889</v>
      </c>
      <c r="M64" s="18">
        <f t="shared" si="1"/>
        <v>5.724137931034484</v>
      </c>
    </row>
    <row r="65" spans="1:13" x14ac:dyDescent="0.3">
      <c r="A65" s="9" t="s">
        <v>111</v>
      </c>
      <c r="B65" s="10" t="s">
        <v>480</v>
      </c>
      <c r="C65" s="10" t="s">
        <v>20</v>
      </c>
      <c r="D65" s="10" t="s">
        <v>38</v>
      </c>
      <c r="E65" s="10" t="s">
        <v>693</v>
      </c>
      <c r="F65" s="10" t="s">
        <v>694</v>
      </c>
      <c r="G65" s="10" t="s">
        <v>696</v>
      </c>
      <c r="H65" s="11">
        <v>20800000</v>
      </c>
      <c r="I65" s="11">
        <v>7717416.3067947999</v>
      </c>
      <c r="J65" s="11">
        <v>7100003</v>
      </c>
      <c r="K65" s="11">
        <f t="shared" si="3"/>
        <v>7344830.6896551717</v>
      </c>
      <c r="L65" s="18">
        <f t="shared" si="0"/>
        <v>0.9517214567248905</v>
      </c>
      <c r="M65" s="18">
        <f t="shared" si="1"/>
        <v>-0.64688313992042445</v>
      </c>
    </row>
    <row r="66" spans="1:13" x14ac:dyDescent="0.3">
      <c r="A66" s="9" t="s">
        <v>151</v>
      </c>
      <c r="B66" s="10" t="s">
        <v>509</v>
      </c>
      <c r="C66" s="10" t="s">
        <v>22</v>
      </c>
      <c r="D66" s="10" t="s">
        <v>48</v>
      </c>
      <c r="E66" s="10" t="s">
        <v>693</v>
      </c>
      <c r="F66" s="10" t="s">
        <v>701</v>
      </c>
      <c r="G66" s="10" t="s">
        <v>699</v>
      </c>
      <c r="H66" s="11">
        <v>0</v>
      </c>
      <c r="I66" s="11">
        <v>5690853.8074239688</v>
      </c>
      <c r="J66" s="11">
        <v>0</v>
      </c>
      <c r="K66" s="11">
        <f t="shared" si="3"/>
        <v>0</v>
      </c>
      <c r="L66" s="18">
        <f t="shared" si="0"/>
        <v>0</v>
      </c>
      <c r="M66" s="18">
        <f t="shared" si="1"/>
        <v>0</v>
      </c>
    </row>
    <row r="67" spans="1:13" x14ac:dyDescent="0.3">
      <c r="A67" s="9" t="s">
        <v>96</v>
      </c>
      <c r="B67" s="10" t="s">
        <v>465</v>
      </c>
      <c r="C67" s="10" t="s">
        <v>22</v>
      </c>
      <c r="D67" s="10" t="s">
        <v>40</v>
      </c>
      <c r="E67" s="10" t="s">
        <v>693</v>
      </c>
      <c r="F67" s="10" t="s">
        <v>694</v>
      </c>
      <c r="G67" s="10" t="s">
        <v>698</v>
      </c>
      <c r="H67" s="11">
        <v>7700000</v>
      </c>
      <c r="I67" s="11">
        <v>10017815.376338979</v>
      </c>
      <c r="J67" s="11">
        <v>14300000</v>
      </c>
      <c r="K67" s="11">
        <f t="shared" si="3"/>
        <v>14793103.448275862</v>
      </c>
      <c r="L67" s="18">
        <f t="shared" si="0"/>
        <v>1.476679584574458</v>
      </c>
      <c r="M67" s="18">
        <f t="shared" si="1"/>
        <v>0.9211822660098522</v>
      </c>
    </row>
    <row r="68" spans="1:13" x14ac:dyDescent="0.3">
      <c r="A68" s="9" t="s">
        <v>81</v>
      </c>
      <c r="B68" s="10" t="s">
        <v>450</v>
      </c>
      <c r="C68" s="10" t="s">
        <v>22</v>
      </c>
      <c r="D68" s="10" t="s">
        <v>28</v>
      </c>
      <c r="E68" s="10" t="s">
        <v>693</v>
      </c>
      <c r="F68" s="10" t="s">
        <v>694</v>
      </c>
      <c r="G68" s="10" t="s">
        <v>695</v>
      </c>
      <c r="H68" s="11">
        <v>1340000</v>
      </c>
      <c r="I68" s="11">
        <v>8586581.6692610793</v>
      </c>
      <c r="J68" s="11">
        <v>19400000</v>
      </c>
      <c r="K68" s="11">
        <f t="shared" si="3"/>
        <v>20068965.517241381</v>
      </c>
      <c r="L68" s="18">
        <f t="shared" si="0"/>
        <v>2.3372473808856724</v>
      </c>
      <c r="M68" s="18">
        <f t="shared" si="1"/>
        <v>13.976839938239836</v>
      </c>
    </row>
    <row r="69" spans="1:13" x14ac:dyDescent="0.3">
      <c r="A69" s="9" t="s">
        <v>97</v>
      </c>
      <c r="B69" s="10" t="s">
        <v>466</v>
      </c>
      <c r="C69" s="10" t="s">
        <v>20</v>
      </c>
      <c r="D69" s="10" t="s">
        <v>36</v>
      </c>
      <c r="E69" s="10" t="s">
        <v>693</v>
      </c>
      <c r="F69" s="10" t="s">
        <v>694</v>
      </c>
      <c r="G69" s="10" t="s">
        <v>697</v>
      </c>
      <c r="H69" s="11">
        <v>2880000</v>
      </c>
      <c r="I69" s="11">
        <v>5918713.2158056898</v>
      </c>
      <c r="J69" s="11">
        <v>12940000</v>
      </c>
      <c r="K69" s="11">
        <f t="shared" si="3"/>
        <v>13386206.896551723</v>
      </c>
      <c r="L69" s="18">
        <f t="shared" ref="L69:L175" si="7">IFERROR(K69/I69,0)</f>
        <v>2.2616752000763252</v>
      </c>
      <c r="M69" s="18">
        <f t="shared" ref="M69:M175" si="8">IFERROR((K69-H69)/H69,0)</f>
        <v>3.6479885057471257</v>
      </c>
    </row>
    <row r="70" spans="1:13" x14ac:dyDescent="0.3">
      <c r="A70" s="9" t="s">
        <v>95</v>
      </c>
      <c r="B70" s="10" t="s">
        <v>464</v>
      </c>
      <c r="C70" s="10" t="s">
        <v>20</v>
      </c>
      <c r="D70" s="10" t="s">
        <v>34</v>
      </c>
      <c r="E70" s="10" t="s">
        <v>693</v>
      </c>
      <c r="F70" s="10" t="s">
        <v>694</v>
      </c>
      <c r="G70" s="10" t="s">
        <v>697</v>
      </c>
      <c r="H70" s="11">
        <v>7820000</v>
      </c>
      <c r="I70" s="11">
        <v>9182105.6883239876</v>
      </c>
      <c r="J70" s="11">
        <v>10560000</v>
      </c>
      <c r="K70" s="11">
        <f t="shared" ref="K70:K176" si="9">IFERROR(J70/$A$1*$B$1,0)</f>
        <v>10924137.931034483</v>
      </c>
      <c r="L70" s="18">
        <f t="shared" si="7"/>
        <v>1.189720343224286</v>
      </c>
      <c r="M70" s="18">
        <f t="shared" si="8"/>
        <v>0.3969485845312638</v>
      </c>
    </row>
    <row r="71" spans="1:13" x14ac:dyDescent="0.3">
      <c r="A71" s="9" t="s">
        <v>69</v>
      </c>
      <c r="B71" s="10" t="s">
        <v>438</v>
      </c>
      <c r="C71" s="10" t="s">
        <v>20</v>
      </c>
      <c r="D71" s="10" t="s">
        <v>38</v>
      </c>
      <c r="E71" s="10" t="s">
        <v>693</v>
      </c>
      <c r="F71" s="10" t="s">
        <v>694</v>
      </c>
      <c r="G71" s="10" t="s">
        <v>696</v>
      </c>
      <c r="H71" s="11">
        <v>9940000</v>
      </c>
      <c r="I71" s="11">
        <v>5717416.3067947999</v>
      </c>
      <c r="J71" s="11">
        <v>4240000</v>
      </c>
      <c r="K71" s="11">
        <f t="shared" si="9"/>
        <v>4386206.8965517245</v>
      </c>
      <c r="L71" s="18">
        <f t="shared" si="7"/>
        <v>0.76716591222139718</v>
      </c>
      <c r="M71" s="18">
        <f t="shared" si="8"/>
        <v>-0.55873170054811627</v>
      </c>
    </row>
    <row r="72" spans="1:13" x14ac:dyDescent="0.3">
      <c r="A72" s="9" t="s">
        <v>80</v>
      </c>
      <c r="B72" s="10" t="s">
        <v>449</v>
      </c>
      <c r="C72" s="10" t="s">
        <v>22</v>
      </c>
      <c r="D72" s="10" t="s">
        <v>28</v>
      </c>
      <c r="E72" s="10" t="s">
        <v>693</v>
      </c>
      <c r="F72" s="10" t="s">
        <v>694</v>
      </c>
      <c r="G72" s="10" t="s">
        <v>695</v>
      </c>
      <c r="H72" s="11">
        <v>4360000</v>
      </c>
      <c r="I72" s="11">
        <v>9837368.8182545006</v>
      </c>
      <c r="J72" s="11">
        <v>9680055</v>
      </c>
      <c r="K72" s="11">
        <f t="shared" si="9"/>
        <v>10013850</v>
      </c>
      <c r="L72" s="18">
        <f t="shared" si="7"/>
        <v>1.0179398765062073</v>
      </c>
      <c r="M72" s="18">
        <f t="shared" si="8"/>
        <v>1.2967545871559634</v>
      </c>
    </row>
    <row r="73" spans="1:13" x14ac:dyDescent="0.3">
      <c r="A73" s="9" t="s">
        <v>101</v>
      </c>
      <c r="B73" s="10" t="s">
        <v>470</v>
      </c>
      <c r="C73" s="10" t="s">
        <v>22</v>
      </c>
      <c r="D73" s="10" t="s">
        <v>48</v>
      </c>
      <c r="E73" s="10" t="s">
        <v>693</v>
      </c>
      <c r="F73" s="10" t="s">
        <v>694</v>
      </c>
      <c r="G73" s="10" t="s">
        <v>699</v>
      </c>
      <c r="H73" s="11">
        <v>2460002</v>
      </c>
      <c r="I73" s="11">
        <v>6350244.0079609118</v>
      </c>
      <c r="J73" s="11">
        <v>13220000</v>
      </c>
      <c r="K73" s="11">
        <f t="shared" si="9"/>
        <v>13675862.068965517</v>
      </c>
      <c r="L73" s="18">
        <f t="shared" si="7"/>
        <v>2.1535963109167029</v>
      </c>
      <c r="M73" s="18">
        <f t="shared" si="8"/>
        <v>4.5592890042225642</v>
      </c>
    </row>
    <row r="74" spans="1:13" x14ac:dyDescent="0.3">
      <c r="A74" s="9" t="s">
        <v>104</v>
      </c>
      <c r="B74" s="10" t="s">
        <v>473</v>
      </c>
      <c r="C74" s="10" t="s">
        <v>22</v>
      </c>
      <c r="D74" s="10" t="s">
        <v>28</v>
      </c>
      <c r="E74" s="10" t="s">
        <v>693</v>
      </c>
      <c r="F74" s="10" t="s">
        <v>694</v>
      </c>
      <c r="G74" s="10" t="s">
        <v>695</v>
      </c>
      <c r="H74" s="11">
        <v>3000000</v>
      </c>
      <c r="I74" s="11">
        <v>3488041.3076539473</v>
      </c>
      <c r="J74" s="11">
        <v>4780000</v>
      </c>
      <c r="K74" s="11">
        <f t="shared" si="9"/>
        <v>4944827.5862068962</v>
      </c>
      <c r="L74" s="18">
        <f t="shared" si="7"/>
        <v>1.4176516703962951</v>
      </c>
      <c r="M74" s="18">
        <f t="shared" si="8"/>
        <v>0.64827586206896537</v>
      </c>
    </row>
    <row r="75" spans="1:13" x14ac:dyDescent="0.3">
      <c r="A75" s="9" t="s">
        <v>88</v>
      </c>
      <c r="B75" s="10" t="s">
        <v>457</v>
      </c>
      <c r="C75" s="10" t="s">
        <v>22</v>
      </c>
      <c r="D75" s="10" t="s">
        <v>48</v>
      </c>
      <c r="E75" s="10" t="s">
        <v>693</v>
      </c>
      <c r="F75" s="10" t="s">
        <v>694</v>
      </c>
      <c r="G75" s="10" t="s">
        <v>699</v>
      </c>
      <c r="H75" s="11">
        <v>6760000</v>
      </c>
      <c r="I75" s="11">
        <v>6897003.9200454196</v>
      </c>
      <c r="J75" s="11">
        <v>5420000</v>
      </c>
      <c r="K75" s="11">
        <f t="shared" si="9"/>
        <v>5606896.5517241387</v>
      </c>
      <c r="L75" s="18">
        <f t="shared" si="7"/>
        <v>0.81294669638047923</v>
      </c>
      <c r="M75" s="18">
        <f t="shared" si="8"/>
        <v>-0.17057743317690258</v>
      </c>
    </row>
    <row r="76" spans="1:13" x14ac:dyDescent="0.3">
      <c r="A76" s="9" t="s">
        <v>77</v>
      </c>
      <c r="B76" s="10" t="s">
        <v>446</v>
      </c>
      <c r="C76" s="10" t="s">
        <v>20</v>
      </c>
      <c r="D76" s="10" t="s">
        <v>36</v>
      </c>
      <c r="E76" s="10" t="s">
        <v>693</v>
      </c>
      <c r="F76" s="10" t="s">
        <v>694</v>
      </c>
      <c r="G76" s="10" t="s">
        <v>697</v>
      </c>
      <c r="H76" s="11">
        <v>14820000</v>
      </c>
      <c r="I76" s="11">
        <v>13498159.046896299</v>
      </c>
      <c r="J76" s="11">
        <v>17940000</v>
      </c>
      <c r="K76" s="11">
        <f t="shared" si="9"/>
        <v>18558620.689655174</v>
      </c>
      <c r="L76" s="18">
        <f t="shared" si="7"/>
        <v>1.3749001345426028</v>
      </c>
      <c r="M76" s="18">
        <f t="shared" si="8"/>
        <v>0.25226860254083494</v>
      </c>
    </row>
    <row r="77" spans="1:13" x14ac:dyDescent="0.3">
      <c r="A77" s="9" t="s">
        <v>107</v>
      </c>
      <c r="B77" s="10" t="s">
        <v>476</v>
      </c>
      <c r="C77" s="10" t="s">
        <v>22</v>
      </c>
      <c r="D77" s="10" t="s">
        <v>40</v>
      </c>
      <c r="E77" s="10" t="s">
        <v>693</v>
      </c>
      <c r="F77" s="10" t="s">
        <v>694</v>
      </c>
      <c r="G77" s="10" t="s">
        <v>698</v>
      </c>
      <c r="H77" s="11">
        <v>8320011</v>
      </c>
      <c r="I77" s="11">
        <v>7128489.3827723404</v>
      </c>
      <c r="J77" s="11">
        <v>15860001</v>
      </c>
      <c r="K77" s="11">
        <f t="shared" si="9"/>
        <v>16406897.586206898</v>
      </c>
      <c r="L77" s="18">
        <f t="shared" si="7"/>
        <v>2.3015952897198666</v>
      </c>
      <c r="M77" s="18">
        <f t="shared" si="8"/>
        <v>0.97198027577209911</v>
      </c>
    </row>
    <row r="78" spans="1:13" x14ac:dyDescent="0.3">
      <c r="A78" s="9" t="s">
        <v>82</v>
      </c>
      <c r="B78" s="10" t="s">
        <v>451</v>
      </c>
      <c r="C78" s="10" t="s">
        <v>22</v>
      </c>
      <c r="D78" s="10" t="s">
        <v>44</v>
      </c>
      <c r="E78" s="10" t="s">
        <v>693</v>
      </c>
      <c r="F78" s="10" t="s">
        <v>694</v>
      </c>
      <c r="G78" s="10" t="s">
        <v>698</v>
      </c>
      <c r="H78" s="11">
        <v>5900000</v>
      </c>
      <c r="I78" s="11">
        <v>8197885.056849</v>
      </c>
      <c r="J78" s="11">
        <v>8000000</v>
      </c>
      <c r="K78" s="11">
        <f t="shared" si="9"/>
        <v>8275862.068965517</v>
      </c>
      <c r="L78" s="18">
        <f t="shared" si="7"/>
        <v>1.009511845015608</v>
      </c>
      <c r="M78" s="18">
        <f t="shared" si="8"/>
        <v>0.40268848626534187</v>
      </c>
    </row>
    <row r="79" spans="1:13" x14ac:dyDescent="0.3">
      <c r="A79" s="9" t="s">
        <v>89</v>
      </c>
      <c r="B79" s="10" t="s">
        <v>458</v>
      </c>
      <c r="C79" s="10" t="s">
        <v>22</v>
      </c>
      <c r="D79" s="10" t="s">
        <v>40</v>
      </c>
      <c r="E79" s="10" t="s">
        <v>693</v>
      </c>
      <c r="F79" s="10" t="s">
        <v>694</v>
      </c>
      <c r="G79" s="10" t="s">
        <v>698</v>
      </c>
      <c r="H79" s="11">
        <v>8600000</v>
      </c>
      <c r="I79" s="11">
        <v>10042953.080404846</v>
      </c>
      <c r="J79" s="11">
        <v>12320000</v>
      </c>
      <c r="K79" s="11">
        <f t="shared" si="9"/>
        <v>12744827.586206898</v>
      </c>
      <c r="L79" s="18">
        <f t="shared" si="7"/>
        <v>1.2690318758009309</v>
      </c>
      <c r="M79" s="18">
        <f t="shared" si="8"/>
        <v>0.48195669607056957</v>
      </c>
    </row>
    <row r="80" spans="1:13" x14ac:dyDescent="0.3">
      <c r="A80" s="9" t="s">
        <v>94</v>
      </c>
      <c r="B80" s="10" t="s">
        <v>463</v>
      </c>
      <c r="C80" s="10" t="s">
        <v>22</v>
      </c>
      <c r="D80" s="10" t="s">
        <v>40</v>
      </c>
      <c r="E80" s="10" t="s">
        <v>693</v>
      </c>
      <c r="F80" s="10" t="s">
        <v>694</v>
      </c>
      <c r="G80" s="10" t="s">
        <v>698</v>
      </c>
      <c r="H80" s="11">
        <v>10100001</v>
      </c>
      <c r="I80" s="11">
        <v>9830577.0318239089</v>
      </c>
      <c r="J80" s="11">
        <v>9020000</v>
      </c>
      <c r="K80" s="11">
        <f t="shared" si="9"/>
        <v>9331034.4827586208</v>
      </c>
      <c r="L80" s="18">
        <f t="shared" si="7"/>
        <v>0.94918481921781905</v>
      </c>
      <c r="M80" s="18">
        <f t="shared" si="8"/>
        <v>-7.6135291198622584E-2</v>
      </c>
    </row>
    <row r="81" spans="1:13" x14ac:dyDescent="0.3">
      <c r="A81" s="9" t="s">
        <v>99</v>
      </c>
      <c r="B81" s="10" t="s">
        <v>468</v>
      </c>
      <c r="C81" s="10" t="s">
        <v>22</v>
      </c>
      <c r="D81" s="10" t="s">
        <v>44</v>
      </c>
      <c r="E81" s="10" t="s">
        <v>693</v>
      </c>
      <c r="F81" s="10" t="s">
        <v>694</v>
      </c>
      <c r="G81" s="10" t="s">
        <v>698</v>
      </c>
      <c r="H81" s="11">
        <v>4480000</v>
      </c>
      <c r="I81" s="11">
        <v>5690853.8074239688</v>
      </c>
      <c r="J81" s="11">
        <v>8440000</v>
      </c>
      <c r="K81" s="11">
        <f t="shared" si="9"/>
        <v>8731034.4827586208</v>
      </c>
      <c r="L81" s="18">
        <f t="shared" si="7"/>
        <v>1.5342222411984301</v>
      </c>
      <c r="M81" s="18">
        <f t="shared" si="8"/>
        <v>0.94889162561576357</v>
      </c>
    </row>
    <row r="82" spans="1:13" x14ac:dyDescent="0.3">
      <c r="A82" s="9" t="s">
        <v>152</v>
      </c>
      <c r="B82" s="10" t="s">
        <v>510</v>
      </c>
      <c r="C82" s="10" t="s">
        <v>22</v>
      </c>
      <c r="D82" s="10" t="s">
        <v>46</v>
      </c>
      <c r="E82" s="10" t="s">
        <v>693</v>
      </c>
      <c r="F82" s="10" t="s">
        <v>694</v>
      </c>
      <c r="G82" s="10" t="s">
        <v>700</v>
      </c>
      <c r="H82" s="11">
        <v>12320000</v>
      </c>
      <c r="I82" s="11">
        <v>12218004.294920921</v>
      </c>
      <c r="J82" s="11">
        <v>23540000</v>
      </c>
      <c r="K82" s="11">
        <f t="shared" si="9"/>
        <v>24351724.137931034</v>
      </c>
      <c r="L82" s="18">
        <f t="shared" si="7"/>
        <v>1.9931016187360611</v>
      </c>
      <c r="M82" s="18">
        <f t="shared" si="8"/>
        <v>0.97660098522167482</v>
      </c>
    </row>
    <row r="83" spans="1:13" x14ac:dyDescent="0.3">
      <c r="A83" s="9" t="s">
        <v>153</v>
      </c>
      <c r="B83" s="10" t="s">
        <v>511</v>
      </c>
      <c r="C83" s="10" t="s">
        <v>22</v>
      </c>
      <c r="D83" s="10" t="s">
        <v>46</v>
      </c>
      <c r="E83" s="10" t="s">
        <v>693</v>
      </c>
      <c r="F83" s="10" t="s">
        <v>694</v>
      </c>
      <c r="G83" s="10" t="s">
        <v>700</v>
      </c>
      <c r="H83" s="11">
        <v>18160000</v>
      </c>
      <c r="I83" s="11">
        <v>14420242.604899347</v>
      </c>
      <c r="J83" s="11">
        <v>22280000</v>
      </c>
      <c r="K83" s="11">
        <f t="shared" si="9"/>
        <v>23048275.862068966</v>
      </c>
      <c r="L83" s="18">
        <f t="shared" si="7"/>
        <v>1.5983278848747111</v>
      </c>
      <c r="M83" s="18">
        <f t="shared" si="8"/>
        <v>0.26917818623727785</v>
      </c>
    </row>
    <row r="84" spans="1:13" x14ac:dyDescent="0.3">
      <c r="A84" s="9" t="s">
        <v>154</v>
      </c>
      <c r="B84" s="10" t="s">
        <v>512</v>
      </c>
      <c r="C84" s="10" t="s">
        <v>22</v>
      </c>
      <c r="D84" s="10" t="s">
        <v>46</v>
      </c>
      <c r="E84" s="10" t="s">
        <v>693</v>
      </c>
      <c r="F84" s="10" t="s">
        <v>694</v>
      </c>
      <c r="G84" s="10" t="s">
        <v>700</v>
      </c>
      <c r="H84" s="11">
        <v>8800000</v>
      </c>
      <c r="I84" s="11">
        <v>7839658.9441952938</v>
      </c>
      <c r="J84" s="11">
        <v>14440000</v>
      </c>
      <c r="K84" s="11">
        <f t="shared" si="9"/>
        <v>14937931.034482758</v>
      </c>
      <c r="L84" s="18">
        <f t="shared" si="7"/>
        <v>1.9054312363349972</v>
      </c>
      <c r="M84" s="18">
        <f t="shared" si="8"/>
        <v>0.69749216300940442</v>
      </c>
    </row>
    <row r="85" spans="1:13" x14ac:dyDescent="0.3">
      <c r="A85" s="9" t="s">
        <v>155</v>
      </c>
      <c r="B85" s="10" t="s">
        <v>513</v>
      </c>
      <c r="C85" s="10" t="s">
        <v>22</v>
      </c>
      <c r="D85" s="10" t="s">
        <v>42</v>
      </c>
      <c r="E85" s="10" t="s">
        <v>693</v>
      </c>
      <c r="F85" s="10" t="s">
        <v>694</v>
      </c>
      <c r="G85" s="10" t="s">
        <v>699</v>
      </c>
      <c r="H85" s="11">
        <v>1340000</v>
      </c>
      <c r="I85" s="11">
        <v>6365694.6265039044</v>
      </c>
      <c r="J85" s="11">
        <v>8360000</v>
      </c>
      <c r="K85" s="11">
        <f t="shared" si="9"/>
        <v>8648275.862068966</v>
      </c>
      <c r="L85" s="18">
        <f t="shared" si="7"/>
        <v>1.3585753589343439</v>
      </c>
      <c r="M85" s="18">
        <f t="shared" si="8"/>
        <v>5.4539372104992285</v>
      </c>
    </row>
    <row r="86" spans="1:13" x14ac:dyDescent="0.3">
      <c r="A86" s="9" t="s">
        <v>108</v>
      </c>
      <c r="B86" s="10" t="s">
        <v>477</v>
      </c>
      <c r="C86" s="10" t="s">
        <v>22</v>
      </c>
      <c r="D86" s="10" t="s">
        <v>40</v>
      </c>
      <c r="E86" s="10" t="s">
        <v>693</v>
      </c>
      <c r="F86" s="10" t="s">
        <v>694</v>
      </c>
      <c r="G86" s="10" t="s">
        <v>698</v>
      </c>
      <c r="H86" s="11">
        <v>5840001</v>
      </c>
      <c r="I86" s="11">
        <v>6589004.7204469778</v>
      </c>
      <c r="J86" s="11">
        <v>11880000</v>
      </c>
      <c r="K86" s="11">
        <f t="shared" si="9"/>
        <v>12289655.172413792</v>
      </c>
      <c r="L86" s="18">
        <f t="shared" si="7"/>
        <v>1.8651762586049718</v>
      </c>
      <c r="M86" s="18">
        <f t="shared" si="8"/>
        <v>1.1043926486337574</v>
      </c>
    </row>
    <row r="87" spans="1:13" x14ac:dyDescent="0.3">
      <c r="A87" s="9" t="s">
        <v>114</v>
      </c>
      <c r="B87" s="10" t="s">
        <v>483</v>
      </c>
      <c r="C87" s="10" t="s">
        <v>22</v>
      </c>
      <c r="D87" s="10" t="s">
        <v>44</v>
      </c>
      <c r="E87" s="10" t="s">
        <v>693</v>
      </c>
      <c r="F87" s="10" t="s">
        <v>694</v>
      </c>
      <c r="G87" s="10" t="s">
        <v>698</v>
      </c>
      <c r="H87" s="11">
        <v>200028</v>
      </c>
      <c r="I87" s="11">
        <v>1038744.43259645</v>
      </c>
      <c r="J87" s="11">
        <v>3160001</v>
      </c>
      <c r="K87" s="11">
        <f t="shared" si="9"/>
        <v>3268966.5517241377</v>
      </c>
      <c r="L87" s="18">
        <f t="shared" si="7"/>
        <v>3.1470364115964649</v>
      </c>
      <c r="M87" s="18">
        <f t="shared" si="8"/>
        <v>15.34254480234836</v>
      </c>
    </row>
    <row r="88" spans="1:13" x14ac:dyDescent="0.3">
      <c r="A88" s="9" t="s">
        <v>110</v>
      </c>
      <c r="B88" s="10" t="s">
        <v>479</v>
      </c>
      <c r="C88" s="10" t="s">
        <v>22</v>
      </c>
      <c r="D88" s="10" t="s">
        <v>44</v>
      </c>
      <c r="E88" s="10" t="s">
        <v>693</v>
      </c>
      <c r="F88" s="10" t="s">
        <v>694</v>
      </c>
      <c r="G88" s="10" t="s">
        <v>698</v>
      </c>
      <c r="H88" s="11">
        <v>660000</v>
      </c>
      <c r="I88" s="11">
        <v>5690853.8074239688</v>
      </c>
      <c r="J88" s="11">
        <v>2640000</v>
      </c>
      <c r="K88" s="11">
        <f t="shared" si="9"/>
        <v>2731034.4827586208</v>
      </c>
      <c r="L88" s="18">
        <f t="shared" si="7"/>
        <v>0.47989890009050423</v>
      </c>
      <c r="M88" s="18">
        <f t="shared" si="8"/>
        <v>3.1379310344827589</v>
      </c>
    </row>
    <row r="89" spans="1:13" x14ac:dyDescent="0.3">
      <c r="A89" s="9" t="s">
        <v>91</v>
      </c>
      <c r="B89" s="10" t="s">
        <v>460</v>
      </c>
      <c r="C89" s="10" t="s">
        <v>20</v>
      </c>
      <c r="D89" s="10" t="s">
        <v>38</v>
      </c>
      <c r="E89" s="10" t="s">
        <v>693</v>
      </c>
      <c r="F89" s="10" t="s">
        <v>694</v>
      </c>
      <c r="G89" s="10" t="s">
        <v>696</v>
      </c>
      <c r="H89" s="11">
        <v>1800000</v>
      </c>
      <c r="I89" s="11">
        <v>5950619.4323968496</v>
      </c>
      <c r="J89" s="11">
        <v>1100000</v>
      </c>
      <c r="K89" s="11">
        <f t="shared" si="9"/>
        <v>1137931.0344827587</v>
      </c>
      <c r="L89" s="18">
        <f t="shared" si="7"/>
        <v>0.1912290052170941</v>
      </c>
      <c r="M89" s="18">
        <f t="shared" si="8"/>
        <v>-0.36781609195402293</v>
      </c>
    </row>
    <row r="90" spans="1:13" x14ac:dyDescent="0.3">
      <c r="A90" s="9" t="s">
        <v>156</v>
      </c>
      <c r="B90" s="10" t="s">
        <v>514</v>
      </c>
      <c r="C90" s="10" t="s">
        <v>22</v>
      </c>
      <c r="D90" s="10" t="s">
        <v>46</v>
      </c>
      <c r="E90" s="10" t="s">
        <v>693</v>
      </c>
      <c r="F90" s="10" t="s">
        <v>694</v>
      </c>
      <c r="G90" s="10" t="s">
        <v>700</v>
      </c>
      <c r="H90" s="11">
        <v>5520000</v>
      </c>
      <c r="I90" s="11">
        <v>9666572.8778804913</v>
      </c>
      <c r="J90" s="11">
        <v>16700000</v>
      </c>
      <c r="K90" s="11">
        <f t="shared" si="9"/>
        <v>17275862.068965517</v>
      </c>
      <c r="L90" s="18">
        <f t="shared" si="7"/>
        <v>1.7871754847570602</v>
      </c>
      <c r="M90" s="18">
        <f t="shared" si="8"/>
        <v>2.1296851574212892</v>
      </c>
    </row>
    <row r="91" spans="1:13" x14ac:dyDescent="0.3">
      <c r="A91" s="9" t="s">
        <v>71</v>
      </c>
      <c r="B91" s="10" t="s">
        <v>440</v>
      </c>
      <c r="C91" s="10" t="s">
        <v>20</v>
      </c>
      <c r="D91" s="10" t="s">
        <v>36</v>
      </c>
      <c r="E91" s="10" t="s">
        <v>693</v>
      </c>
      <c r="F91" s="10" t="s">
        <v>694</v>
      </c>
      <c r="G91" s="10" t="s">
        <v>697</v>
      </c>
      <c r="H91" s="11">
        <v>9860000</v>
      </c>
      <c r="I91" s="11">
        <v>8870775.6816744003</v>
      </c>
      <c r="J91" s="11">
        <v>10660000</v>
      </c>
      <c r="K91" s="11">
        <f t="shared" si="9"/>
        <v>11027586.206896551</v>
      </c>
      <c r="L91" s="18">
        <f t="shared" si="7"/>
        <v>1.2431366323102697</v>
      </c>
      <c r="M91" s="18">
        <f t="shared" si="8"/>
        <v>0.118416451003707</v>
      </c>
    </row>
    <row r="92" spans="1:13" x14ac:dyDescent="0.3">
      <c r="A92" s="9" t="s">
        <v>112</v>
      </c>
      <c r="B92" s="10" t="s">
        <v>481</v>
      </c>
      <c r="C92" s="10" t="s">
        <v>20</v>
      </c>
      <c r="D92" s="10" t="s">
        <v>30</v>
      </c>
      <c r="E92" s="10" t="s">
        <v>693</v>
      </c>
      <c r="F92" s="10" t="s">
        <v>694</v>
      </c>
      <c r="G92" s="10" t="s">
        <v>696</v>
      </c>
      <c r="H92" s="11">
        <v>12260000</v>
      </c>
      <c r="I92" s="11">
        <v>10950619.432396799</v>
      </c>
      <c r="J92" s="11">
        <v>5135032</v>
      </c>
      <c r="K92" s="11">
        <f t="shared" si="9"/>
        <v>5312102.068965517</v>
      </c>
      <c r="L92" s="18">
        <f t="shared" si="7"/>
        <v>0.48509603513842864</v>
      </c>
      <c r="M92" s="18">
        <f t="shared" si="8"/>
        <v>-0.56671271868144235</v>
      </c>
    </row>
    <row r="93" spans="1:13" x14ac:dyDescent="0.3">
      <c r="A93" s="9" t="s">
        <v>39</v>
      </c>
      <c r="B93" s="10" t="s">
        <v>415</v>
      </c>
      <c r="C93" s="10" t="s">
        <v>22</v>
      </c>
      <c r="D93" s="10" t="s">
        <v>42</v>
      </c>
      <c r="E93" s="10" t="s">
        <v>693</v>
      </c>
      <c r="F93" s="10" t="s">
        <v>694</v>
      </c>
      <c r="G93" s="10" t="s">
        <v>699</v>
      </c>
      <c r="H93" s="11">
        <v>0</v>
      </c>
      <c r="I93" s="11">
        <v>5749336.3651132155</v>
      </c>
      <c r="J93" s="11">
        <v>4880000</v>
      </c>
      <c r="K93" s="11">
        <f t="shared" si="9"/>
        <v>5048275.8620689651</v>
      </c>
      <c r="L93" s="18">
        <f t="shared" si="7"/>
        <v>0.87806236084946032</v>
      </c>
      <c r="M93" s="18">
        <f t="shared" si="8"/>
        <v>0</v>
      </c>
    </row>
    <row r="94" spans="1:13" x14ac:dyDescent="0.3">
      <c r="A94" s="9" t="s">
        <v>106</v>
      </c>
      <c r="B94" s="10" t="s">
        <v>475</v>
      </c>
      <c r="C94" s="10" t="s">
        <v>20</v>
      </c>
      <c r="D94" s="10" t="s">
        <v>38</v>
      </c>
      <c r="E94" s="10" t="s">
        <v>693</v>
      </c>
      <c r="F94" s="10" t="s">
        <v>694</v>
      </c>
      <c r="G94" s="10" t="s">
        <v>696</v>
      </c>
      <c r="H94" s="11">
        <v>17100000</v>
      </c>
      <c r="I94" s="11">
        <v>10177494.431433501</v>
      </c>
      <c r="J94" s="11">
        <v>9860000</v>
      </c>
      <c r="K94" s="11">
        <f t="shared" si="9"/>
        <v>10200000</v>
      </c>
      <c r="L94" s="18">
        <f t="shared" si="7"/>
        <v>1.0022113073820007</v>
      </c>
      <c r="M94" s="18">
        <f t="shared" si="8"/>
        <v>-0.40350877192982454</v>
      </c>
    </row>
    <row r="95" spans="1:13" x14ac:dyDescent="0.3">
      <c r="A95" s="9" t="s">
        <v>98</v>
      </c>
      <c r="B95" s="10" t="s">
        <v>467</v>
      </c>
      <c r="C95" s="10" t="s">
        <v>20</v>
      </c>
      <c r="D95" s="10" t="s">
        <v>30</v>
      </c>
      <c r="E95" s="10" t="s">
        <v>693</v>
      </c>
      <c r="F95" s="10" t="s">
        <v>694</v>
      </c>
      <c r="G95" s="10" t="s">
        <v>696</v>
      </c>
      <c r="H95" s="11">
        <v>7080000</v>
      </c>
      <c r="I95" s="11">
        <v>8564037.6617490016</v>
      </c>
      <c r="J95" s="11">
        <v>12040000</v>
      </c>
      <c r="K95" s="11">
        <f t="shared" si="9"/>
        <v>12455172.413793102</v>
      </c>
      <c r="L95" s="18">
        <f t="shared" si="7"/>
        <v>1.454357501184719</v>
      </c>
      <c r="M95" s="18">
        <f t="shared" si="8"/>
        <v>0.75920514319111609</v>
      </c>
    </row>
    <row r="96" spans="1:13" x14ac:dyDescent="0.3">
      <c r="A96" s="9" t="s">
        <v>105</v>
      </c>
      <c r="B96" s="10" t="s">
        <v>474</v>
      </c>
      <c r="C96" s="10" t="s">
        <v>20</v>
      </c>
      <c r="D96" s="10" t="s">
        <v>32</v>
      </c>
      <c r="E96" s="10" t="s">
        <v>693</v>
      </c>
      <c r="F96" s="10" t="s">
        <v>694</v>
      </c>
      <c r="G96" s="10" t="s">
        <v>696</v>
      </c>
      <c r="H96" s="11">
        <v>660000</v>
      </c>
      <c r="I96" s="11">
        <v>5950619.4323968496</v>
      </c>
      <c r="J96" s="11">
        <v>3900000</v>
      </c>
      <c r="K96" s="11">
        <f t="shared" si="9"/>
        <v>4034482.7586206896</v>
      </c>
      <c r="L96" s="18">
        <f t="shared" si="7"/>
        <v>0.67799374576969718</v>
      </c>
      <c r="M96" s="18">
        <f t="shared" si="8"/>
        <v>5.1128526645768027</v>
      </c>
    </row>
    <row r="97" spans="1:13" x14ac:dyDescent="0.3">
      <c r="A97" s="9" t="s">
        <v>109</v>
      </c>
      <c r="B97" s="10" t="s">
        <v>478</v>
      </c>
      <c r="C97" s="10" t="s">
        <v>20</v>
      </c>
      <c r="D97" s="10" t="s">
        <v>30</v>
      </c>
      <c r="E97" s="10" t="s">
        <v>693</v>
      </c>
      <c r="F97" s="10" t="s">
        <v>694</v>
      </c>
      <c r="G97" s="10" t="s">
        <v>696</v>
      </c>
      <c r="H97" s="11">
        <v>8260000</v>
      </c>
      <c r="I97" s="11">
        <v>10302506.3076733</v>
      </c>
      <c r="J97" s="11">
        <v>11580000</v>
      </c>
      <c r="K97" s="11">
        <f t="shared" si="9"/>
        <v>11979310.344827587</v>
      </c>
      <c r="L97" s="18">
        <f t="shared" si="7"/>
        <v>1.1627569046869115</v>
      </c>
      <c r="M97" s="18">
        <f t="shared" si="8"/>
        <v>0.45027970276363039</v>
      </c>
    </row>
    <row r="98" spans="1:13" x14ac:dyDescent="0.3">
      <c r="A98" s="9" t="s">
        <v>113</v>
      </c>
      <c r="B98" s="10" t="s">
        <v>482</v>
      </c>
      <c r="C98" s="10" t="s">
        <v>20</v>
      </c>
      <c r="D98" s="10" t="s">
        <v>30</v>
      </c>
      <c r="E98" s="10" t="s">
        <v>693</v>
      </c>
      <c r="F98" s="10" t="s">
        <v>694</v>
      </c>
      <c r="G98" s="10" t="s">
        <v>696</v>
      </c>
      <c r="H98" s="11">
        <v>12880000</v>
      </c>
      <c r="I98" s="11">
        <v>10302506.3076733</v>
      </c>
      <c r="J98" s="11">
        <v>7720000</v>
      </c>
      <c r="K98" s="11">
        <f t="shared" si="9"/>
        <v>7986206.8965517236</v>
      </c>
      <c r="L98" s="18">
        <f t="shared" si="7"/>
        <v>0.77517126979127415</v>
      </c>
      <c r="M98" s="18">
        <f t="shared" si="8"/>
        <v>-0.37995288070250594</v>
      </c>
    </row>
    <row r="99" spans="1:13" x14ac:dyDescent="0.3">
      <c r="A99" s="9" t="s">
        <v>157</v>
      </c>
      <c r="B99" s="10" t="s">
        <v>515</v>
      </c>
      <c r="C99" s="10" t="s">
        <v>20</v>
      </c>
      <c r="D99" s="10" t="s">
        <v>32</v>
      </c>
      <c r="E99" s="10" t="s">
        <v>693</v>
      </c>
      <c r="F99" s="10" t="s">
        <v>694</v>
      </c>
      <c r="G99" s="10" t="s">
        <v>696</v>
      </c>
      <c r="H99" s="11">
        <v>11630000</v>
      </c>
      <c r="I99" s="11">
        <v>11607736.154260144</v>
      </c>
      <c r="J99" s="11">
        <v>15820000</v>
      </c>
      <c r="K99" s="11">
        <f t="shared" si="9"/>
        <v>16365517.241379311</v>
      </c>
      <c r="L99" s="18">
        <f t="shared" si="7"/>
        <v>1.4098801888577575</v>
      </c>
      <c r="M99" s="18">
        <f t="shared" si="8"/>
        <v>0.4071811901443948</v>
      </c>
    </row>
    <row r="100" spans="1:13" x14ac:dyDescent="0.3">
      <c r="A100" s="9" t="s">
        <v>102</v>
      </c>
      <c r="B100" s="10" t="s">
        <v>471</v>
      </c>
      <c r="C100" s="10" t="s">
        <v>22</v>
      </c>
      <c r="D100" s="10" t="s">
        <v>28</v>
      </c>
      <c r="E100" s="10" t="s">
        <v>693</v>
      </c>
      <c r="F100" s="10" t="s">
        <v>694</v>
      </c>
      <c r="G100" s="10" t="s">
        <v>695</v>
      </c>
      <c r="H100" s="11">
        <v>1100000</v>
      </c>
      <c r="I100" s="11">
        <v>10096478.80696401</v>
      </c>
      <c r="J100" s="11">
        <v>18240001</v>
      </c>
      <c r="K100" s="11">
        <f t="shared" si="9"/>
        <v>18868966.55172414</v>
      </c>
      <c r="L100" s="18">
        <f t="shared" si="7"/>
        <v>1.8688660584033849</v>
      </c>
      <c r="M100" s="18">
        <f t="shared" si="8"/>
        <v>16.153605956112855</v>
      </c>
    </row>
    <row r="101" spans="1:13" x14ac:dyDescent="0.3">
      <c r="A101" s="9" t="s">
        <v>90</v>
      </c>
      <c r="B101" s="10" t="s">
        <v>459</v>
      </c>
      <c r="C101" s="10" t="s">
        <v>22</v>
      </c>
      <c r="D101" s="10" t="s">
        <v>42</v>
      </c>
      <c r="E101" s="10" t="s">
        <v>693</v>
      </c>
      <c r="F101" s="10" t="s">
        <v>694</v>
      </c>
      <c r="G101" s="10" t="s">
        <v>699</v>
      </c>
      <c r="H101" s="11">
        <v>4600000</v>
      </c>
      <c r="I101" s="11">
        <v>6621787.1885206774</v>
      </c>
      <c r="J101" s="11">
        <v>4620000</v>
      </c>
      <c r="K101" s="11">
        <f t="shared" si="9"/>
        <v>4779310.3448275859</v>
      </c>
      <c r="L101" s="18">
        <f t="shared" si="7"/>
        <v>0.72175535225789922</v>
      </c>
      <c r="M101" s="18">
        <f t="shared" si="8"/>
        <v>3.8980509745127359E-2</v>
      </c>
    </row>
    <row r="102" spans="1:13" x14ac:dyDescent="0.3">
      <c r="A102" s="9" t="s">
        <v>158</v>
      </c>
      <c r="B102" s="10" t="s">
        <v>516</v>
      </c>
      <c r="C102" s="10" t="s">
        <v>22</v>
      </c>
      <c r="D102" s="10" t="s">
        <v>40</v>
      </c>
      <c r="E102" s="10" t="s">
        <v>693</v>
      </c>
      <c r="F102" s="10" t="s">
        <v>694</v>
      </c>
      <c r="G102" s="10" t="s">
        <v>698</v>
      </c>
      <c r="H102" s="11">
        <v>5000055</v>
      </c>
      <c r="I102" s="11">
        <v>6822917.2132032122</v>
      </c>
      <c r="J102" s="11">
        <v>13880002</v>
      </c>
      <c r="K102" s="11">
        <f t="shared" si="9"/>
        <v>14358622.758620691</v>
      </c>
      <c r="L102" s="18">
        <f t="shared" si="7"/>
        <v>2.1044697319256533</v>
      </c>
      <c r="M102" s="18">
        <f t="shared" si="8"/>
        <v>1.871692963101544</v>
      </c>
    </row>
    <row r="103" spans="1:13" x14ac:dyDescent="0.3">
      <c r="A103" s="9" t="s">
        <v>115</v>
      </c>
      <c r="B103" s="10" t="s">
        <v>484</v>
      </c>
      <c r="C103" s="10" t="s">
        <v>22</v>
      </c>
      <c r="D103" s="10" t="s">
        <v>40</v>
      </c>
      <c r="E103" s="10" t="s">
        <v>693</v>
      </c>
      <c r="F103" s="10" t="s">
        <v>694</v>
      </c>
      <c r="G103" s="10" t="s">
        <v>698</v>
      </c>
      <c r="H103" s="11">
        <v>1720002</v>
      </c>
      <c r="I103" s="11">
        <v>6589006.7985719778</v>
      </c>
      <c r="J103" s="11">
        <v>8640000</v>
      </c>
      <c r="K103" s="11">
        <f t="shared" si="9"/>
        <v>8937931.0344827585</v>
      </c>
      <c r="L103" s="18">
        <f t="shared" si="7"/>
        <v>1.3564913966122873</v>
      </c>
      <c r="M103" s="18">
        <f t="shared" si="8"/>
        <v>4.1964654892742903</v>
      </c>
    </row>
    <row r="104" spans="1:13" x14ac:dyDescent="0.3">
      <c r="A104" s="9" t="s">
        <v>159</v>
      </c>
      <c r="B104" s="10" t="s">
        <v>517</v>
      </c>
      <c r="C104" s="10" t="s">
        <v>20</v>
      </c>
      <c r="D104" s="10" t="s">
        <v>34</v>
      </c>
      <c r="E104" s="10" t="s">
        <v>693</v>
      </c>
      <c r="F104" s="10" t="s">
        <v>694</v>
      </c>
      <c r="G104" s="10" t="s">
        <v>697</v>
      </c>
      <c r="H104" s="11">
        <v>1100000</v>
      </c>
      <c r="I104" s="11">
        <v>5950619.4323968496</v>
      </c>
      <c r="J104" s="11">
        <v>6000000</v>
      </c>
      <c r="K104" s="11">
        <f t="shared" si="9"/>
        <v>6206896.5517241387</v>
      </c>
      <c r="L104" s="18">
        <f t="shared" si="7"/>
        <v>1.0430673011841498</v>
      </c>
      <c r="M104" s="18">
        <f t="shared" si="8"/>
        <v>4.6426332288401264</v>
      </c>
    </row>
    <row r="105" spans="1:13" x14ac:dyDescent="0.3">
      <c r="A105" s="9" t="s">
        <v>61</v>
      </c>
      <c r="B105" s="10" t="s">
        <v>432</v>
      </c>
      <c r="C105" s="10" t="s">
        <v>22</v>
      </c>
      <c r="D105" s="10" t="s">
        <v>48</v>
      </c>
      <c r="E105" s="10" t="s">
        <v>693</v>
      </c>
      <c r="F105" s="10" t="s">
        <v>694</v>
      </c>
      <c r="G105" s="10" t="s">
        <v>699</v>
      </c>
      <c r="H105" s="11">
        <v>79532001</v>
      </c>
      <c r="I105" s="11">
        <v>86943137.722533107</v>
      </c>
      <c r="J105" s="11">
        <v>82882000</v>
      </c>
      <c r="K105" s="11">
        <f t="shared" si="9"/>
        <v>85740000</v>
      </c>
      <c r="L105" s="18">
        <f t="shared" si="7"/>
        <v>0.98616178626572282</v>
      </c>
      <c r="M105" s="18">
        <f t="shared" si="8"/>
        <v>7.8056617738059927E-2</v>
      </c>
    </row>
    <row r="106" spans="1:13" x14ac:dyDescent="0.3">
      <c r="A106" s="9" t="s">
        <v>160</v>
      </c>
      <c r="B106" s="10" t="s">
        <v>518</v>
      </c>
      <c r="C106" s="10" t="s">
        <v>22</v>
      </c>
      <c r="D106" s="10" t="s">
        <v>40</v>
      </c>
      <c r="E106" s="10" t="s">
        <v>693</v>
      </c>
      <c r="F106" s="10" t="s">
        <v>694</v>
      </c>
      <c r="G106" s="10" t="s">
        <v>698</v>
      </c>
      <c r="H106" s="11">
        <v>2120004</v>
      </c>
      <c r="I106" s="11">
        <v>6589007.8376344778</v>
      </c>
      <c r="J106" s="11">
        <v>8720005</v>
      </c>
      <c r="K106" s="11">
        <f t="shared" si="9"/>
        <v>9020694.8275862075</v>
      </c>
      <c r="L106" s="18">
        <f t="shared" si="7"/>
        <v>1.369052071248519</v>
      </c>
      <c r="M106" s="18">
        <f t="shared" si="8"/>
        <v>3.2550367016223589</v>
      </c>
    </row>
    <row r="107" spans="1:13" x14ac:dyDescent="0.3">
      <c r="A107" s="9" t="s">
        <v>222</v>
      </c>
      <c r="B107" s="10" t="s">
        <v>580</v>
      </c>
      <c r="C107" s="10" t="s">
        <v>20</v>
      </c>
      <c r="D107" s="10" t="s">
        <v>36</v>
      </c>
      <c r="E107" s="10" t="s">
        <v>693</v>
      </c>
      <c r="F107" s="10" t="s">
        <v>694</v>
      </c>
      <c r="G107" s="10" t="s">
        <v>697</v>
      </c>
      <c r="H107" s="11">
        <v>11280000</v>
      </c>
      <c r="I107" s="11">
        <v>14730550.923123179</v>
      </c>
      <c r="J107" s="11">
        <v>15300000</v>
      </c>
      <c r="K107" s="11">
        <f t="shared" si="9"/>
        <v>15827586.206896553</v>
      </c>
      <c r="L107" s="18">
        <f t="shared" si="7"/>
        <v>1.0744734728184069</v>
      </c>
      <c r="M107" s="18">
        <f t="shared" si="8"/>
        <v>0.40315480557593553</v>
      </c>
    </row>
    <row r="108" spans="1:13" x14ac:dyDescent="0.3">
      <c r="A108" s="9" t="s">
        <v>220</v>
      </c>
      <c r="B108" s="10" t="s">
        <v>578</v>
      </c>
      <c r="C108" s="10" t="s">
        <v>20</v>
      </c>
      <c r="D108" s="10" t="s">
        <v>30</v>
      </c>
      <c r="E108" s="10" t="s">
        <v>693</v>
      </c>
      <c r="F108" s="10" t="s">
        <v>694</v>
      </c>
      <c r="G108" s="10" t="s">
        <v>696</v>
      </c>
      <c r="H108" s="11">
        <v>53220000</v>
      </c>
      <c r="I108" s="11">
        <v>45895925.056045301</v>
      </c>
      <c r="J108" s="11">
        <v>59920000</v>
      </c>
      <c r="K108" s="11">
        <f t="shared" si="9"/>
        <v>61986206.896551721</v>
      </c>
      <c r="L108" s="18">
        <f t="shared" si="7"/>
        <v>1.3505819268455304</v>
      </c>
      <c r="M108" s="18">
        <f t="shared" si="8"/>
        <v>0.16471640166388052</v>
      </c>
    </row>
    <row r="109" spans="1:13" x14ac:dyDescent="0.3">
      <c r="A109" s="9" t="s">
        <v>45</v>
      </c>
      <c r="B109" s="10" t="s">
        <v>418</v>
      </c>
      <c r="C109" s="10" t="s">
        <v>22</v>
      </c>
      <c r="D109" s="10" t="s">
        <v>44</v>
      </c>
      <c r="E109" s="10" t="s">
        <v>693</v>
      </c>
      <c r="F109" s="10" t="s">
        <v>694</v>
      </c>
      <c r="G109" s="10" t="s">
        <v>698</v>
      </c>
      <c r="H109" s="11">
        <v>99060000</v>
      </c>
      <c r="I109" s="11">
        <v>99255079.788072228</v>
      </c>
      <c r="J109" s="11">
        <v>109324000</v>
      </c>
      <c r="K109" s="11">
        <f t="shared" si="9"/>
        <v>113093793.10344827</v>
      </c>
      <c r="L109" s="18">
        <f t="shared" si="7"/>
        <v>1.1394257436992064</v>
      </c>
      <c r="M109" s="18">
        <f t="shared" si="8"/>
        <v>0.1416696255143173</v>
      </c>
    </row>
    <row r="110" spans="1:13" x14ac:dyDescent="0.3">
      <c r="A110" s="9" t="s">
        <v>161</v>
      </c>
      <c r="B110" s="10" t="s">
        <v>519</v>
      </c>
      <c r="C110" s="10" t="s">
        <v>22</v>
      </c>
      <c r="D110" s="10" t="s">
        <v>48</v>
      </c>
      <c r="E110" s="10" t="s">
        <v>693</v>
      </c>
      <c r="F110" s="10" t="s">
        <v>694</v>
      </c>
      <c r="G110" s="10" t="s">
        <v>699</v>
      </c>
      <c r="H110" s="11">
        <v>154715000</v>
      </c>
      <c r="I110" s="11">
        <v>159427105.13940591</v>
      </c>
      <c r="J110" s="11">
        <v>186200000</v>
      </c>
      <c r="K110" s="11">
        <f t="shared" si="9"/>
        <v>192620689.65517244</v>
      </c>
      <c r="L110" s="18">
        <f t="shared" si="7"/>
        <v>1.2082054020032633</v>
      </c>
      <c r="M110" s="18">
        <f t="shared" si="8"/>
        <v>0.24500332647236814</v>
      </c>
    </row>
    <row r="111" spans="1:13" x14ac:dyDescent="0.3">
      <c r="A111" s="9" t="s">
        <v>43</v>
      </c>
      <c r="B111" s="10" t="s">
        <v>417</v>
      </c>
      <c r="C111" s="10" t="s">
        <v>22</v>
      </c>
      <c r="D111" s="10" t="s">
        <v>44</v>
      </c>
      <c r="E111" s="10" t="s">
        <v>693</v>
      </c>
      <c r="F111" s="10" t="s">
        <v>694</v>
      </c>
      <c r="G111" s="10" t="s">
        <v>698</v>
      </c>
      <c r="H111" s="11">
        <v>158440000</v>
      </c>
      <c r="I111" s="11">
        <v>145189455.1501874</v>
      </c>
      <c r="J111" s="11">
        <v>145280000</v>
      </c>
      <c r="K111" s="11">
        <f t="shared" si="9"/>
        <v>150289655.1724138</v>
      </c>
      <c r="L111" s="18">
        <f t="shared" si="7"/>
        <v>1.0351278955964855</v>
      </c>
      <c r="M111" s="18">
        <f t="shared" si="8"/>
        <v>-5.1441206940079552E-2</v>
      </c>
    </row>
    <row r="112" spans="1:13" x14ac:dyDescent="0.3">
      <c r="A112" s="9" t="s">
        <v>19</v>
      </c>
      <c r="B112" s="10" t="s">
        <v>404</v>
      </c>
      <c r="C112" s="10" t="s">
        <v>22</v>
      </c>
      <c r="D112" s="10" t="s">
        <v>28</v>
      </c>
      <c r="E112" s="10" t="s">
        <v>693</v>
      </c>
      <c r="F112" s="10" t="s">
        <v>694</v>
      </c>
      <c r="G112" s="10" t="s">
        <v>695</v>
      </c>
      <c r="H112" s="11">
        <v>81920000</v>
      </c>
      <c r="I112" s="11">
        <v>102295846.1906253</v>
      </c>
      <c r="J112" s="11">
        <v>126760000</v>
      </c>
      <c r="K112" s="11">
        <f t="shared" si="9"/>
        <v>131131034.48275863</v>
      </c>
      <c r="L112" s="18">
        <f t="shared" si="7"/>
        <v>1.2818803437863919</v>
      </c>
      <c r="M112" s="18">
        <f t="shared" si="8"/>
        <v>0.6007206357758621</v>
      </c>
    </row>
    <row r="113" spans="1:13" x14ac:dyDescent="0.3">
      <c r="A113" s="9" t="s">
        <v>66</v>
      </c>
      <c r="B113" s="10" t="s">
        <v>436</v>
      </c>
      <c r="C113" s="10" t="s">
        <v>22</v>
      </c>
      <c r="D113" s="10" t="s">
        <v>42</v>
      </c>
      <c r="E113" s="10" t="s">
        <v>693</v>
      </c>
      <c r="F113" s="10" t="s">
        <v>694</v>
      </c>
      <c r="G113" s="10" t="s">
        <v>699</v>
      </c>
      <c r="H113" s="11">
        <v>2680000</v>
      </c>
      <c r="I113" s="11">
        <v>24219744.90274414</v>
      </c>
      <c r="J113" s="11">
        <v>20740000</v>
      </c>
      <c r="K113" s="11">
        <f t="shared" si="9"/>
        <v>21455172.413793102</v>
      </c>
      <c r="L113" s="18">
        <f t="shared" si="7"/>
        <v>0.88585459921017551</v>
      </c>
      <c r="M113" s="18">
        <f t="shared" si="8"/>
        <v>7.0056613484302623</v>
      </c>
    </row>
    <row r="114" spans="1:13" x14ac:dyDescent="0.3">
      <c r="A114" s="9" t="s">
        <v>35</v>
      </c>
      <c r="B114" s="10" t="s">
        <v>413</v>
      </c>
      <c r="C114" s="10" t="s">
        <v>22</v>
      </c>
      <c r="D114" s="10" t="s">
        <v>40</v>
      </c>
      <c r="E114" s="10" t="s">
        <v>693</v>
      </c>
      <c r="F114" s="10" t="s">
        <v>694</v>
      </c>
      <c r="G114" s="10" t="s">
        <v>698</v>
      </c>
      <c r="H114" s="11">
        <v>25900001</v>
      </c>
      <c r="I114" s="11">
        <v>14481762.172808198</v>
      </c>
      <c r="J114" s="11">
        <v>34180000</v>
      </c>
      <c r="K114" s="11">
        <f t="shared" si="9"/>
        <v>35358620.68965517</v>
      </c>
      <c r="L114" s="18">
        <f t="shared" si="7"/>
        <v>2.4415965590186657</v>
      </c>
      <c r="M114" s="18">
        <f t="shared" si="8"/>
        <v>0.3651976573149619</v>
      </c>
    </row>
    <row r="115" spans="1:13" x14ac:dyDescent="0.3">
      <c r="A115" s="9" t="s">
        <v>53</v>
      </c>
      <c r="B115" s="10" t="s">
        <v>424</v>
      </c>
      <c r="C115" s="10" t="s">
        <v>22</v>
      </c>
      <c r="D115" s="10" t="s">
        <v>28</v>
      </c>
      <c r="E115" s="10" t="s">
        <v>693</v>
      </c>
      <c r="F115" s="10" t="s">
        <v>694</v>
      </c>
      <c r="G115" s="10" t="s">
        <v>695</v>
      </c>
      <c r="H115" s="11">
        <v>6560001</v>
      </c>
      <c r="I115" s="11">
        <v>14425070.570481328</v>
      </c>
      <c r="J115" s="11">
        <v>26360002</v>
      </c>
      <c r="K115" s="11">
        <f t="shared" si="9"/>
        <v>27268967.586206898</v>
      </c>
      <c r="L115" s="18">
        <f t="shared" si="7"/>
        <v>1.8903871182445799</v>
      </c>
      <c r="M115" s="18">
        <f t="shared" si="8"/>
        <v>3.1568541813037676</v>
      </c>
    </row>
    <row r="116" spans="1:13" x14ac:dyDescent="0.3">
      <c r="A116" s="9" t="s">
        <v>31</v>
      </c>
      <c r="B116" s="10" t="s">
        <v>411</v>
      </c>
      <c r="C116" s="10" t="s">
        <v>20</v>
      </c>
      <c r="D116" s="10" t="s">
        <v>32</v>
      </c>
      <c r="E116" s="10" t="s">
        <v>693</v>
      </c>
      <c r="F116" s="10" t="s">
        <v>694</v>
      </c>
      <c r="G116" s="10" t="s">
        <v>696</v>
      </c>
      <c r="H116" s="11">
        <v>8120000</v>
      </c>
      <c r="I116" s="11">
        <v>8117470.1030016895</v>
      </c>
      <c r="J116" s="11">
        <v>4980000</v>
      </c>
      <c r="K116" s="11">
        <f t="shared" si="9"/>
        <v>5151724.1379310349</v>
      </c>
      <c r="L116" s="18">
        <f t="shared" si="7"/>
        <v>0.63464651825770479</v>
      </c>
      <c r="M116" s="18">
        <f t="shared" si="8"/>
        <v>-0.36555121454051293</v>
      </c>
    </row>
    <row r="117" spans="1:13" x14ac:dyDescent="0.3">
      <c r="A117" s="9" t="s">
        <v>162</v>
      </c>
      <c r="B117" s="10" t="s">
        <v>520</v>
      </c>
      <c r="C117" s="10" t="s">
        <v>20</v>
      </c>
      <c r="D117" s="10" t="s">
        <v>30</v>
      </c>
      <c r="E117" s="10" t="s">
        <v>693</v>
      </c>
      <c r="F117" s="10" t="s">
        <v>694</v>
      </c>
      <c r="G117" s="10" t="s">
        <v>696</v>
      </c>
      <c r="H117" s="11">
        <v>203560000</v>
      </c>
      <c r="I117" s="11">
        <v>154187099.79213101</v>
      </c>
      <c r="J117" s="11">
        <v>211740000</v>
      </c>
      <c r="K117" s="11">
        <f t="shared" si="9"/>
        <v>219041379.31034482</v>
      </c>
      <c r="L117" s="18">
        <f t="shared" si="7"/>
        <v>1.420620658963349</v>
      </c>
      <c r="M117" s="18">
        <f t="shared" si="8"/>
        <v>7.6053150473299344E-2</v>
      </c>
    </row>
    <row r="118" spans="1:13" x14ac:dyDescent="0.3">
      <c r="A118" s="9" t="s">
        <v>68</v>
      </c>
      <c r="B118" s="10" t="s">
        <v>437</v>
      </c>
      <c r="C118" s="10" t="s">
        <v>22</v>
      </c>
      <c r="D118" s="10" t="s">
        <v>28</v>
      </c>
      <c r="E118" s="10" t="s">
        <v>693</v>
      </c>
      <c r="F118" s="10" t="s">
        <v>694</v>
      </c>
      <c r="G118" s="10" t="s">
        <v>695</v>
      </c>
      <c r="H118" s="11">
        <v>9260000</v>
      </c>
      <c r="I118" s="11">
        <v>11197885.05684902</v>
      </c>
      <c r="J118" s="11">
        <v>21240038</v>
      </c>
      <c r="K118" s="11">
        <f t="shared" si="9"/>
        <v>21972453.103448275</v>
      </c>
      <c r="L118" s="18">
        <f t="shared" si="7"/>
        <v>1.9621966998142342</v>
      </c>
      <c r="M118" s="18">
        <f t="shared" si="8"/>
        <v>1.3728351083637447</v>
      </c>
    </row>
    <row r="119" spans="1:13" x14ac:dyDescent="0.3">
      <c r="A119" s="9" t="s">
        <v>76</v>
      </c>
      <c r="B119" s="10" t="s">
        <v>445</v>
      </c>
      <c r="C119" s="10" t="s">
        <v>22</v>
      </c>
      <c r="D119" s="10" t="s">
        <v>48</v>
      </c>
      <c r="E119" s="10" t="s">
        <v>693</v>
      </c>
      <c r="F119" s="10" t="s">
        <v>694</v>
      </c>
      <c r="G119" s="10" t="s">
        <v>699</v>
      </c>
      <c r="H119" s="11">
        <v>6120002</v>
      </c>
      <c r="I119" s="11">
        <v>11197885.05684902</v>
      </c>
      <c r="J119" s="11">
        <v>10620000</v>
      </c>
      <c r="K119" s="11">
        <f t="shared" si="9"/>
        <v>10986206.896551723</v>
      </c>
      <c r="L119" s="18">
        <f t="shared" si="7"/>
        <v>0.98109659464955601</v>
      </c>
      <c r="M119" s="18">
        <f t="shared" si="8"/>
        <v>0.79513125919758243</v>
      </c>
    </row>
    <row r="120" spans="1:13" x14ac:dyDescent="0.3">
      <c r="A120" s="9" t="s">
        <v>73</v>
      </c>
      <c r="B120" s="10" t="s">
        <v>442</v>
      </c>
      <c r="C120" s="10" t="s">
        <v>22</v>
      </c>
      <c r="D120" s="10" t="s">
        <v>44</v>
      </c>
      <c r="E120" s="10" t="s">
        <v>693</v>
      </c>
      <c r="F120" s="10" t="s">
        <v>694</v>
      </c>
      <c r="G120" s="10" t="s">
        <v>699</v>
      </c>
      <c r="H120" s="11">
        <v>1900000</v>
      </c>
      <c r="I120" s="11">
        <v>5690853.8074239688</v>
      </c>
      <c r="J120" s="11">
        <v>8580000</v>
      </c>
      <c r="K120" s="11">
        <f t="shared" si="9"/>
        <v>8875862.068965517</v>
      </c>
      <c r="L120" s="18">
        <f t="shared" si="7"/>
        <v>1.5596714252941386</v>
      </c>
      <c r="M120" s="18">
        <f t="shared" si="8"/>
        <v>3.6715063520871141</v>
      </c>
    </row>
    <row r="121" spans="1:13" x14ac:dyDescent="0.3">
      <c r="A121" s="9" t="s">
        <v>79</v>
      </c>
      <c r="B121" s="10" t="s">
        <v>448</v>
      </c>
      <c r="C121" s="10" t="s">
        <v>22</v>
      </c>
      <c r="D121" s="10" t="s">
        <v>40</v>
      </c>
      <c r="E121" s="10" t="s">
        <v>693</v>
      </c>
      <c r="F121" s="10" t="s">
        <v>694</v>
      </c>
      <c r="G121" s="10" t="s">
        <v>698</v>
      </c>
      <c r="H121" s="11">
        <v>7140003</v>
      </c>
      <c r="I121" s="11">
        <v>11681835.013359794</v>
      </c>
      <c r="J121" s="11">
        <v>17760003</v>
      </c>
      <c r="K121" s="11">
        <f t="shared" si="9"/>
        <v>18372416.896551725</v>
      </c>
      <c r="L121" s="18">
        <f t="shared" si="7"/>
        <v>1.5727338107018567</v>
      </c>
      <c r="M121" s="18">
        <f t="shared" si="8"/>
        <v>1.573166551407853</v>
      </c>
    </row>
    <row r="122" spans="1:13" x14ac:dyDescent="0.3">
      <c r="A122" s="9" t="s">
        <v>75</v>
      </c>
      <c r="B122" s="10" t="s">
        <v>444</v>
      </c>
      <c r="C122" s="10" t="s">
        <v>22</v>
      </c>
      <c r="D122" s="10" t="s">
        <v>28</v>
      </c>
      <c r="E122" s="10" t="s">
        <v>693</v>
      </c>
      <c r="F122" s="10" t="s">
        <v>694</v>
      </c>
      <c r="G122" s="10" t="s">
        <v>695</v>
      </c>
      <c r="H122" s="11">
        <v>7680001</v>
      </c>
      <c r="I122" s="11">
        <v>7893666.3071939889</v>
      </c>
      <c r="J122" s="11">
        <v>11680060</v>
      </c>
      <c r="K122" s="11">
        <f t="shared" si="9"/>
        <v>12082820.689655172</v>
      </c>
      <c r="L122" s="18">
        <f t="shared" si="7"/>
        <v>1.5306981850301102</v>
      </c>
      <c r="M122" s="18">
        <f t="shared" si="8"/>
        <v>0.57328373911086361</v>
      </c>
    </row>
    <row r="123" spans="1:13" x14ac:dyDescent="0.3">
      <c r="A123" s="9" t="s">
        <v>247</v>
      </c>
      <c r="B123" s="10" t="s">
        <v>603</v>
      </c>
      <c r="C123" s="10" t="s">
        <v>118</v>
      </c>
      <c r="D123" s="10" t="s">
        <v>128</v>
      </c>
      <c r="E123" s="10" t="s">
        <v>693</v>
      </c>
      <c r="F123" s="10" t="s">
        <v>701</v>
      </c>
      <c r="G123" s="10" t="s">
        <v>698</v>
      </c>
      <c r="H123" s="11">
        <v>0</v>
      </c>
      <c r="I123" s="11">
        <v>5505868.5014046105</v>
      </c>
      <c r="J123" s="11">
        <v>0</v>
      </c>
      <c r="K123" s="11">
        <f t="shared" si="9"/>
        <v>0</v>
      </c>
      <c r="L123" s="18">
        <f t="shared" si="7"/>
        <v>0</v>
      </c>
      <c r="M123" s="18">
        <f t="shared" si="8"/>
        <v>0</v>
      </c>
    </row>
    <row r="124" spans="1:13" x14ac:dyDescent="0.3">
      <c r="A124" s="9" t="s">
        <v>55</v>
      </c>
      <c r="B124" s="10" t="s">
        <v>426</v>
      </c>
      <c r="C124" s="10" t="s">
        <v>20</v>
      </c>
      <c r="D124" s="10" t="s">
        <v>36</v>
      </c>
      <c r="E124" s="10" t="s">
        <v>693</v>
      </c>
      <c r="F124" s="10" t="s">
        <v>694</v>
      </c>
      <c r="G124" s="10" t="s">
        <v>697</v>
      </c>
      <c r="H124" s="11">
        <v>24180000</v>
      </c>
      <c r="I124" s="11">
        <v>12870775.681674369</v>
      </c>
      <c r="J124" s="11">
        <v>27080000</v>
      </c>
      <c r="K124" s="11">
        <f t="shared" si="9"/>
        <v>28013793.103448275</v>
      </c>
      <c r="L124" s="18">
        <f t="shared" si="7"/>
        <v>2.1765427194364668</v>
      </c>
      <c r="M124" s="18">
        <f t="shared" si="8"/>
        <v>0.15855223752887823</v>
      </c>
    </row>
    <row r="125" spans="1:13" x14ac:dyDescent="0.3">
      <c r="A125" s="9" t="s">
        <v>29</v>
      </c>
      <c r="B125" s="10" t="s">
        <v>410</v>
      </c>
      <c r="C125" s="10" t="s">
        <v>20</v>
      </c>
      <c r="D125" s="10" t="s">
        <v>38</v>
      </c>
      <c r="E125" s="10" t="s">
        <v>693</v>
      </c>
      <c r="F125" s="10" t="s">
        <v>694</v>
      </c>
      <c r="G125" s="10" t="s">
        <v>696</v>
      </c>
      <c r="H125" s="11">
        <v>108560000</v>
      </c>
      <c r="I125" s="11">
        <v>90899068.706452996</v>
      </c>
      <c r="J125" s="11">
        <v>142740000</v>
      </c>
      <c r="K125" s="11">
        <f t="shared" si="9"/>
        <v>147662068.96551725</v>
      </c>
      <c r="L125" s="18">
        <f t="shared" si="7"/>
        <v>1.6244618461644877</v>
      </c>
      <c r="M125" s="18">
        <f t="shared" si="8"/>
        <v>0.36018854979290027</v>
      </c>
    </row>
    <row r="126" spans="1:13" x14ac:dyDescent="0.3">
      <c r="A126" s="9" t="s">
        <v>193</v>
      </c>
      <c r="B126" s="10" t="s">
        <v>551</v>
      </c>
      <c r="C126" s="10" t="s">
        <v>22</v>
      </c>
      <c r="D126" s="10" t="s">
        <v>44</v>
      </c>
      <c r="E126" s="10" t="s">
        <v>693</v>
      </c>
      <c r="F126" s="10" t="s">
        <v>694</v>
      </c>
      <c r="G126" s="10" t="s">
        <v>698</v>
      </c>
      <c r="H126" s="11">
        <v>6800000</v>
      </c>
      <c r="I126" s="11">
        <v>10141689.792140864</v>
      </c>
      <c r="J126" s="11">
        <v>11940000</v>
      </c>
      <c r="K126" s="11">
        <f t="shared" si="9"/>
        <v>12351724.137931034</v>
      </c>
      <c r="L126" s="18">
        <f t="shared" si="7"/>
        <v>1.2179157902761728</v>
      </c>
      <c r="M126" s="18">
        <f t="shared" si="8"/>
        <v>0.8164300202839756</v>
      </c>
    </row>
    <row r="127" spans="1:13" x14ac:dyDescent="0.3">
      <c r="A127" s="9" t="s">
        <v>163</v>
      </c>
      <c r="B127" s="10" t="s">
        <v>521</v>
      </c>
      <c r="C127" s="10" t="s">
        <v>118</v>
      </c>
      <c r="D127" s="10" t="s">
        <v>123</v>
      </c>
      <c r="E127" s="10" t="s">
        <v>702</v>
      </c>
      <c r="F127" s="10" t="s">
        <v>694</v>
      </c>
      <c r="G127" s="10" t="s">
        <v>696</v>
      </c>
      <c r="H127" s="11">
        <v>9840000</v>
      </c>
      <c r="I127" s="11">
        <v>16039916.306343501</v>
      </c>
      <c r="J127" s="11">
        <v>17700000</v>
      </c>
      <c r="K127" s="11">
        <f t="shared" si="9"/>
        <v>18310344.827586204</v>
      </c>
      <c r="L127" s="18">
        <f t="shared" si="7"/>
        <v>1.1415486513695079</v>
      </c>
      <c r="M127" s="18">
        <f t="shared" si="8"/>
        <v>0.86080740117745969</v>
      </c>
    </row>
    <row r="128" spans="1:13" x14ac:dyDescent="0.3">
      <c r="A128" s="9" t="s">
        <v>164</v>
      </c>
      <c r="B128" s="10" t="s">
        <v>522</v>
      </c>
      <c r="C128" s="10" t="s">
        <v>118</v>
      </c>
      <c r="D128" s="10" t="s">
        <v>138</v>
      </c>
      <c r="E128" s="10" t="s">
        <v>702</v>
      </c>
      <c r="F128" s="10" t="s">
        <v>694</v>
      </c>
      <c r="G128" s="10" t="s">
        <v>698</v>
      </c>
      <c r="H128" s="11">
        <v>23220000</v>
      </c>
      <c r="I128" s="11">
        <v>44281367.882007197</v>
      </c>
      <c r="J128" s="11">
        <v>34300000</v>
      </c>
      <c r="K128" s="11">
        <f t="shared" si="9"/>
        <v>35482758.620689653</v>
      </c>
      <c r="L128" s="18">
        <f t="shared" si="7"/>
        <v>0.80130222524375372</v>
      </c>
      <c r="M128" s="18">
        <f t="shared" si="8"/>
        <v>0.52811191303573013</v>
      </c>
    </row>
    <row r="129" spans="1:13" x14ac:dyDescent="0.3">
      <c r="A129" s="9" t="s">
        <v>165</v>
      </c>
      <c r="B129" s="10" t="s">
        <v>523</v>
      </c>
      <c r="C129" s="10" t="s">
        <v>118</v>
      </c>
      <c r="D129" s="10" t="s">
        <v>138</v>
      </c>
      <c r="E129" s="10" t="s">
        <v>703</v>
      </c>
      <c r="F129" s="10" t="s">
        <v>694</v>
      </c>
      <c r="G129" s="10" t="s">
        <v>698</v>
      </c>
      <c r="H129" s="11">
        <v>50840000</v>
      </c>
      <c r="I129" s="11">
        <v>44486947.553269103</v>
      </c>
      <c r="J129" s="11">
        <v>48940000</v>
      </c>
      <c r="K129" s="11">
        <f t="shared" si="9"/>
        <v>50627586.206896551</v>
      </c>
      <c r="L129" s="18">
        <f t="shared" si="7"/>
        <v>1.1380323666008909</v>
      </c>
      <c r="M129" s="18">
        <f t="shared" si="8"/>
        <v>-4.1780840500285025E-3</v>
      </c>
    </row>
    <row r="130" spans="1:13" x14ac:dyDescent="0.3">
      <c r="A130" s="9" t="s">
        <v>166</v>
      </c>
      <c r="B130" s="10" t="s">
        <v>524</v>
      </c>
      <c r="C130" s="10" t="s">
        <v>118</v>
      </c>
      <c r="D130" s="10" t="s">
        <v>138</v>
      </c>
      <c r="E130" s="10" t="s">
        <v>703</v>
      </c>
      <c r="F130" s="10" t="s">
        <v>694</v>
      </c>
      <c r="G130" s="10" t="s">
        <v>698</v>
      </c>
      <c r="H130" s="11">
        <v>84100000</v>
      </c>
      <c r="I130" s="11">
        <v>68105886.896575794</v>
      </c>
      <c r="J130" s="11">
        <v>94900000</v>
      </c>
      <c r="K130" s="11">
        <f t="shared" si="9"/>
        <v>98172413.793103442</v>
      </c>
      <c r="L130" s="18">
        <f t="shared" si="7"/>
        <v>1.4414673718614965</v>
      </c>
      <c r="M130" s="18">
        <f t="shared" si="8"/>
        <v>0.16732953380622403</v>
      </c>
    </row>
    <row r="131" spans="1:13" x14ac:dyDescent="0.3">
      <c r="A131" s="9" t="s">
        <v>167</v>
      </c>
      <c r="B131" s="10" t="s">
        <v>525</v>
      </c>
      <c r="C131" s="10" t="s">
        <v>118</v>
      </c>
      <c r="D131" s="10" t="s">
        <v>138</v>
      </c>
      <c r="E131" s="10" t="s">
        <v>703</v>
      </c>
      <c r="F131" s="10" t="s">
        <v>694</v>
      </c>
      <c r="G131" s="10" t="s">
        <v>700</v>
      </c>
      <c r="H131" s="11">
        <v>34600000</v>
      </c>
      <c r="I131" s="11">
        <v>20565249.05974827</v>
      </c>
      <c r="J131" s="11">
        <v>25800000</v>
      </c>
      <c r="K131" s="11">
        <f t="shared" si="9"/>
        <v>26689655.172413796</v>
      </c>
      <c r="L131" s="18">
        <f t="shared" si="7"/>
        <v>1.2978036441412537</v>
      </c>
      <c r="M131" s="18">
        <f t="shared" si="8"/>
        <v>-0.228622682878214</v>
      </c>
    </row>
    <row r="132" spans="1:13" x14ac:dyDescent="0.3">
      <c r="A132" s="9" t="s">
        <v>168</v>
      </c>
      <c r="B132" s="10" t="s">
        <v>526</v>
      </c>
      <c r="C132" s="10" t="s">
        <v>118</v>
      </c>
      <c r="D132" s="10" t="s">
        <v>123</v>
      </c>
      <c r="E132" s="10" t="s">
        <v>703</v>
      </c>
      <c r="F132" s="10" t="s">
        <v>694</v>
      </c>
      <c r="G132" s="10" t="s">
        <v>696</v>
      </c>
      <c r="H132" s="11">
        <v>60962000</v>
      </c>
      <c r="I132" s="11">
        <v>63422411.190287597</v>
      </c>
      <c r="J132" s="11">
        <v>50820000</v>
      </c>
      <c r="K132" s="11">
        <f t="shared" si="9"/>
        <v>52572413.793103449</v>
      </c>
      <c r="L132" s="18">
        <f t="shared" si="7"/>
        <v>0.82892486751046612</v>
      </c>
      <c r="M132" s="18">
        <f t="shared" si="8"/>
        <v>-0.13761993056160479</v>
      </c>
    </row>
    <row r="133" spans="1:13" x14ac:dyDescent="0.3">
      <c r="A133" s="9" t="s">
        <v>169</v>
      </c>
      <c r="B133" s="10" t="s">
        <v>527</v>
      </c>
      <c r="C133" s="10" t="s">
        <v>118</v>
      </c>
      <c r="D133" s="10" t="s">
        <v>138</v>
      </c>
      <c r="E133" s="10" t="s">
        <v>703</v>
      </c>
      <c r="F133" s="10" t="s">
        <v>694</v>
      </c>
      <c r="G133" s="10" t="s">
        <v>699</v>
      </c>
      <c r="H133" s="11">
        <v>103190000</v>
      </c>
      <c r="I133" s="11">
        <v>85829422.955299795</v>
      </c>
      <c r="J133" s="11">
        <v>73960000</v>
      </c>
      <c r="K133" s="11">
        <f t="shared" si="9"/>
        <v>76510344.827586219</v>
      </c>
      <c r="L133" s="18">
        <f t="shared" si="7"/>
        <v>0.8914232694705756</v>
      </c>
      <c r="M133" s="18">
        <f t="shared" si="8"/>
        <v>-0.25854884361288671</v>
      </c>
    </row>
    <row r="134" spans="1:13" x14ac:dyDescent="0.3">
      <c r="A134" s="9" t="s">
        <v>170</v>
      </c>
      <c r="B134" s="10" t="s">
        <v>528</v>
      </c>
      <c r="C134" s="10" t="s">
        <v>118</v>
      </c>
      <c r="D134" s="10" t="s">
        <v>123</v>
      </c>
      <c r="E134" s="10" t="s">
        <v>703</v>
      </c>
      <c r="F134" s="10" t="s">
        <v>694</v>
      </c>
      <c r="G134" s="10" t="s">
        <v>696</v>
      </c>
      <c r="H134" s="11">
        <v>71820001</v>
      </c>
      <c r="I134" s="11">
        <v>73094268.24156186</v>
      </c>
      <c r="J134" s="11">
        <v>65900000</v>
      </c>
      <c r="K134" s="11">
        <f t="shared" si="9"/>
        <v>68172413.793103442</v>
      </c>
      <c r="L134" s="18">
        <f t="shared" si="7"/>
        <v>0.93266429000708129</v>
      </c>
      <c r="M134" s="18">
        <f t="shared" si="8"/>
        <v>-5.078790247993116E-2</v>
      </c>
    </row>
    <row r="135" spans="1:13" x14ac:dyDescent="0.3">
      <c r="A135" s="9" t="s">
        <v>171</v>
      </c>
      <c r="B135" s="10" t="s">
        <v>529</v>
      </c>
      <c r="C135" s="10" t="s">
        <v>118</v>
      </c>
      <c r="D135" s="10" t="s">
        <v>138</v>
      </c>
      <c r="E135" s="10" t="s">
        <v>703</v>
      </c>
      <c r="F135" s="10" t="s">
        <v>694</v>
      </c>
      <c r="G135" s="10" t="s">
        <v>699</v>
      </c>
      <c r="H135" s="11">
        <v>43180000</v>
      </c>
      <c r="I135" s="11">
        <v>52302228.600715101</v>
      </c>
      <c r="J135" s="11">
        <v>52600000</v>
      </c>
      <c r="K135" s="11">
        <f t="shared" si="9"/>
        <v>54413793.103448279</v>
      </c>
      <c r="L135" s="18">
        <f t="shared" si="7"/>
        <v>1.0403723619284611</v>
      </c>
      <c r="M135" s="18">
        <f t="shared" si="8"/>
        <v>0.26016195237258638</v>
      </c>
    </row>
    <row r="136" spans="1:13" x14ac:dyDescent="0.3">
      <c r="A136" s="9" t="s">
        <v>172</v>
      </c>
      <c r="B136" s="10" t="s">
        <v>530</v>
      </c>
      <c r="C136" s="10" t="s">
        <v>118</v>
      </c>
      <c r="D136" s="10" t="s">
        <v>138</v>
      </c>
      <c r="E136" s="10" t="s">
        <v>703</v>
      </c>
      <c r="F136" s="10" t="s">
        <v>694</v>
      </c>
      <c r="G136" s="10" t="s">
        <v>695</v>
      </c>
      <c r="H136" s="11">
        <v>65235000</v>
      </c>
      <c r="I136" s="11">
        <v>39824056.928860374</v>
      </c>
      <c r="J136" s="11">
        <v>45800000</v>
      </c>
      <c r="K136" s="11">
        <f t="shared" si="9"/>
        <v>47379310.344827592</v>
      </c>
      <c r="L136" s="18">
        <f t="shared" si="7"/>
        <v>1.1897158149774527</v>
      </c>
      <c r="M136" s="18">
        <f t="shared" si="8"/>
        <v>-0.27371333877784021</v>
      </c>
    </row>
    <row r="137" spans="1:13" x14ac:dyDescent="0.3">
      <c r="A137" s="9" t="s">
        <v>173</v>
      </c>
      <c r="B137" s="10" t="s">
        <v>531</v>
      </c>
      <c r="C137" s="10" t="s">
        <v>118</v>
      </c>
      <c r="D137" s="10" t="s">
        <v>138</v>
      </c>
      <c r="E137" s="10" t="s">
        <v>703</v>
      </c>
      <c r="F137" s="10" t="s">
        <v>694</v>
      </c>
      <c r="G137" s="10" t="s">
        <v>698</v>
      </c>
      <c r="H137" s="11">
        <v>72700002</v>
      </c>
      <c r="I137" s="11">
        <v>85206519.263543397</v>
      </c>
      <c r="J137" s="11">
        <v>57360000</v>
      </c>
      <c r="K137" s="11">
        <f t="shared" si="9"/>
        <v>59337931.034482762</v>
      </c>
      <c r="L137" s="18">
        <f t="shared" si="7"/>
        <v>0.69640130294432989</v>
      </c>
      <c r="M137" s="18">
        <f t="shared" si="8"/>
        <v>-0.18379739474446283</v>
      </c>
    </row>
    <row r="138" spans="1:13" x14ac:dyDescent="0.3">
      <c r="A138" s="9" t="s">
        <v>174</v>
      </c>
      <c r="B138" s="10" t="s">
        <v>532</v>
      </c>
      <c r="C138" s="10" t="s">
        <v>118</v>
      </c>
      <c r="D138" s="10" t="s">
        <v>138</v>
      </c>
      <c r="E138" s="10" t="s">
        <v>703</v>
      </c>
      <c r="F138" s="10" t="s">
        <v>694</v>
      </c>
      <c r="G138" s="10" t="s">
        <v>698</v>
      </c>
      <c r="H138" s="11">
        <v>6300000</v>
      </c>
      <c r="I138" s="11">
        <v>17172494.431225259</v>
      </c>
      <c r="J138" s="11">
        <v>12340000</v>
      </c>
      <c r="K138" s="11">
        <f t="shared" si="9"/>
        <v>12765517.241379309</v>
      </c>
      <c r="L138" s="18">
        <f t="shared" si="7"/>
        <v>0.74337000326332259</v>
      </c>
      <c r="M138" s="18">
        <f t="shared" si="8"/>
        <v>1.0262725779967159</v>
      </c>
    </row>
    <row r="139" spans="1:13" x14ac:dyDescent="0.3">
      <c r="A139" s="9" t="s">
        <v>229</v>
      </c>
      <c r="B139" s="10" t="s">
        <v>587</v>
      </c>
      <c r="C139" s="10" t="s">
        <v>118</v>
      </c>
      <c r="D139" s="10" t="s">
        <v>123</v>
      </c>
      <c r="E139" s="10" t="s">
        <v>703</v>
      </c>
      <c r="F139" s="10" t="s">
        <v>694</v>
      </c>
      <c r="G139" s="10" t="s">
        <v>696</v>
      </c>
      <c r="H139" s="11">
        <v>8840000</v>
      </c>
      <c r="I139" s="11">
        <v>4318744.0654441249</v>
      </c>
      <c r="J139" s="11">
        <v>10940000</v>
      </c>
      <c r="K139" s="11">
        <f t="shared" si="9"/>
        <v>11317241.379310343</v>
      </c>
      <c r="L139" s="18">
        <f t="shared" si="7"/>
        <v>2.6204936453317051</v>
      </c>
      <c r="M139" s="18">
        <f t="shared" si="8"/>
        <v>0.28023092526135107</v>
      </c>
    </row>
    <row r="140" spans="1:13" x14ac:dyDescent="0.3">
      <c r="A140" s="9" t="s">
        <v>218</v>
      </c>
      <c r="B140" s="10" t="s">
        <v>576</v>
      </c>
      <c r="C140" s="10" t="s">
        <v>118</v>
      </c>
      <c r="D140" s="10" t="s">
        <v>123</v>
      </c>
      <c r="E140" s="10" t="s">
        <v>702</v>
      </c>
      <c r="F140" s="10" t="s">
        <v>694</v>
      </c>
      <c r="G140" s="10" t="s">
        <v>696</v>
      </c>
      <c r="H140" s="11">
        <v>26795000</v>
      </c>
      <c r="I140" s="11">
        <v>21199808.276168462</v>
      </c>
      <c r="J140" s="11">
        <v>41060000</v>
      </c>
      <c r="K140" s="11">
        <f t="shared" si="9"/>
        <v>42475862.068965517</v>
      </c>
      <c r="L140" s="18">
        <f t="shared" si="7"/>
        <v>2.0035965191588221</v>
      </c>
      <c r="M140" s="18">
        <f t="shared" si="8"/>
        <v>0.58521597570313555</v>
      </c>
    </row>
    <row r="141" spans="1:13" x14ac:dyDescent="0.3">
      <c r="A141" s="9" t="s">
        <v>219</v>
      </c>
      <c r="B141" s="10" t="s">
        <v>577</v>
      </c>
      <c r="C141" s="10" t="s">
        <v>118</v>
      </c>
      <c r="D141" s="10" t="s">
        <v>138</v>
      </c>
      <c r="E141" s="10" t="s">
        <v>706</v>
      </c>
      <c r="F141" s="10" t="s">
        <v>694</v>
      </c>
      <c r="G141" s="10" t="s">
        <v>699</v>
      </c>
      <c r="H141" s="11">
        <v>57918000</v>
      </c>
      <c r="I141" s="11">
        <v>34293744.429333299</v>
      </c>
      <c r="J141" s="11">
        <v>37140000</v>
      </c>
      <c r="K141" s="11">
        <f t="shared" si="9"/>
        <v>38420689.655172408</v>
      </c>
      <c r="L141" s="18">
        <f t="shared" si="7"/>
        <v>1.120341050372706</v>
      </c>
      <c r="M141" s="18">
        <f t="shared" si="8"/>
        <v>-0.33663645748864934</v>
      </c>
    </row>
    <row r="142" spans="1:13" x14ac:dyDescent="0.3">
      <c r="A142" s="9" t="s">
        <v>224</v>
      </c>
      <c r="B142" s="10" t="s">
        <v>582</v>
      </c>
      <c r="C142" s="10" t="s">
        <v>118</v>
      </c>
      <c r="D142" s="10" t="s">
        <v>123</v>
      </c>
      <c r="E142" s="10" t="s">
        <v>703</v>
      </c>
      <c r="F142" s="10" t="s">
        <v>694</v>
      </c>
      <c r="G142" s="10" t="s">
        <v>697</v>
      </c>
      <c r="H142" s="11">
        <v>4100000</v>
      </c>
      <c r="I142" s="11">
        <v>9244447.5570529643</v>
      </c>
      <c r="J142" s="11">
        <v>1900000</v>
      </c>
      <c r="K142" s="11">
        <f t="shared" si="9"/>
        <v>1965517.2413793104</v>
      </c>
      <c r="L142" s="18">
        <f t="shared" si="7"/>
        <v>0.21261597615746519</v>
      </c>
      <c r="M142" s="18">
        <f t="shared" si="8"/>
        <v>-0.52060555088309501</v>
      </c>
    </row>
    <row r="143" spans="1:13" x14ac:dyDescent="0.3">
      <c r="A143" s="9" t="s">
        <v>227</v>
      </c>
      <c r="B143" s="10" t="s">
        <v>585</v>
      </c>
      <c r="C143" s="10" t="s">
        <v>118</v>
      </c>
      <c r="D143" s="10" t="s">
        <v>123</v>
      </c>
      <c r="E143" s="10" t="s">
        <v>702</v>
      </c>
      <c r="F143" s="10" t="s">
        <v>694</v>
      </c>
      <c r="G143" s="10" t="s">
        <v>697</v>
      </c>
      <c r="H143" s="11">
        <v>6000000</v>
      </c>
      <c r="I143" s="11">
        <v>9475418.1897926684</v>
      </c>
      <c r="J143" s="11">
        <v>11200000</v>
      </c>
      <c r="K143" s="11">
        <f t="shared" si="9"/>
        <v>11586206.896551723</v>
      </c>
      <c r="L143" s="18">
        <f t="shared" si="7"/>
        <v>1.2227647017239711</v>
      </c>
      <c r="M143" s="18">
        <f t="shared" si="8"/>
        <v>0.93103448275862044</v>
      </c>
    </row>
    <row r="144" spans="1:13" x14ac:dyDescent="0.3">
      <c r="A144" s="9" t="s">
        <v>230</v>
      </c>
      <c r="B144" s="10" t="s">
        <v>588</v>
      </c>
      <c r="C144" s="10" t="s">
        <v>118</v>
      </c>
      <c r="D144" s="10" t="s">
        <v>138</v>
      </c>
      <c r="E144" s="10" t="s">
        <v>703</v>
      </c>
      <c r="F144" s="10" t="s">
        <v>694</v>
      </c>
      <c r="G144" s="10" t="s">
        <v>699</v>
      </c>
      <c r="H144" s="11">
        <v>12140000</v>
      </c>
      <c r="I144" s="11">
        <v>5846713.1824076967</v>
      </c>
      <c r="J144" s="11">
        <v>5860000</v>
      </c>
      <c r="K144" s="11">
        <f t="shared" si="9"/>
        <v>6062068.9655172415</v>
      </c>
      <c r="L144" s="18">
        <f t="shared" si="7"/>
        <v>1.0368336493326769</v>
      </c>
      <c r="M144" s="18">
        <f t="shared" si="8"/>
        <v>-0.50065329773334089</v>
      </c>
    </row>
    <row r="145" spans="1:13" x14ac:dyDescent="0.3">
      <c r="A145" s="9" t="s">
        <v>233</v>
      </c>
      <c r="B145" s="10" t="s">
        <v>591</v>
      </c>
      <c r="C145" s="10" t="s">
        <v>118</v>
      </c>
      <c r="D145" s="10" t="s">
        <v>123</v>
      </c>
      <c r="E145" s="10" t="s">
        <v>702</v>
      </c>
      <c r="F145" s="10" t="s">
        <v>694</v>
      </c>
      <c r="G145" s="10" t="s">
        <v>696</v>
      </c>
      <c r="H145" s="11">
        <v>23160000</v>
      </c>
      <c r="I145" s="11">
        <v>17172494.431225259</v>
      </c>
      <c r="J145" s="11">
        <v>19220000</v>
      </c>
      <c r="K145" s="11">
        <f t="shared" si="9"/>
        <v>19882758.620689657</v>
      </c>
      <c r="L145" s="18">
        <f t="shared" si="7"/>
        <v>1.1578258883890651</v>
      </c>
      <c r="M145" s="18">
        <f t="shared" si="8"/>
        <v>-0.1415043773450062</v>
      </c>
    </row>
    <row r="146" spans="1:13" x14ac:dyDescent="0.3">
      <c r="A146" s="9" t="s">
        <v>237</v>
      </c>
      <c r="B146" s="10" t="s">
        <v>595</v>
      </c>
      <c r="C146" s="10" t="s">
        <v>118</v>
      </c>
      <c r="D146" s="10" t="s">
        <v>123</v>
      </c>
      <c r="E146" s="10" t="s">
        <v>703</v>
      </c>
      <c r="F146" s="10" t="s">
        <v>694</v>
      </c>
      <c r="G146" s="10" t="s">
        <v>697</v>
      </c>
      <c r="H146" s="11">
        <v>10000000</v>
      </c>
      <c r="I146" s="11">
        <v>1908065.7293551899</v>
      </c>
      <c r="J146" s="11">
        <v>14120000</v>
      </c>
      <c r="K146" s="11">
        <f t="shared" si="9"/>
        <v>14606896.551724138</v>
      </c>
      <c r="L146" s="18">
        <f t="shared" si="7"/>
        <v>7.6553424376320516</v>
      </c>
      <c r="M146" s="18">
        <f t="shared" si="8"/>
        <v>0.46068965517241378</v>
      </c>
    </row>
    <row r="147" spans="1:13" x14ac:dyDescent="0.3">
      <c r="A147" s="9" t="s">
        <v>175</v>
      </c>
      <c r="B147" s="10" t="s">
        <v>533</v>
      </c>
      <c r="C147" s="10" t="s">
        <v>118</v>
      </c>
      <c r="D147" s="10" t="s">
        <v>136</v>
      </c>
      <c r="E147" s="10" t="s">
        <v>704</v>
      </c>
      <c r="F147" s="10" t="s">
        <v>694</v>
      </c>
      <c r="G147" s="10" t="s">
        <v>696</v>
      </c>
      <c r="H147" s="11">
        <v>90760000</v>
      </c>
      <c r="I147" s="11">
        <v>76329476.080309346</v>
      </c>
      <c r="J147" s="11">
        <v>63900000</v>
      </c>
      <c r="K147" s="11">
        <f t="shared" si="9"/>
        <v>66103448.275862068</v>
      </c>
      <c r="L147" s="18">
        <f t="shared" si="7"/>
        <v>0.86602780040455063</v>
      </c>
      <c r="M147" s="18">
        <f t="shared" si="8"/>
        <v>-0.27166760383580796</v>
      </c>
    </row>
    <row r="148" spans="1:13" x14ac:dyDescent="0.3">
      <c r="A148" s="9" t="s">
        <v>176</v>
      </c>
      <c r="B148" s="10" t="s">
        <v>534</v>
      </c>
      <c r="C148" s="10" t="s">
        <v>118</v>
      </c>
      <c r="D148" s="10" t="s">
        <v>136</v>
      </c>
      <c r="E148" s="10" t="s">
        <v>704</v>
      </c>
      <c r="F148" s="10" t="s">
        <v>694</v>
      </c>
      <c r="G148" s="10" t="s">
        <v>697</v>
      </c>
      <c r="H148" s="11">
        <v>31980007</v>
      </c>
      <c r="I148" s="11">
        <v>38610115.640755326</v>
      </c>
      <c r="J148" s="11">
        <v>33920000</v>
      </c>
      <c r="K148" s="11">
        <f t="shared" si="9"/>
        <v>35089655.172413796</v>
      </c>
      <c r="L148" s="18">
        <f t="shared" si="7"/>
        <v>0.90882025578225756</v>
      </c>
      <c r="M148" s="18">
        <f t="shared" si="8"/>
        <v>9.7237257403158042E-2</v>
      </c>
    </row>
    <row r="149" spans="1:13" x14ac:dyDescent="0.3">
      <c r="A149" s="9" t="s">
        <v>177</v>
      </c>
      <c r="B149" s="10" t="s">
        <v>535</v>
      </c>
      <c r="C149" s="10" t="s">
        <v>118</v>
      </c>
      <c r="D149" s="10" t="s">
        <v>134</v>
      </c>
      <c r="E149" s="10" t="s">
        <v>704</v>
      </c>
      <c r="F149" s="10" t="s">
        <v>694</v>
      </c>
      <c r="G149" s="10" t="s">
        <v>695</v>
      </c>
      <c r="H149" s="11">
        <v>16070000</v>
      </c>
      <c r="I149" s="11">
        <v>15864381.589280352</v>
      </c>
      <c r="J149" s="11">
        <v>20220069</v>
      </c>
      <c r="K149" s="11">
        <f t="shared" si="9"/>
        <v>20917312.758620687</v>
      </c>
      <c r="L149" s="18">
        <f t="shared" si="7"/>
        <v>1.3185079191964613</v>
      </c>
      <c r="M149" s="18">
        <f t="shared" si="8"/>
        <v>0.30163738385940803</v>
      </c>
    </row>
    <row r="150" spans="1:13" x14ac:dyDescent="0.3">
      <c r="A150" s="9" t="s">
        <v>178</v>
      </c>
      <c r="B150" s="10" t="s">
        <v>536</v>
      </c>
      <c r="C150" s="10" t="s">
        <v>118</v>
      </c>
      <c r="D150" s="10" t="s">
        <v>134</v>
      </c>
      <c r="E150" s="10" t="s">
        <v>704</v>
      </c>
      <c r="F150" s="10" t="s">
        <v>694</v>
      </c>
      <c r="G150" s="10" t="s">
        <v>699</v>
      </c>
      <c r="H150" s="11">
        <v>79800000</v>
      </c>
      <c r="I150" s="11">
        <v>64278448.013663545</v>
      </c>
      <c r="J150" s="11">
        <v>81565000</v>
      </c>
      <c r="K150" s="11">
        <f t="shared" si="9"/>
        <v>84377586.206896558</v>
      </c>
      <c r="L150" s="18">
        <f t="shared" si="7"/>
        <v>1.3126886042575356</v>
      </c>
      <c r="M150" s="18">
        <f t="shared" si="8"/>
        <v>5.7363235675395467E-2</v>
      </c>
    </row>
    <row r="151" spans="1:13" x14ac:dyDescent="0.3">
      <c r="A151" s="9" t="s">
        <v>179</v>
      </c>
      <c r="B151" s="10" t="s">
        <v>537</v>
      </c>
      <c r="C151" s="10" t="s">
        <v>118</v>
      </c>
      <c r="D151" s="10" t="s">
        <v>134</v>
      </c>
      <c r="E151" s="10" t="s">
        <v>704</v>
      </c>
      <c r="F151" s="10" t="s">
        <v>694</v>
      </c>
      <c r="G151" s="10" t="s">
        <v>698</v>
      </c>
      <c r="H151" s="11">
        <v>65960000</v>
      </c>
      <c r="I151" s="11">
        <v>44430630.07026957</v>
      </c>
      <c r="J151" s="11">
        <v>61660000</v>
      </c>
      <c r="K151" s="11">
        <f t="shared" si="9"/>
        <v>63786206.896551721</v>
      </c>
      <c r="L151" s="18">
        <f t="shared" si="7"/>
        <v>1.4356358844263564</v>
      </c>
      <c r="M151" s="18">
        <f t="shared" si="8"/>
        <v>-3.2956232617469362E-2</v>
      </c>
    </row>
    <row r="152" spans="1:13" x14ac:dyDescent="0.3">
      <c r="A152" s="9" t="s">
        <v>180</v>
      </c>
      <c r="B152" s="10" t="s">
        <v>538</v>
      </c>
      <c r="C152" s="10" t="s">
        <v>118</v>
      </c>
      <c r="D152" s="10" t="s">
        <v>136</v>
      </c>
      <c r="E152" s="10" t="s">
        <v>704</v>
      </c>
      <c r="F152" s="10" t="s">
        <v>694</v>
      </c>
      <c r="G152" s="10" t="s">
        <v>697</v>
      </c>
      <c r="H152" s="11">
        <v>7540000</v>
      </c>
      <c r="I152" s="11">
        <v>15050318.876369003</v>
      </c>
      <c r="J152" s="11">
        <v>14460000</v>
      </c>
      <c r="K152" s="11">
        <f t="shared" si="9"/>
        <v>14958620.689655172</v>
      </c>
      <c r="L152" s="18">
        <f t="shared" si="7"/>
        <v>0.99390722632077855</v>
      </c>
      <c r="M152" s="18">
        <f t="shared" si="8"/>
        <v>0.98390194823012889</v>
      </c>
    </row>
    <row r="153" spans="1:13" x14ac:dyDescent="0.3">
      <c r="A153" s="9" t="s">
        <v>181</v>
      </c>
      <c r="B153" s="10" t="s">
        <v>539</v>
      </c>
      <c r="C153" s="10" t="s">
        <v>118</v>
      </c>
      <c r="D153" s="10" t="s">
        <v>136</v>
      </c>
      <c r="E153" s="10" t="s">
        <v>704</v>
      </c>
      <c r="F153" s="10" t="s">
        <v>694</v>
      </c>
      <c r="G153" s="10" t="s">
        <v>697</v>
      </c>
      <c r="H153" s="11">
        <v>900000</v>
      </c>
      <c r="I153" s="11">
        <v>7580577.5586361103</v>
      </c>
      <c r="J153" s="11">
        <v>0</v>
      </c>
      <c r="K153" s="11">
        <f t="shared" si="9"/>
        <v>0</v>
      </c>
      <c r="L153" s="18">
        <f t="shared" si="7"/>
        <v>0</v>
      </c>
      <c r="M153" s="18">
        <f t="shared" si="8"/>
        <v>-1</v>
      </c>
    </row>
    <row r="154" spans="1:13" x14ac:dyDescent="0.3">
      <c r="A154" s="9" t="s">
        <v>182</v>
      </c>
      <c r="B154" s="10" t="s">
        <v>540</v>
      </c>
      <c r="C154" s="10" t="s">
        <v>118</v>
      </c>
      <c r="D154" s="10" t="s">
        <v>136</v>
      </c>
      <c r="E154" s="10" t="s">
        <v>704</v>
      </c>
      <c r="F154" s="10" t="s">
        <v>694</v>
      </c>
      <c r="G154" s="10" t="s">
        <v>697</v>
      </c>
      <c r="H154" s="11">
        <v>39200000</v>
      </c>
      <c r="I154" s="11">
        <v>20509603.8068165</v>
      </c>
      <c r="J154" s="11">
        <v>17900004</v>
      </c>
      <c r="K154" s="11">
        <f t="shared" si="9"/>
        <v>18517245.517241381</v>
      </c>
      <c r="L154" s="18">
        <f t="shared" si="7"/>
        <v>0.90285730000728026</v>
      </c>
      <c r="M154" s="18">
        <f t="shared" si="8"/>
        <v>-0.52762128782547502</v>
      </c>
    </row>
    <row r="155" spans="1:13" x14ac:dyDescent="0.3">
      <c r="A155" s="9" t="s">
        <v>183</v>
      </c>
      <c r="B155" s="10" t="s">
        <v>541</v>
      </c>
      <c r="C155" s="10" t="s">
        <v>118</v>
      </c>
      <c r="D155" s="10" t="s">
        <v>134</v>
      </c>
      <c r="E155" s="10" t="s">
        <v>704</v>
      </c>
      <c r="F155" s="10" t="s">
        <v>694</v>
      </c>
      <c r="G155" s="10" t="s">
        <v>698</v>
      </c>
      <c r="H155" s="11">
        <v>123555000</v>
      </c>
      <c r="I155" s="11">
        <v>104025476.395743</v>
      </c>
      <c r="J155" s="11">
        <v>110120000</v>
      </c>
      <c r="K155" s="11">
        <f t="shared" si="9"/>
        <v>113917241.37931034</v>
      </c>
      <c r="L155" s="18">
        <f t="shared" si="7"/>
        <v>1.0950898311288304</v>
      </c>
      <c r="M155" s="18">
        <f t="shared" si="8"/>
        <v>-7.8003792810405564E-2</v>
      </c>
    </row>
    <row r="156" spans="1:13" x14ac:dyDescent="0.3">
      <c r="A156" s="9" t="s">
        <v>184</v>
      </c>
      <c r="B156" s="10" t="s">
        <v>542</v>
      </c>
      <c r="C156" s="10" t="s">
        <v>118</v>
      </c>
      <c r="D156" s="10" t="s">
        <v>136</v>
      </c>
      <c r="E156" s="10" t="s">
        <v>704</v>
      </c>
      <c r="F156" s="10" t="s">
        <v>694</v>
      </c>
      <c r="G156" s="10" t="s">
        <v>697</v>
      </c>
      <c r="H156" s="11">
        <v>5860000</v>
      </c>
      <c r="I156" s="11">
        <v>4714135.0575259402</v>
      </c>
      <c r="J156" s="11">
        <v>4780001</v>
      </c>
      <c r="K156" s="11">
        <f t="shared" si="9"/>
        <v>4944828.6206896547</v>
      </c>
      <c r="L156" s="18">
        <f t="shared" si="7"/>
        <v>1.0489365621367637</v>
      </c>
      <c r="M156" s="18">
        <f t="shared" si="8"/>
        <v>-0.15617259032599748</v>
      </c>
    </row>
    <row r="157" spans="1:13" x14ac:dyDescent="0.3">
      <c r="A157" s="9" t="s">
        <v>185</v>
      </c>
      <c r="B157" s="10" t="s">
        <v>543</v>
      </c>
      <c r="C157" s="10" t="s">
        <v>118</v>
      </c>
      <c r="D157" s="10" t="s">
        <v>134</v>
      </c>
      <c r="E157" s="10" t="s">
        <v>704</v>
      </c>
      <c r="F157" s="10" t="s">
        <v>694</v>
      </c>
      <c r="G157" s="10" t="s">
        <v>700</v>
      </c>
      <c r="H157" s="11">
        <v>23000000</v>
      </c>
      <c r="I157" s="11">
        <v>25943833.118043631</v>
      </c>
      <c r="J157" s="11">
        <v>28860000</v>
      </c>
      <c r="K157" s="11">
        <f t="shared" si="9"/>
        <v>29855172.413793102</v>
      </c>
      <c r="L157" s="18">
        <f t="shared" si="7"/>
        <v>1.150761812179141</v>
      </c>
      <c r="M157" s="18">
        <f t="shared" si="8"/>
        <v>0.29805097451274354</v>
      </c>
    </row>
    <row r="158" spans="1:13" x14ac:dyDescent="0.3">
      <c r="A158" s="9" t="s">
        <v>186</v>
      </c>
      <c r="B158" s="10" t="s">
        <v>544</v>
      </c>
      <c r="C158" s="10" t="s">
        <v>118</v>
      </c>
      <c r="D158" s="10" t="s">
        <v>134</v>
      </c>
      <c r="E158" s="10" t="s">
        <v>704</v>
      </c>
      <c r="F158" s="10" t="s">
        <v>694</v>
      </c>
      <c r="G158" s="10" t="s">
        <v>698</v>
      </c>
      <c r="H158" s="11">
        <v>10140000</v>
      </c>
      <c r="I158" s="11">
        <v>15952075.124032468</v>
      </c>
      <c r="J158" s="11">
        <v>19000000</v>
      </c>
      <c r="K158" s="11">
        <f t="shared" si="9"/>
        <v>19655172.413793102</v>
      </c>
      <c r="L158" s="18">
        <f t="shared" si="7"/>
        <v>1.2321389073815083</v>
      </c>
      <c r="M158" s="18">
        <f t="shared" si="8"/>
        <v>0.93837992246480295</v>
      </c>
    </row>
    <row r="159" spans="1:13" x14ac:dyDescent="0.3">
      <c r="A159" s="9" t="s">
        <v>187</v>
      </c>
      <c r="B159" s="10" t="s">
        <v>545</v>
      </c>
      <c r="C159" s="10" t="s">
        <v>118</v>
      </c>
      <c r="D159" s="10" t="s">
        <v>136</v>
      </c>
      <c r="E159" s="10" t="s">
        <v>704</v>
      </c>
      <c r="F159" s="10" t="s">
        <v>694</v>
      </c>
      <c r="G159" s="10" t="s">
        <v>697</v>
      </c>
      <c r="H159" s="11">
        <v>0</v>
      </c>
      <c r="I159" s="11">
        <v>2448978.8077624282</v>
      </c>
      <c r="J159" s="11">
        <v>0</v>
      </c>
      <c r="K159" s="11">
        <f t="shared" si="9"/>
        <v>0</v>
      </c>
      <c r="L159" s="18">
        <f t="shared" si="7"/>
        <v>0</v>
      </c>
      <c r="M159" s="18">
        <f t="shared" si="8"/>
        <v>0</v>
      </c>
    </row>
    <row r="160" spans="1:13" x14ac:dyDescent="0.3">
      <c r="A160" s="9" t="s">
        <v>188</v>
      </c>
      <c r="B160" s="10" t="s">
        <v>546</v>
      </c>
      <c r="C160" s="10" t="s">
        <v>118</v>
      </c>
      <c r="D160" s="10" t="s">
        <v>134</v>
      </c>
      <c r="E160" s="10" t="s">
        <v>704</v>
      </c>
      <c r="F160" s="10" t="s">
        <v>694</v>
      </c>
      <c r="G160" s="10" t="s">
        <v>700</v>
      </c>
      <c r="H160" s="11">
        <v>0</v>
      </c>
      <c r="I160" s="11">
        <v>3821873.5325000472</v>
      </c>
      <c r="J160" s="11">
        <v>0</v>
      </c>
      <c r="K160" s="11">
        <f t="shared" si="9"/>
        <v>0</v>
      </c>
      <c r="L160" s="18">
        <f t="shared" si="7"/>
        <v>0</v>
      </c>
      <c r="M160" s="18">
        <f t="shared" si="8"/>
        <v>0</v>
      </c>
    </row>
    <row r="161" spans="1:13" x14ac:dyDescent="0.3">
      <c r="A161" s="9" t="s">
        <v>189</v>
      </c>
      <c r="B161" s="10" t="s">
        <v>547</v>
      </c>
      <c r="C161" s="10" t="s">
        <v>118</v>
      </c>
      <c r="D161" s="10" t="s">
        <v>136</v>
      </c>
      <c r="E161" s="10" t="s">
        <v>704</v>
      </c>
      <c r="F161" s="10" t="s">
        <v>694</v>
      </c>
      <c r="G161" s="10" t="s">
        <v>696</v>
      </c>
      <c r="H161" s="11">
        <v>93970000</v>
      </c>
      <c r="I161" s="11">
        <v>76803772.571482405</v>
      </c>
      <c r="J161" s="11">
        <v>80680000</v>
      </c>
      <c r="K161" s="11">
        <f t="shared" si="9"/>
        <v>83462068.965517253</v>
      </c>
      <c r="L161" s="18">
        <f t="shared" si="7"/>
        <v>1.0866923091289282</v>
      </c>
      <c r="M161" s="18">
        <f t="shared" si="8"/>
        <v>-0.11182218829927368</v>
      </c>
    </row>
    <row r="162" spans="1:13" x14ac:dyDescent="0.3">
      <c r="A162" s="9" t="s">
        <v>190</v>
      </c>
      <c r="B162" s="10" t="s">
        <v>548</v>
      </c>
      <c r="C162" s="10" t="s">
        <v>118</v>
      </c>
      <c r="D162" s="10" t="s">
        <v>134</v>
      </c>
      <c r="E162" s="10" t="s">
        <v>704</v>
      </c>
      <c r="F162" s="10" t="s">
        <v>694</v>
      </c>
      <c r="G162" s="10" t="s">
        <v>699</v>
      </c>
      <c r="H162" s="11">
        <v>5300000</v>
      </c>
      <c r="I162" s="11">
        <v>5846713.1824076967</v>
      </c>
      <c r="J162" s="11">
        <v>1100000</v>
      </c>
      <c r="K162" s="11">
        <f t="shared" si="9"/>
        <v>1137931.0344827587</v>
      </c>
      <c r="L162" s="18">
        <f t="shared" si="7"/>
        <v>0.19462747683719192</v>
      </c>
      <c r="M162" s="18">
        <f t="shared" si="8"/>
        <v>-0.78529603122966818</v>
      </c>
    </row>
    <row r="163" spans="1:13" x14ac:dyDescent="0.3">
      <c r="A163" s="9" t="s">
        <v>191</v>
      </c>
      <c r="B163" s="10" t="s">
        <v>549</v>
      </c>
      <c r="C163" s="10" t="s">
        <v>118</v>
      </c>
      <c r="D163" s="10" t="s">
        <v>128</v>
      </c>
      <c r="E163" s="10" t="s">
        <v>704</v>
      </c>
      <c r="F163" s="10" t="s">
        <v>694</v>
      </c>
      <c r="G163" s="10" t="s">
        <v>698</v>
      </c>
      <c r="H163" s="11">
        <v>1100000</v>
      </c>
      <c r="I163" s="11">
        <v>5111869.4321712097</v>
      </c>
      <c r="J163" s="11">
        <v>6660000</v>
      </c>
      <c r="K163" s="11">
        <f t="shared" si="9"/>
        <v>6889655.1724137934</v>
      </c>
      <c r="L163" s="18">
        <f t="shared" si="7"/>
        <v>1.3477760462844</v>
      </c>
      <c r="M163" s="18">
        <f t="shared" si="8"/>
        <v>5.2633228840125392</v>
      </c>
    </row>
    <row r="164" spans="1:13" x14ac:dyDescent="0.3">
      <c r="A164" s="9" t="s">
        <v>192</v>
      </c>
      <c r="B164" s="10" t="s">
        <v>550</v>
      </c>
      <c r="C164" s="10" t="s">
        <v>118</v>
      </c>
      <c r="D164" s="10" t="s">
        <v>134</v>
      </c>
      <c r="E164" s="10" t="s">
        <v>704</v>
      </c>
      <c r="F164" s="10" t="s">
        <v>694</v>
      </c>
      <c r="G164" s="10" t="s">
        <v>699</v>
      </c>
      <c r="H164" s="11">
        <v>45480000</v>
      </c>
      <c r="I164" s="11">
        <v>42129534.700263374</v>
      </c>
      <c r="J164" s="11">
        <v>30180000</v>
      </c>
      <c r="K164" s="11">
        <f t="shared" si="9"/>
        <v>31220689.655172415</v>
      </c>
      <c r="L164" s="18">
        <f t="shared" si="7"/>
        <v>0.74106419349979757</v>
      </c>
      <c r="M164" s="18">
        <f t="shared" si="8"/>
        <v>-0.31352925120553177</v>
      </c>
    </row>
    <row r="165" spans="1:13" x14ac:dyDescent="0.3">
      <c r="A165" s="9" t="s">
        <v>223</v>
      </c>
      <c r="B165" s="10" t="s">
        <v>581</v>
      </c>
      <c r="C165" s="10" t="s">
        <v>118</v>
      </c>
      <c r="D165" s="10" t="s">
        <v>136</v>
      </c>
      <c r="E165" s="10" t="s">
        <v>704</v>
      </c>
      <c r="F165" s="10" t="s">
        <v>694</v>
      </c>
      <c r="G165" s="10" t="s">
        <v>697</v>
      </c>
      <c r="H165" s="11">
        <v>1100000</v>
      </c>
      <c r="I165" s="11">
        <v>1316400.6828806722</v>
      </c>
      <c r="J165" s="11">
        <v>0</v>
      </c>
      <c r="K165" s="11">
        <f t="shared" si="9"/>
        <v>0</v>
      </c>
      <c r="L165" s="18">
        <f t="shared" si="7"/>
        <v>0</v>
      </c>
      <c r="M165" s="18">
        <f t="shared" si="8"/>
        <v>-1</v>
      </c>
    </row>
    <row r="166" spans="1:13" x14ac:dyDescent="0.3">
      <c r="A166" s="9" t="s">
        <v>226</v>
      </c>
      <c r="B166" s="10" t="s">
        <v>584</v>
      </c>
      <c r="C166" s="10" t="s">
        <v>118</v>
      </c>
      <c r="D166" s="10" t="s">
        <v>136</v>
      </c>
      <c r="E166" s="10" t="s">
        <v>704</v>
      </c>
      <c r="F166" s="10" t="s">
        <v>694</v>
      </c>
      <c r="G166" s="10" t="s">
        <v>697</v>
      </c>
      <c r="H166" s="11">
        <v>15300000</v>
      </c>
      <c r="I166" s="11">
        <v>13400146.466444753</v>
      </c>
      <c r="J166" s="11">
        <v>6800000</v>
      </c>
      <c r="K166" s="11">
        <f t="shared" si="9"/>
        <v>7034482.7586206896</v>
      </c>
      <c r="L166" s="18">
        <f t="shared" si="7"/>
        <v>0.5249556619575545</v>
      </c>
      <c r="M166" s="18">
        <f t="shared" si="8"/>
        <v>-0.54022988505747127</v>
      </c>
    </row>
    <row r="167" spans="1:13" x14ac:dyDescent="0.3">
      <c r="A167" s="9" t="s">
        <v>228</v>
      </c>
      <c r="B167" s="10" t="s">
        <v>586</v>
      </c>
      <c r="C167" s="10" t="s">
        <v>118</v>
      </c>
      <c r="D167" s="10" t="s">
        <v>134</v>
      </c>
      <c r="E167" s="10" t="s">
        <v>704</v>
      </c>
      <c r="F167" s="10" t="s">
        <v>694</v>
      </c>
      <c r="G167" s="10" t="s">
        <v>698</v>
      </c>
      <c r="H167" s="11">
        <v>5400000</v>
      </c>
      <c r="I167" s="11">
        <v>5846713.1824076967</v>
      </c>
      <c r="J167" s="11">
        <v>1980000</v>
      </c>
      <c r="K167" s="11">
        <f t="shared" si="9"/>
        <v>2048275.8620689656</v>
      </c>
      <c r="L167" s="18">
        <f t="shared" si="7"/>
        <v>0.35032945830694545</v>
      </c>
      <c r="M167" s="18">
        <f t="shared" si="8"/>
        <v>-0.62068965517241381</v>
      </c>
    </row>
    <row r="168" spans="1:13" x14ac:dyDescent="0.3">
      <c r="A168" s="9" t="s">
        <v>235</v>
      </c>
      <c r="B168" s="10" t="s">
        <v>593</v>
      </c>
      <c r="C168" s="10" t="s">
        <v>118</v>
      </c>
      <c r="D168" s="10" t="s">
        <v>136</v>
      </c>
      <c r="E168" s="10" t="s">
        <v>704</v>
      </c>
      <c r="F168" s="10" t="s">
        <v>694</v>
      </c>
      <c r="G168" s="10" t="s">
        <v>696</v>
      </c>
      <c r="H168" s="11">
        <v>15575000</v>
      </c>
      <c r="I168" s="11">
        <v>11509603.806816475</v>
      </c>
      <c r="J168" s="11">
        <v>9300000</v>
      </c>
      <c r="K168" s="11">
        <f t="shared" si="9"/>
        <v>9620689.6551724132</v>
      </c>
      <c r="L168" s="18">
        <f t="shared" si="7"/>
        <v>0.83588365130992892</v>
      </c>
      <c r="M168" s="18">
        <f t="shared" si="8"/>
        <v>-0.38229921957159468</v>
      </c>
    </row>
    <row r="169" spans="1:13" x14ac:dyDescent="0.3">
      <c r="A169" s="9" t="s">
        <v>234</v>
      </c>
      <c r="B169" s="10" t="s">
        <v>592</v>
      </c>
      <c r="C169" s="10" t="s">
        <v>118</v>
      </c>
      <c r="D169" s="10" t="s">
        <v>136</v>
      </c>
      <c r="E169" s="10" t="s">
        <v>704</v>
      </c>
      <c r="F169" s="10" t="s">
        <v>694</v>
      </c>
      <c r="G169" s="10" t="s">
        <v>697</v>
      </c>
      <c r="H169" s="11">
        <v>53020000</v>
      </c>
      <c r="I169" s="11">
        <v>30111869.432171199</v>
      </c>
      <c r="J169" s="11">
        <v>22900000</v>
      </c>
      <c r="K169" s="11">
        <f t="shared" si="9"/>
        <v>23689655.172413796</v>
      </c>
      <c r="L169" s="18">
        <f t="shared" si="7"/>
        <v>0.78672150282054631</v>
      </c>
      <c r="M169" s="18">
        <f t="shared" si="8"/>
        <v>-0.55319398015062626</v>
      </c>
    </row>
    <row r="170" spans="1:13" x14ac:dyDescent="0.3">
      <c r="A170" s="9" t="s">
        <v>232</v>
      </c>
      <c r="B170" s="10" t="s">
        <v>590</v>
      </c>
      <c r="C170" s="10" t="s">
        <v>118</v>
      </c>
      <c r="D170" s="10" t="s">
        <v>136</v>
      </c>
      <c r="E170" s="10" t="s">
        <v>704</v>
      </c>
      <c r="F170" s="10" t="s">
        <v>694</v>
      </c>
      <c r="G170" s="10" t="s">
        <v>696</v>
      </c>
      <c r="H170" s="11">
        <v>70821000</v>
      </c>
      <c r="I170" s="11">
        <v>45763431.9298063</v>
      </c>
      <c r="J170" s="11">
        <v>43880001</v>
      </c>
      <c r="K170" s="11">
        <f t="shared" si="9"/>
        <v>45393104.482758626</v>
      </c>
      <c r="L170" s="18">
        <f t="shared" si="7"/>
        <v>0.99190778681949165</v>
      </c>
      <c r="M170" s="18">
        <f t="shared" si="8"/>
        <v>-0.35904457035683446</v>
      </c>
    </row>
    <row r="171" spans="1:13" x14ac:dyDescent="0.3">
      <c r="A171" s="9" t="s">
        <v>231</v>
      </c>
      <c r="B171" s="10" t="s">
        <v>589</v>
      </c>
      <c r="C171" s="10" t="s">
        <v>118</v>
      </c>
      <c r="D171" s="10" t="s">
        <v>136</v>
      </c>
      <c r="E171" s="10" t="s">
        <v>704</v>
      </c>
      <c r="F171" s="10" t="s">
        <v>694</v>
      </c>
      <c r="G171" s="10" t="s">
        <v>697</v>
      </c>
      <c r="H171" s="11">
        <v>38660000</v>
      </c>
      <c r="I171" s="11">
        <v>38652476.800411396</v>
      </c>
      <c r="J171" s="11">
        <v>15940000</v>
      </c>
      <c r="K171" s="11">
        <f t="shared" si="9"/>
        <v>16489655.172413794</v>
      </c>
      <c r="L171" s="18">
        <f t="shared" si="7"/>
        <v>0.42661315748434231</v>
      </c>
      <c r="M171" s="18">
        <f t="shared" si="8"/>
        <v>-0.57346986103430431</v>
      </c>
    </row>
    <row r="172" spans="1:13" x14ac:dyDescent="0.3">
      <c r="A172" s="9" t="s">
        <v>194</v>
      </c>
      <c r="B172" s="10" t="s">
        <v>552</v>
      </c>
      <c r="C172" s="10" t="s">
        <v>116</v>
      </c>
      <c r="D172" s="10" t="s">
        <v>131</v>
      </c>
      <c r="E172" s="10" t="s">
        <v>705</v>
      </c>
      <c r="F172" s="10" t="s">
        <v>694</v>
      </c>
      <c r="G172" s="10" t="s">
        <v>696</v>
      </c>
      <c r="H172" s="11">
        <v>188885000</v>
      </c>
      <c r="I172" s="11">
        <v>150949300.45553625</v>
      </c>
      <c r="J172" s="11">
        <v>151630000</v>
      </c>
      <c r="K172" s="11">
        <f t="shared" si="9"/>
        <v>156858620.68965518</v>
      </c>
      <c r="L172" s="18">
        <f t="shared" si="7"/>
        <v>1.0391477152678796</v>
      </c>
      <c r="M172" s="18">
        <f t="shared" si="8"/>
        <v>-0.16955491071469314</v>
      </c>
    </row>
    <row r="173" spans="1:13" x14ac:dyDescent="0.3">
      <c r="A173" s="9" t="s">
        <v>195</v>
      </c>
      <c r="B173" s="10" t="s">
        <v>553</v>
      </c>
      <c r="C173" s="10" t="s">
        <v>116</v>
      </c>
      <c r="D173" s="10" t="s">
        <v>131</v>
      </c>
      <c r="E173" s="10" t="s">
        <v>705</v>
      </c>
      <c r="F173" s="10" t="s">
        <v>694</v>
      </c>
      <c r="G173" s="10" t="s">
        <v>696</v>
      </c>
      <c r="H173" s="11">
        <v>194160000</v>
      </c>
      <c r="I173" s="11">
        <v>187226911.93553624</v>
      </c>
      <c r="J173" s="11">
        <v>156700000</v>
      </c>
      <c r="K173" s="11">
        <f t="shared" si="9"/>
        <v>162103448.27586207</v>
      </c>
      <c r="L173" s="18">
        <f t="shared" si="7"/>
        <v>0.8658127541604469</v>
      </c>
      <c r="M173" s="18">
        <f t="shared" si="8"/>
        <v>-0.16510378926729466</v>
      </c>
    </row>
    <row r="174" spans="1:13" x14ac:dyDescent="0.3">
      <c r="A174" s="9" t="s">
        <v>216</v>
      </c>
      <c r="B174" s="10" t="s">
        <v>574</v>
      </c>
      <c r="C174" s="10" t="s">
        <v>116</v>
      </c>
      <c r="D174" s="10" t="s">
        <v>129</v>
      </c>
      <c r="E174" s="10" t="s">
        <v>705</v>
      </c>
      <c r="F174" s="10" t="s">
        <v>694</v>
      </c>
      <c r="G174" s="10" t="s">
        <v>697</v>
      </c>
      <c r="H174" s="11">
        <v>4900000</v>
      </c>
      <c r="I174" s="11">
        <v>11486911.935536224</v>
      </c>
      <c r="J174" s="11">
        <v>5840000</v>
      </c>
      <c r="K174" s="11">
        <f t="shared" si="9"/>
        <v>6041379.3103448283</v>
      </c>
      <c r="L174" s="18">
        <f t="shared" si="7"/>
        <v>0.52593589506463023</v>
      </c>
      <c r="M174" s="18">
        <f t="shared" si="8"/>
        <v>0.23293455313159761</v>
      </c>
    </row>
    <row r="175" spans="1:13" x14ac:dyDescent="0.3">
      <c r="A175" s="9" t="s">
        <v>196</v>
      </c>
      <c r="B175" s="10" t="s">
        <v>554</v>
      </c>
      <c r="C175" s="10" t="s">
        <v>116</v>
      </c>
      <c r="D175" s="10" t="s">
        <v>129</v>
      </c>
      <c r="E175" s="10" t="s">
        <v>705</v>
      </c>
      <c r="F175" s="10" t="s">
        <v>694</v>
      </c>
      <c r="G175" s="10" t="s">
        <v>697</v>
      </c>
      <c r="H175" s="11">
        <v>144200000</v>
      </c>
      <c r="I175" s="11">
        <v>135676911.935536</v>
      </c>
      <c r="J175" s="11">
        <v>163646000</v>
      </c>
      <c r="K175" s="11">
        <f t="shared" si="9"/>
        <v>169288965.51724139</v>
      </c>
      <c r="L175" s="18">
        <f t="shared" si="7"/>
        <v>1.2477359861910438</v>
      </c>
      <c r="M175" s="18">
        <f t="shared" si="8"/>
        <v>0.17398727820555748</v>
      </c>
    </row>
    <row r="176" spans="1:13" x14ac:dyDescent="0.3">
      <c r="A176" s="9" t="s">
        <v>197</v>
      </c>
      <c r="B176" s="10" t="s">
        <v>555</v>
      </c>
      <c r="C176" s="10" t="s">
        <v>116</v>
      </c>
      <c r="D176" s="10" t="s">
        <v>129</v>
      </c>
      <c r="E176" s="10" t="s">
        <v>705</v>
      </c>
      <c r="F176" s="10" t="s">
        <v>694</v>
      </c>
      <c r="G176" s="10" t="s">
        <v>697</v>
      </c>
      <c r="H176" s="11">
        <v>48620000</v>
      </c>
      <c r="I176" s="11">
        <v>40384219.928625599</v>
      </c>
      <c r="J176" s="11">
        <v>57855000</v>
      </c>
      <c r="K176" s="11">
        <f t="shared" si="9"/>
        <v>59850000</v>
      </c>
      <c r="L176" s="18">
        <f t="shared" ref="L176:L201" si="10">IFERROR(K176/I176,0)</f>
        <v>1.4820145122470583</v>
      </c>
      <c r="M176" s="18">
        <f t="shared" ref="M176:M201" si="11">IFERROR((K176-H176)/H176,0)</f>
        <v>0.23097490744549568</v>
      </c>
    </row>
    <row r="177" spans="1:13" x14ac:dyDescent="0.3">
      <c r="A177" s="9" t="s">
        <v>198</v>
      </c>
      <c r="B177" s="10" t="s">
        <v>556</v>
      </c>
      <c r="C177" s="10" t="s">
        <v>116</v>
      </c>
      <c r="D177" s="10" t="s">
        <v>129</v>
      </c>
      <c r="E177" s="10" t="s">
        <v>705</v>
      </c>
      <c r="F177" s="10" t="s">
        <v>694</v>
      </c>
      <c r="G177" s="10" t="s">
        <v>697</v>
      </c>
      <c r="H177" s="11">
        <v>182564000</v>
      </c>
      <c r="I177" s="11">
        <v>187226911.93553624</v>
      </c>
      <c r="J177" s="11">
        <v>289766000</v>
      </c>
      <c r="K177" s="11">
        <f t="shared" ref="K177:K202" si="12">IFERROR(J177/$A$1*$B$1,0)</f>
        <v>299757931.03448278</v>
      </c>
      <c r="L177" s="18">
        <f t="shared" si="10"/>
        <v>1.6010408329422849</v>
      </c>
      <c r="M177" s="18">
        <f t="shared" si="11"/>
        <v>0.64193340984248137</v>
      </c>
    </row>
    <row r="178" spans="1:13" x14ac:dyDescent="0.3">
      <c r="A178" s="9" t="s">
        <v>199</v>
      </c>
      <c r="B178" s="10" t="s">
        <v>557</v>
      </c>
      <c r="C178" s="10" t="s">
        <v>116</v>
      </c>
      <c r="D178" s="10" t="s">
        <v>132</v>
      </c>
      <c r="E178" s="10" t="s">
        <v>705</v>
      </c>
      <c r="F178" s="10" t="s">
        <v>694</v>
      </c>
      <c r="G178" s="10" t="s">
        <v>699</v>
      </c>
      <c r="H178" s="11">
        <v>22940000</v>
      </c>
      <c r="I178" s="11">
        <v>45612766.743129499</v>
      </c>
      <c r="J178" s="11">
        <v>33800000</v>
      </c>
      <c r="K178" s="11">
        <f t="shared" si="12"/>
        <v>34965517.241379313</v>
      </c>
      <c r="L178" s="18">
        <f t="shared" si="10"/>
        <v>0.76657303948013755</v>
      </c>
      <c r="M178" s="18">
        <f t="shared" si="11"/>
        <v>0.52421609596248098</v>
      </c>
    </row>
    <row r="179" spans="1:13" x14ac:dyDescent="0.3">
      <c r="A179" s="9" t="s">
        <v>200</v>
      </c>
      <c r="B179" s="10" t="s">
        <v>558</v>
      </c>
      <c r="C179" s="10" t="s">
        <v>116</v>
      </c>
      <c r="D179" s="10" t="s">
        <v>132</v>
      </c>
      <c r="E179" s="10" t="s">
        <v>705</v>
      </c>
      <c r="F179" s="10" t="s">
        <v>694</v>
      </c>
      <c r="G179" s="10" t="s">
        <v>698</v>
      </c>
      <c r="H179" s="11">
        <v>2200000</v>
      </c>
      <c r="I179" s="11">
        <v>9945620.2241219413</v>
      </c>
      <c r="J179" s="11">
        <v>6180000</v>
      </c>
      <c r="K179" s="11">
        <f t="shared" si="12"/>
        <v>6393103.4482758613</v>
      </c>
      <c r="L179" s="18">
        <f t="shared" si="10"/>
        <v>0.64280590895378598</v>
      </c>
      <c r="M179" s="18">
        <f t="shared" si="11"/>
        <v>1.9059561128526643</v>
      </c>
    </row>
    <row r="180" spans="1:13" x14ac:dyDescent="0.3">
      <c r="A180" s="9" t="s">
        <v>201</v>
      </c>
      <c r="B180" s="10" t="s">
        <v>559</v>
      </c>
      <c r="C180" s="10" t="s">
        <v>116</v>
      </c>
      <c r="D180" s="10" t="s">
        <v>132</v>
      </c>
      <c r="E180" s="10" t="s">
        <v>705</v>
      </c>
      <c r="F180" s="10" t="s">
        <v>694</v>
      </c>
      <c r="G180" s="10" t="s">
        <v>698</v>
      </c>
      <c r="H180" s="11">
        <v>147483000</v>
      </c>
      <c r="I180" s="11">
        <v>174176911.93553624</v>
      </c>
      <c r="J180" s="11">
        <v>170290000</v>
      </c>
      <c r="K180" s="11">
        <f t="shared" si="12"/>
        <v>176162068.96551725</v>
      </c>
      <c r="L180" s="18">
        <f t="shared" si="10"/>
        <v>1.0113973603500086</v>
      </c>
      <c r="M180" s="18">
        <f t="shared" si="11"/>
        <v>0.19445677783552853</v>
      </c>
    </row>
    <row r="181" spans="1:13" x14ac:dyDescent="0.3">
      <c r="A181" s="9" t="s">
        <v>217</v>
      </c>
      <c r="B181" s="10" t="s">
        <v>575</v>
      </c>
      <c r="C181" s="10" t="s">
        <v>116</v>
      </c>
      <c r="D181" s="10" t="s">
        <v>129</v>
      </c>
      <c r="E181" s="10" t="s">
        <v>705</v>
      </c>
      <c r="F181" s="10" t="s">
        <v>694</v>
      </c>
      <c r="G181" s="10" t="s">
        <v>697</v>
      </c>
      <c r="H181" s="11">
        <v>7600000</v>
      </c>
      <c r="I181" s="11">
        <v>5526911.9355362197</v>
      </c>
      <c r="J181" s="11">
        <v>7480000</v>
      </c>
      <c r="K181" s="11">
        <f t="shared" si="12"/>
        <v>7737931.0344827585</v>
      </c>
      <c r="L181" s="18">
        <f t="shared" si="10"/>
        <v>1.4000460157018997</v>
      </c>
      <c r="M181" s="18">
        <f t="shared" si="11"/>
        <v>1.814882032667875E-2</v>
      </c>
    </row>
    <row r="182" spans="1:13" x14ac:dyDescent="0.3">
      <c r="A182" s="9" t="s">
        <v>202</v>
      </c>
      <c r="B182" s="10" t="s">
        <v>560</v>
      </c>
      <c r="C182" s="10" t="s">
        <v>116</v>
      </c>
      <c r="D182" s="10" t="s">
        <v>131</v>
      </c>
      <c r="E182" s="10" t="s">
        <v>705</v>
      </c>
      <c r="F182" s="10" t="s">
        <v>694</v>
      </c>
      <c r="G182" s="10" t="s">
        <v>697</v>
      </c>
      <c r="H182" s="11">
        <v>51340000</v>
      </c>
      <c r="I182" s="11">
        <v>54464911.935536221</v>
      </c>
      <c r="J182" s="11">
        <v>40280000</v>
      </c>
      <c r="K182" s="11">
        <f t="shared" si="12"/>
        <v>41668965.517241374</v>
      </c>
      <c r="L182" s="18">
        <f t="shared" si="10"/>
        <v>0.76506073426796462</v>
      </c>
      <c r="M182" s="18">
        <f t="shared" si="11"/>
        <v>-0.18837231170157043</v>
      </c>
    </row>
    <row r="183" spans="1:13" x14ac:dyDescent="0.3">
      <c r="A183" s="9" t="s">
        <v>203</v>
      </c>
      <c r="B183" s="10" t="s">
        <v>561</v>
      </c>
      <c r="C183" s="10" t="s">
        <v>116</v>
      </c>
      <c r="D183" s="10" t="s">
        <v>133</v>
      </c>
      <c r="E183" s="10" t="s">
        <v>705</v>
      </c>
      <c r="F183" s="10" t="s">
        <v>694</v>
      </c>
      <c r="G183" s="10" t="s">
        <v>700</v>
      </c>
      <c r="H183" s="11">
        <v>58975000</v>
      </c>
      <c r="I183" s="11">
        <v>44891007.350774616</v>
      </c>
      <c r="J183" s="11">
        <v>58940000</v>
      </c>
      <c r="K183" s="11">
        <f t="shared" si="12"/>
        <v>60972413.793103449</v>
      </c>
      <c r="L183" s="18">
        <f t="shared" si="10"/>
        <v>1.3582322471997577</v>
      </c>
      <c r="M183" s="18">
        <f t="shared" si="11"/>
        <v>3.3868822265425161E-2</v>
      </c>
    </row>
    <row r="184" spans="1:13" x14ac:dyDescent="0.3">
      <c r="A184" s="9" t="s">
        <v>204</v>
      </c>
      <c r="B184" s="10" t="s">
        <v>562</v>
      </c>
      <c r="C184" s="10" t="s">
        <v>116</v>
      </c>
      <c r="D184" s="10" t="s">
        <v>131</v>
      </c>
      <c r="E184" s="10" t="s">
        <v>705</v>
      </c>
      <c r="F184" s="10" t="s">
        <v>694</v>
      </c>
      <c r="G184" s="10" t="s">
        <v>696</v>
      </c>
      <c r="H184" s="11">
        <v>35920000</v>
      </c>
      <c r="I184" s="11">
        <v>20114555.468233496</v>
      </c>
      <c r="J184" s="11">
        <v>30600000</v>
      </c>
      <c r="K184" s="11">
        <f t="shared" si="12"/>
        <v>31655172.413793106</v>
      </c>
      <c r="L184" s="18">
        <f t="shared" si="10"/>
        <v>1.5737445683940403</v>
      </c>
      <c r="M184" s="18">
        <f t="shared" si="11"/>
        <v>-0.11873128023961287</v>
      </c>
    </row>
    <row r="185" spans="1:13" x14ac:dyDescent="0.3">
      <c r="A185" s="9" t="s">
        <v>205</v>
      </c>
      <c r="B185" s="10" t="s">
        <v>563</v>
      </c>
      <c r="C185" s="10" t="s">
        <v>116</v>
      </c>
      <c r="D185" s="10" t="s">
        <v>132</v>
      </c>
      <c r="E185" s="10" t="s">
        <v>705</v>
      </c>
      <c r="F185" s="10" t="s">
        <v>694</v>
      </c>
      <c r="G185" s="10" t="s">
        <v>695</v>
      </c>
      <c r="H185" s="11">
        <v>90624000</v>
      </c>
      <c r="I185" s="11">
        <v>95876911.935536221</v>
      </c>
      <c r="J185" s="11">
        <v>84525000</v>
      </c>
      <c r="K185" s="11">
        <f t="shared" si="12"/>
        <v>87439655.172413781</v>
      </c>
      <c r="L185" s="18">
        <f t="shared" si="10"/>
        <v>0.9119990768080295</v>
      </c>
      <c r="M185" s="18">
        <f t="shared" si="11"/>
        <v>-3.5137985827001887E-2</v>
      </c>
    </row>
    <row r="186" spans="1:13" x14ac:dyDescent="0.3">
      <c r="A186" s="9" t="s">
        <v>206</v>
      </c>
      <c r="B186" s="10" t="s">
        <v>564</v>
      </c>
      <c r="C186" s="10" t="s">
        <v>116</v>
      </c>
      <c r="D186" s="10" t="s">
        <v>133</v>
      </c>
      <c r="E186" s="10" t="s">
        <v>705</v>
      </c>
      <c r="F186" s="10" t="s">
        <v>694</v>
      </c>
      <c r="G186" s="10" t="s">
        <v>698</v>
      </c>
      <c r="H186" s="11">
        <v>36700000</v>
      </c>
      <c r="I186" s="11">
        <v>54177931.215668201</v>
      </c>
      <c r="J186" s="11">
        <v>54335000</v>
      </c>
      <c r="K186" s="11">
        <f t="shared" si="12"/>
        <v>56208620.68965517</v>
      </c>
      <c r="L186" s="18">
        <f t="shared" si="10"/>
        <v>1.0374818570665485</v>
      </c>
      <c r="M186" s="18">
        <f t="shared" si="11"/>
        <v>0.53157004603965041</v>
      </c>
    </row>
    <row r="187" spans="1:13" x14ac:dyDescent="0.3">
      <c r="A187" s="9" t="s">
        <v>207</v>
      </c>
      <c r="B187" s="10" t="s">
        <v>565</v>
      </c>
      <c r="C187" s="10" t="s">
        <v>116</v>
      </c>
      <c r="D187" s="10" t="s">
        <v>133</v>
      </c>
      <c r="E187" s="10" t="s">
        <v>705</v>
      </c>
      <c r="F187" s="10" t="s">
        <v>694</v>
      </c>
      <c r="G187" s="10" t="s">
        <v>699</v>
      </c>
      <c r="H187" s="11">
        <v>35100000</v>
      </c>
      <c r="I187" s="11">
        <v>37607312.625050925</v>
      </c>
      <c r="J187" s="11">
        <v>21740000</v>
      </c>
      <c r="K187" s="11">
        <f t="shared" si="12"/>
        <v>22489655.172413796</v>
      </c>
      <c r="L187" s="18">
        <f t="shared" si="10"/>
        <v>0.59801282257624067</v>
      </c>
      <c r="M187" s="18">
        <f t="shared" si="11"/>
        <v>-0.35926908340701436</v>
      </c>
    </row>
    <row r="188" spans="1:13" x14ac:dyDescent="0.3">
      <c r="A188" s="9" t="s">
        <v>208</v>
      </c>
      <c r="B188" s="10" t="s">
        <v>566</v>
      </c>
      <c r="C188" s="10" t="s">
        <v>116</v>
      </c>
      <c r="D188" s="10" t="s">
        <v>131</v>
      </c>
      <c r="E188" s="10" t="s">
        <v>705</v>
      </c>
      <c r="F188" s="10" t="s">
        <v>694</v>
      </c>
      <c r="G188" s="10" t="s">
        <v>697</v>
      </c>
      <c r="H188" s="11">
        <v>7100000</v>
      </c>
      <c r="I188" s="11">
        <v>8876911.9355362244</v>
      </c>
      <c r="J188" s="11">
        <v>7400000</v>
      </c>
      <c r="K188" s="11">
        <f t="shared" si="12"/>
        <v>7655172.4137931038</v>
      </c>
      <c r="L188" s="18">
        <f t="shared" si="10"/>
        <v>0.86236885860585932</v>
      </c>
      <c r="M188" s="18">
        <f t="shared" si="11"/>
        <v>7.8193297717338558E-2</v>
      </c>
    </row>
    <row r="189" spans="1:13" x14ac:dyDescent="0.3">
      <c r="A189" s="9" t="s">
        <v>209</v>
      </c>
      <c r="B189" s="10" t="s">
        <v>567</v>
      </c>
      <c r="C189" s="10" t="s">
        <v>118</v>
      </c>
      <c r="D189" s="10" t="s">
        <v>128</v>
      </c>
      <c r="E189" s="10" t="s">
        <v>705</v>
      </c>
      <c r="F189" s="10" t="s">
        <v>694</v>
      </c>
      <c r="G189" s="10" t="s">
        <v>698</v>
      </c>
      <c r="H189" s="11">
        <v>5700000</v>
      </c>
      <c r="I189" s="11">
        <v>5885730.9916693997</v>
      </c>
      <c r="J189" s="11">
        <v>8160000</v>
      </c>
      <c r="K189" s="11">
        <f t="shared" si="12"/>
        <v>8441379.3103448283</v>
      </c>
      <c r="L189" s="18">
        <f t="shared" si="10"/>
        <v>1.434210860518883</v>
      </c>
      <c r="M189" s="18">
        <f t="shared" si="11"/>
        <v>0.48094373865698742</v>
      </c>
    </row>
    <row r="190" spans="1:13" x14ac:dyDescent="0.3">
      <c r="A190" s="9" t="s">
        <v>210</v>
      </c>
      <c r="B190" s="10" t="s">
        <v>568</v>
      </c>
      <c r="C190" s="10" t="s">
        <v>116</v>
      </c>
      <c r="D190" s="10" t="s">
        <v>133</v>
      </c>
      <c r="E190" s="10" t="s">
        <v>705</v>
      </c>
      <c r="F190" s="10" t="s">
        <v>694</v>
      </c>
      <c r="G190" s="10" t="s">
        <v>700</v>
      </c>
      <c r="H190" s="11">
        <v>36200000</v>
      </c>
      <c r="I190" s="11">
        <v>38507215.458892986</v>
      </c>
      <c r="J190" s="11">
        <v>43635000</v>
      </c>
      <c r="K190" s="11">
        <f t="shared" si="12"/>
        <v>45139655.172413796</v>
      </c>
      <c r="L190" s="18">
        <f t="shared" si="10"/>
        <v>1.1722388813234506</v>
      </c>
      <c r="M190" s="18">
        <f t="shared" si="11"/>
        <v>0.24695180034292255</v>
      </c>
    </row>
    <row r="191" spans="1:13" x14ac:dyDescent="0.3">
      <c r="A191" s="9" t="s">
        <v>211</v>
      </c>
      <c r="B191" s="10" t="s">
        <v>569</v>
      </c>
      <c r="C191" s="10" t="s">
        <v>116</v>
      </c>
      <c r="D191" s="10" t="s">
        <v>133</v>
      </c>
      <c r="E191" s="10" t="s">
        <v>705</v>
      </c>
      <c r="F191" s="10" t="s">
        <v>694</v>
      </c>
      <c r="G191" s="10" t="s">
        <v>699</v>
      </c>
      <c r="H191" s="11">
        <v>129698000</v>
      </c>
      <c r="I191" s="11">
        <v>156776911.93553624</v>
      </c>
      <c r="J191" s="11">
        <v>142907000</v>
      </c>
      <c r="K191" s="11">
        <f t="shared" si="12"/>
        <v>147834827.58620688</v>
      </c>
      <c r="L191" s="18">
        <f t="shared" si="10"/>
        <v>0.94296300240301856</v>
      </c>
      <c r="M191" s="18">
        <f t="shared" si="11"/>
        <v>0.13983891491161685</v>
      </c>
    </row>
    <row r="192" spans="1:13" x14ac:dyDescent="0.3">
      <c r="A192" s="9" t="s">
        <v>212</v>
      </c>
      <c r="B192" s="10" t="s">
        <v>570</v>
      </c>
      <c r="C192" s="10" t="s">
        <v>116</v>
      </c>
      <c r="D192" s="10" t="s">
        <v>129</v>
      </c>
      <c r="E192" s="10" t="s">
        <v>705</v>
      </c>
      <c r="F192" s="10" t="s">
        <v>694</v>
      </c>
      <c r="G192" s="10" t="s">
        <v>697</v>
      </c>
      <c r="H192" s="11">
        <v>18800000</v>
      </c>
      <c r="I192" s="11">
        <v>15182670.039606599</v>
      </c>
      <c r="J192" s="11">
        <v>11580003</v>
      </c>
      <c r="K192" s="11">
        <f t="shared" si="12"/>
        <v>11979313.448275862</v>
      </c>
      <c r="L192" s="18">
        <f t="shared" si="10"/>
        <v>0.78901230264675237</v>
      </c>
      <c r="M192" s="18">
        <f t="shared" si="11"/>
        <v>-0.36280247615553923</v>
      </c>
    </row>
    <row r="193" spans="1:22" x14ac:dyDescent="0.3">
      <c r="A193" s="9" t="s">
        <v>213</v>
      </c>
      <c r="B193" s="10" t="s">
        <v>571</v>
      </c>
      <c r="C193" s="10" t="s">
        <v>116</v>
      </c>
      <c r="D193" s="10" t="s">
        <v>133</v>
      </c>
      <c r="E193" s="10" t="s">
        <v>705</v>
      </c>
      <c r="F193" s="10" t="s">
        <v>694</v>
      </c>
      <c r="G193" s="10" t="s">
        <v>695</v>
      </c>
      <c r="H193" s="11">
        <v>10900000</v>
      </c>
      <c r="I193" s="11">
        <v>7519013.3331607021</v>
      </c>
      <c r="J193" s="11">
        <v>15760000</v>
      </c>
      <c r="K193" s="11">
        <f t="shared" si="12"/>
        <v>16303448.27586207</v>
      </c>
      <c r="L193" s="18">
        <f t="shared" si="10"/>
        <v>2.1682962316292014</v>
      </c>
      <c r="M193" s="18">
        <f t="shared" si="11"/>
        <v>0.49572919962037337</v>
      </c>
    </row>
    <row r="194" spans="1:22" x14ac:dyDescent="0.3">
      <c r="A194" s="9" t="s">
        <v>214</v>
      </c>
      <c r="B194" s="10" t="s">
        <v>572</v>
      </c>
      <c r="C194" s="10" t="s">
        <v>116</v>
      </c>
      <c r="D194" s="10" t="s">
        <v>133</v>
      </c>
      <c r="E194" s="10" t="s">
        <v>705</v>
      </c>
      <c r="F194" s="10" t="s">
        <v>694</v>
      </c>
      <c r="G194" s="10" t="s">
        <v>695</v>
      </c>
      <c r="H194" s="11">
        <v>11658000</v>
      </c>
      <c r="I194" s="11">
        <v>13226911.935536224</v>
      </c>
      <c r="J194" s="11">
        <v>11700000</v>
      </c>
      <c r="K194" s="11">
        <f t="shared" si="12"/>
        <v>12103448.27586207</v>
      </c>
      <c r="L194" s="18">
        <f t="shared" si="10"/>
        <v>0.91506228625777808</v>
      </c>
      <c r="M194" s="18">
        <f t="shared" si="11"/>
        <v>3.8209665110831174E-2</v>
      </c>
    </row>
    <row r="195" spans="1:22" x14ac:dyDescent="0.3">
      <c r="A195" s="9" t="s">
        <v>215</v>
      </c>
      <c r="B195" s="10" t="s">
        <v>573</v>
      </c>
      <c r="C195" s="10" t="s">
        <v>116</v>
      </c>
      <c r="D195" s="10" t="s">
        <v>132</v>
      </c>
      <c r="E195" s="10" t="s">
        <v>705</v>
      </c>
      <c r="F195" s="10" t="s">
        <v>694</v>
      </c>
      <c r="G195" s="10" t="s">
        <v>698</v>
      </c>
      <c r="H195" s="11">
        <v>42200000</v>
      </c>
      <c r="I195" s="11">
        <v>39707413.387996718</v>
      </c>
      <c r="J195" s="11">
        <v>36215000</v>
      </c>
      <c r="K195" s="11">
        <f t="shared" si="12"/>
        <v>37463793.103448279</v>
      </c>
      <c r="L195" s="18">
        <f t="shared" si="10"/>
        <v>0.94349618640163879</v>
      </c>
      <c r="M195" s="18">
        <f t="shared" si="11"/>
        <v>-0.11223239091354789</v>
      </c>
    </row>
    <row r="196" spans="1:22" x14ac:dyDescent="0.3">
      <c r="A196" s="9" t="s">
        <v>225</v>
      </c>
      <c r="B196" s="10" t="s">
        <v>583</v>
      </c>
      <c r="C196" s="10" t="s">
        <v>116</v>
      </c>
      <c r="D196" s="10" t="s">
        <v>129</v>
      </c>
      <c r="E196" s="10" t="s">
        <v>705</v>
      </c>
      <c r="F196" s="10" t="s">
        <v>694</v>
      </c>
      <c r="G196" s="10" t="s">
        <v>697</v>
      </c>
      <c r="H196" s="11">
        <v>23300000</v>
      </c>
      <c r="I196" s="11">
        <v>24976911.935536198</v>
      </c>
      <c r="J196" s="11">
        <v>25400000</v>
      </c>
      <c r="K196" s="11">
        <f t="shared" si="12"/>
        <v>26275862.068965517</v>
      </c>
      <c r="L196" s="18">
        <f t="shared" si="10"/>
        <v>1.0520060340838702</v>
      </c>
      <c r="M196" s="18">
        <f t="shared" si="11"/>
        <v>0.12771940210152433</v>
      </c>
    </row>
    <row r="197" spans="1:22" x14ac:dyDescent="0.3">
      <c r="A197" s="9" t="s">
        <v>221</v>
      </c>
      <c r="B197" s="10" t="s">
        <v>579</v>
      </c>
      <c r="C197" s="10" t="s">
        <v>116</v>
      </c>
      <c r="D197" s="10" t="s">
        <v>132</v>
      </c>
      <c r="E197" s="10" t="s">
        <v>705</v>
      </c>
      <c r="F197" s="10" t="s">
        <v>694</v>
      </c>
      <c r="G197" s="10" t="s">
        <v>699</v>
      </c>
      <c r="H197" s="11">
        <v>37022000</v>
      </c>
      <c r="I197" s="11">
        <v>36847986.138048247</v>
      </c>
      <c r="J197" s="11">
        <v>34660000</v>
      </c>
      <c r="K197" s="11">
        <f t="shared" si="12"/>
        <v>35855172.413793109</v>
      </c>
      <c r="L197" s="18">
        <f t="shared" si="10"/>
        <v>0.97305649973554498</v>
      </c>
      <c r="M197" s="18">
        <f t="shared" si="11"/>
        <v>-3.1517140786745466E-2</v>
      </c>
    </row>
    <row r="198" spans="1:22" x14ac:dyDescent="0.3">
      <c r="A198" s="9" t="s">
        <v>236</v>
      </c>
      <c r="B198" s="10" t="s">
        <v>594</v>
      </c>
      <c r="C198" s="10" t="s">
        <v>118</v>
      </c>
      <c r="D198" s="10" t="s">
        <v>138</v>
      </c>
      <c r="E198" s="10" t="s">
        <v>703</v>
      </c>
      <c r="F198" s="10" t="s">
        <v>694</v>
      </c>
      <c r="G198" s="10" t="s">
        <v>698</v>
      </c>
      <c r="H198" s="11">
        <v>5200000</v>
      </c>
      <c r="I198" s="11">
        <v>1316400.6828806722</v>
      </c>
      <c r="J198" s="11">
        <v>7280000</v>
      </c>
      <c r="K198" s="11">
        <f t="shared" si="12"/>
        <v>7531034.4827586208</v>
      </c>
      <c r="L198" s="18">
        <f t="shared" si="10"/>
        <v>5.7209287268664282</v>
      </c>
      <c r="M198" s="18">
        <f t="shared" si="11"/>
        <v>0.44827586206896552</v>
      </c>
    </row>
    <row r="199" spans="1:22" x14ac:dyDescent="0.3">
      <c r="A199" s="9" t="s">
        <v>242</v>
      </c>
      <c r="B199" s="10" t="s">
        <v>598</v>
      </c>
      <c r="C199" s="10" t="s">
        <v>118</v>
      </c>
      <c r="D199" s="10" t="s">
        <v>123</v>
      </c>
      <c r="E199" s="10" t="s">
        <v>703</v>
      </c>
      <c r="F199" s="10" t="s">
        <v>694</v>
      </c>
      <c r="G199" s="10" t="s">
        <v>696</v>
      </c>
      <c r="H199" s="11">
        <v>8200000</v>
      </c>
      <c r="I199" s="11">
        <v>1316400.6828806722</v>
      </c>
      <c r="J199" s="11">
        <v>11220000</v>
      </c>
      <c r="K199" s="11">
        <f t="shared" si="12"/>
        <v>11606896.551724138</v>
      </c>
      <c r="L199" s="18">
        <f t="shared" si="10"/>
        <v>8.8171456477254573</v>
      </c>
      <c r="M199" s="18">
        <f t="shared" si="11"/>
        <v>0.41547518923465093</v>
      </c>
    </row>
    <row r="200" spans="1:22" x14ac:dyDescent="0.3">
      <c r="A200" s="5" t="s">
        <v>67</v>
      </c>
      <c r="B200" s="8"/>
      <c r="C200" s="8"/>
      <c r="D200" s="8"/>
      <c r="E200" s="8"/>
      <c r="F200" s="8"/>
      <c r="G200" s="8"/>
      <c r="H200" s="13">
        <f>SUM(H5:H199)</f>
        <v>6496530792</v>
      </c>
      <c r="I200" s="13">
        <f>SUM(I5:I199)</f>
        <v>6242903285.0000029</v>
      </c>
      <c r="J200" s="13">
        <f>SUM(J5:J199)</f>
        <v>7125718958</v>
      </c>
      <c r="K200" s="13">
        <f>SUM(K5:K199)</f>
        <v>7371433404.8275881</v>
      </c>
      <c r="L200" s="14">
        <f>IFERROR(K200/I200,0)</f>
        <v>1.1807700789693691</v>
      </c>
      <c r="M200" s="19">
        <f>IFERROR((K200-H200)/H200,0)</f>
        <v>0.13467227984279953</v>
      </c>
    </row>
    <row r="208" spans="1:22" s="16" customFormat="1" ht="23.35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P208"/>
      <c r="Q208"/>
      <c r="R208"/>
      <c r="S208"/>
      <c r="T208"/>
      <c r="U208"/>
      <c r="V208"/>
    </row>
  </sheetData>
  <autoFilter ref="A4:M200" xr:uid="{812C3D77-8647-4A0D-8FF1-4E8887A12AC5}"/>
  <mergeCells count="2">
    <mergeCell ref="A3:M3"/>
    <mergeCell ref="P3:V3"/>
  </mergeCells>
  <conditionalFormatting sqref="M5:M200">
    <cfRule type="cellIs" dxfId="7" priority="3" operator="lessThan">
      <formula>0</formula>
    </cfRule>
  </conditionalFormatting>
  <conditionalFormatting sqref="V5:V9">
    <cfRule type="cellIs" dxfId="6" priority="2" operator="lessThan">
      <formula>0</formula>
    </cfRule>
  </conditionalFormatting>
  <conditionalFormatting sqref="V12:V32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A5F-42F7-44C1-BD07-0D45402951F0}">
  <dimension ref="A1:T241"/>
  <sheetViews>
    <sheetView showGridLines="0" zoomScale="70" zoomScaleNormal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0.33203125" bestFit="1" customWidth="1"/>
    <col min="2" max="2" width="41.109375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8" width="19.44140625" customWidth="1"/>
    <col min="9" max="11" width="18" customWidth="1"/>
    <col min="12" max="12" width="18" hidden="1" customWidth="1"/>
    <col min="13" max="14" width="0" hidden="1" customWidth="1"/>
    <col min="15" max="15" width="25.88671875" hidden="1" customWidth="1"/>
    <col min="16" max="19" width="15.109375" hidden="1" customWidth="1"/>
    <col min="20" max="20" width="15.10937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0" x14ac:dyDescent="0.3">
      <c r="A1" s="1">
        <v>29</v>
      </c>
      <c r="B1" s="1">
        <v>30</v>
      </c>
    </row>
    <row r="2" spans="1:20" x14ac:dyDescent="0.3">
      <c r="A2" s="17"/>
    </row>
    <row r="3" spans="1:20" s="4" customFormat="1" ht="23.5" customHeight="1" x14ac:dyDescent="0.3">
      <c r="A3" s="2" t="str">
        <f>"TV (01 - "&amp;A1&amp;" SEPTEMBER 2026)"</f>
        <v>TV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O3" s="2" t="str">
        <f>A3</f>
        <v>TV (01 - 29 SEPTEMBER 2026)</v>
      </c>
      <c r="P3" s="2"/>
      <c r="Q3" s="2"/>
      <c r="R3" s="2"/>
      <c r="S3" s="2"/>
      <c r="T3" s="2"/>
    </row>
    <row r="4" spans="1:20" s="4" customFormat="1" ht="29.4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7" t="s">
        <v>9</v>
      </c>
      <c r="J4" s="7" t="s">
        <v>10</v>
      </c>
      <c r="K4" s="7" t="s">
        <v>248</v>
      </c>
      <c r="L4" s="7" t="s">
        <v>12</v>
      </c>
      <c r="O4" s="8" t="s">
        <v>2</v>
      </c>
      <c r="P4" s="7" t="s">
        <v>238</v>
      </c>
      <c r="Q4" s="7" t="s">
        <v>9</v>
      </c>
      <c r="R4" s="7" t="s">
        <v>10</v>
      </c>
      <c r="S4" s="7" t="s">
        <v>248</v>
      </c>
      <c r="T4" s="7" t="s">
        <v>12</v>
      </c>
    </row>
    <row r="5" spans="1:20" x14ac:dyDescent="0.3">
      <c r="A5" s="9" t="s">
        <v>56</v>
      </c>
      <c r="B5" s="10" t="s">
        <v>427</v>
      </c>
      <c r="C5" s="10" t="s">
        <v>22</v>
      </c>
      <c r="D5" s="10" t="s">
        <v>48</v>
      </c>
      <c r="E5" s="10" t="s">
        <v>693</v>
      </c>
      <c r="F5" s="10" t="s">
        <v>694</v>
      </c>
      <c r="G5" s="10" t="s">
        <v>699</v>
      </c>
      <c r="H5" s="11">
        <v>0</v>
      </c>
      <c r="I5" s="11">
        <v>5</v>
      </c>
      <c r="J5" s="11">
        <f t="shared" ref="J5:J68" si="0">IFERROR((I5/$A$1*$B$1),0)</f>
        <v>5.1724137931034484</v>
      </c>
      <c r="K5" s="11">
        <v>6</v>
      </c>
      <c r="L5" s="12">
        <f>IFERROR((J5-H5)/H5,0)</f>
        <v>0</v>
      </c>
      <c r="O5" s="10" t="s">
        <v>20</v>
      </c>
      <c r="P5" s="11">
        <f t="shared" ref="P5:S7" si="1">SUMIF($C:$C,$O5,H:H)</f>
        <v>146</v>
      </c>
      <c r="Q5" s="11">
        <f t="shared" si="1"/>
        <v>98</v>
      </c>
      <c r="R5" s="11">
        <f t="shared" si="1"/>
        <v>101.3793103448276</v>
      </c>
      <c r="S5" s="11">
        <f t="shared" si="1"/>
        <v>515</v>
      </c>
      <c r="T5" s="12">
        <f>IFERROR((R5-P5)/P5,0)</f>
        <v>-0.30562116202172873</v>
      </c>
    </row>
    <row r="6" spans="1:20" x14ac:dyDescent="0.3">
      <c r="A6" s="9" t="s">
        <v>54</v>
      </c>
      <c r="B6" s="10" t="s">
        <v>425</v>
      </c>
      <c r="C6" s="10" t="s">
        <v>22</v>
      </c>
      <c r="D6" s="10" t="s">
        <v>48</v>
      </c>
      <c r="E6" s="10" t="s">
        <v>693</v>
      </c>
      <c r="F6" s="10" t="s">
        <v>694</v>
      </c>
      <c r="G6" s="10" t="s">
        <v>699</v>
      </c>
      <c r="H6" s="11">
        <v>1</v>
      </c>
      <c r="I6" s="11">
        <v>2</v>
      </c>
      <c r="J6" s="11">
        <f t="shared" si="0"/>
        <v>2.0689655172413794</v>
      </c>
      <c r="K6" s="11">
        <v>11</v>
      </c>
      <c r="L6" s="12">
        <f t="shared" ref="L6:L69" si="2">IFERROR((J6-H6)/H6,0)</f>
        <v>1.0689655172413794</v>
      </c>
      <c r="O6" s="10" t="s">
        <v>22</v>
      </c>
      <c r="P6" s="11">
        <f t="shared" si="1"/>
        <v>247</v>
      </c>
      <c r="Q6" s="11">
        <f t="shared" si="1"/>
        <v>223</v>
      </c>
      <c r="R6" s="11">
        <f t="shared" si="1"/>
        <v>230.68965517241375</v>
      </c>
      <c r="S6" s="11">
        <f t="shared" si="1"/>
        <v>832</v>
      </c>
      <c r="T6" s="12">
        <f>IFERROR((R6-P6)/P6,0)</f>
        <v>-6.6033784727069833E-2</v>
      </c>
    </row>
    <row r="7" spans="1:20" x14ac:dyDescent="0.3">
      <c r="A7" s="9" t="s">
        <v>161</v>
      </c>
      <c r="B7" s="10" t="s">
        <v>519</v>
      </c>
      <c r="C7" s="10" t="s">
        <v>22</v>
      </c>
      <c r="D7" s="10" t="s">
        <v>48</v>
      </c>
      <c r="E7" s="10" t="s">
        <v>693</v>
      </c>
      <c r="F7" s="10" t="s">
        <v>694</v>
      </c>
      <c r="G7" s="10" t="s">
        <v>699</v>
      </c>
      <c r="H7" s="11">
        <v>21</v>
      </c>
      <c r="I7" s="11">
        <v>8</v>
      </c>
      <c r="J7" s="11">
        <f t="shared" si="0"/>
        <v>8.2758620689655178</v>
      </c>
      <c r="K7" s="11">
        <v>32</v>
      </c>
      <c r="L7" s="12">
        <f t="shared" si="2"/>
        <v>-0.60591133004926101</v>
      </c>
      <c r="O7" s="10" t="s">
        <v>118</v>
      </c>
      <c r="P7" s="11">
        <f t="shared" si="1"/>
        <v>454</v>
      </c>
      <c r="Q7" s="11">
        <f t="shared" si="1"/>
        <v>281</v>
      </c>
      <c r="R7" s="11">
        <f t="shared" si="1"/>
        <v>290.68965517241378</v>
      </c>
      <c r="S7" s="11">
        <f t="shared" si="1"/>
        <v>747</v>
      </c>
      <c r="T7" s="12">
        <f>IFERROR((R7-P7)/P7,0)</f>
        <v>-0.35971441591979342</v>
      </c>
    </row>
    <row r="8" spans="1:20" x14ac:dyDescent="0.3">
      <c r="A8" s="9" t="s">
        <v>66</v>
      </c>
      <c r="B8" s="10" t="s">
        <v>436</v>
      </c>
      <c r="C8" s="10" t="s">
        <v>22</v>
      </c>
      <c r="D8" s="10" t="s">
        <v>42</v>
      </c>
      <c r="E8" s="10" t="s">
        <v>693</v>
      </c>
      <c r="F8" s="10" t="s">
        <v>694</v>
      </c>
      <c r="G8" s="10" t="s">
        <v>699</v>
      </c>
      <c r="H8" s="11">
        <v>4</v>
      </c>
      <c r="I8" s="11">
        <v>8</v>
      </c>
      <c r="J8" s="11">
        <f t="shared" si="0"/>
        <v>8.2758620689655178</v>
      </c>
      <c r="K8" s="11">
        <v>10</v>
      </c>
      <c r="L8" s="12">
        <f t="shared" si="2"/>
        <v>1.0689655172413794</v>
      </c>
      <c r="O8" s="5" t="s">
        <v>24</v>
      </c>
      <c r="P8" s="13">
        <f>SUM(P5:P7)</f>
        <v>847</v>
      </c>
      <c r="Q8" s="13">
        <f>SUM(Q5:Q7)</f>
        <v>602</v>
      </c>
      <c r="R8" s="13">
        <f>SUM(R5:R7)</f>
        <v>622.75862068965512</v>
      </c>
      <c r="S8" s="13">
        <f>SUM(S5:S7)</f>
        <v>2094</v>
      </c>
      <c r="T8" s="15">
        <f>IFERROR((R8-P8)/P8,0)</f>
        <v>-0.26474779139355947</v>
      </c>
    </row>
    <row r="9" spans="1:20" x14ac:dyDescent="0.3">
      <c r="A9" s="9" t="s">
        <v>178</v>
      </c>
      <c r="B9" s="10" t="s">
        <v>536</v>
      </c>
      <c r="C9" s="10" t="s">
        <v>118</v>
      </c>
      <c r="D9" s="10" t="s">
        <v>134</v>
      </c>
      <c r="E9" s="10" t="s">
        <v>704</v>
      </c>
      <c r="F9" s="10" t="s">
        <v>694</v>
      </c>
      <c r="G9" s="10" t="s">
        <v>699</v>
      </c>
      <c r="H9" s="11">
        <v>0</v>
      </c>
      <c r="I9" s="11">
        <v>1</v>
      </c>
      <c r="J9" s="11">
        <f t="shared" si="0"/>
        <v>1.0344827586206897</v>
      </c>
      <c r="K9" s="11">
        <v>1</v>
      </c>
      <c r="L9" s="12">
        <f t="shared" si="2"/>
        <v>0</v>
      </c>
    </row>
    <row r="10" spans="1:20" x14ac:dyDescent="0.3">
      <c r="A10" s="9" t="s">
        <v>249</v>
      </c>
      <c r="B10" s="10" t="s">
        <v>604</v>
      </c>
      <c r="C10" s="10" t="s">
        <v>22</v>
      </c>
      <c r="D10" s="10" t="s">
        <v>48</v>
      </c>
      <c r="E10" s="10" t="s">
        <v>707</v>
      </c>
      <c r="F10" s="10" t="s">
        <v>694</v>
      </c>
      <c r="G10" s="10" t="s">
        <v>699</v>
      </c>
      <c r="H10" s="11">
        <v>1</v>
      </c>
      <c r="I10" s="11">
        <v>0</v>
      </c>
      <c r="J10" s="11">
        <f t="shared" si="0"/>
        <v>0</v>
      </c>
      <c r="K10" s="11">
        <v>0</v>
      </c>
      <c r="L10" s="12">
        <f t="shared" si="2"/>
        <v>-1</v>
      </c>
      <c r="O10" s="8" t="s">
        <v>3</v>
      </c>
      <c r="P10" s="7" t="s">
        <v>238</v>
      </c>
      <c r="Q10" s="8" t="s">
        <v>9</v>
      </c>
      <c r="R10" s="8" t="s">
        <v>10</v>
      </c>
      <c r="S10" s="8" t="s">
        <v>248</v>
      </c>
      <c r="T10" s="8" t="s">
        <v>12</v>
      </c>
    </row>
    <row r="11" spans="1:20" x14ac:dyDescent="0.3">
      <c r="A11" s="9" t="s">
        <v>41</v>
      </c>
      <c r="B11" s="10" t="s">
        <v>416</v>
      </c>
      <c r="C11" s="10" t="s">
        <v>22</v>
      </c>
      <c r="D11" s="10" t="s">
        <v>40</v>
      </c>
      <c r="E11" s="10" t="s">
        <v>693</v>
      </c>
      <c r="F11" s="10" t="s">
        <v>694</v>
      </c>
      <c r="G11" s="10" t="s">
        <v>698</v>
      </c>
      <c r="H11" s="11">
        <v>1</v>
      </c>
      <c r="I11" s="11">
        <v>1</v>
      </c>
      <c r="J11" s="11">
        <f t="shared" si="0"/>
        <v>1.0344827586206897</v>
      </c>
      <c r="K11" s="11">
        <v>8</v>
      </c>
      <c r="L11" s="12">
        <f t="shared" si="2"/>
        <v>3.4482758620689724E-2</v>
      </c>
      <c r="O11" s="10" t="s">
        <v>28</v>
      </c>
      <c r="P11" s="11">
        <f t="shared" ref="P11:S26" si="3">SUMIF($D:$D,$O11,H:H)</f>
        <v>54</v>
      </c>
      <c r="Q11" s="11">
        <f t="shared" si="3"/>
        <v>32</v>
      </c>
      <c r="R11" s="11">
        <f t="shared" si="3"/>
        <v>33.103448275862071</v>
      </c>
      <c r="S11" s="11">
        <f t="shared" si="3"/>
        <v>172</v>
      </c>
      <c r="T11" s="12">
        <f t="shared" ref="T11:T27" si="4">IFERROR((R11-P11)/P11,0)</f>
        <v>-0.38697318007662829</v>
      </c>
    </row>
    <row r="12" spans="1:20" x14ac:dyDescent="0.3">
      <c r="A12" s="9" t="s">
        <v>35</v>
      </c>
      <c r="B12" s="10" t="s">
        <v>413</v>
      </c>
      <c r="C12" s="10" t="s">
        <v>22</v>
      </c>
      <c r="D12" s="10" t="s">
        <v>40</v>
      </c>
      <c r="E12" s="10" t="s">
        <v>693</v>
      </c>
      <c r="F12" s="10" t="s">
        <v>694</v>
      </c>
      <c r="G12" s="10" t="s">
        <v>698</v>
      </c>
      <c r="H12" s="11">
        <v>4</v>
      </c>
      <c r="I12" s="11">
        <v>1</v>
      </c>
      <c r="J12" s="11">
        <f t="shared" si="0"/>
        <v>1.0344827586206897</v>
      </c>
      <c r="K12" s="11">
        <v>13</v>
      </c>
      <c r="L12" s="12">
        <f t="shared" si="2"/>
        <v>-0.74137931034482762</v>
      </c>
      <c r="O12" s="10" t="s">
        <v>48</v>
      </c>
      <c r="P12" s="11">
        <f t="shared" si="3"/>
        <v>34</v>
      </c>
      <c r="Q12" s="11">
        <f t="shared" si="3"/>
        <v>22</v>
      </c>
      <c r="R12" s="11">
        <f t="shared" si="3"/>
        <v>22.758620689655178</v>
      </c>
      <c r="S12" s="11">
        <f t="shared" si="3"/>
        <v>102</v>
      </c>
      <c r="T12" s="12">
        <f t="shared" si="4"/>
        <v>-0.33062880324543592</v>
      </c>
    </row>
    <row r="13" spans="1:20" x14ac:dyDescent="0.3">
      <c r="A13" s="9" t="s">
        <v>53</v>
      </c>
      <c r="B13" s="10" t="s">
        <v>424</v>
      </c>
      <c r="C13" s="10" t="s">
        <v>22</v>
      </c>
      <c r="D13" s="10" t="s">
        <v>28</v>
      </c>
      <c r="E13" s="10" t="s">
        <v>693</v>
      </c>
      <c r="F13" s="10" t="s">
        <v>694</v>
      </c>
      <c r="G13" s="10" t="s">
        <v>695</v>
      </c>
      <c r="H13" s="11">
        <v>7</v>
      </c>
      <c r="I13" s="11">
        <v>7</v>
      </c>
      <c r="J13" s="11">
        <f t="shared" si="0"/>
        <v>7.2413793103448283</v>
      </c>
      <c r="K13" s="11">
        <v>12</v>
      </c>
      <c r="L13" s="12">
        <f t="shared" si="2"/>
        <v>3.4482758620689759E-2</v>
      </c>
      <c r="O13" s="10" t="s">
        <v>42</v>
      </c>
      <c r="P13" s="11">
        <f t="shared" si="3"/>
        <v>52</v>
      </c>
      <c r="Q13" s="11">
        <f t="shared" si="3"/>
        <v>75</v>
      </c>
      <c r="R13" s="11">
        <f t="shared" si="3"/>
        <v>77.586206896551715</v>
      </c>
      <c r="S13" s="11">
        <f t="shared" si="3"/>
        <v>95</v>
      </c>
      <c r="T13" s="12">
        <f t="shared" si="4"/>
        <v>0.49204244031830224</v>
      </c>
    </row>
    <row r="14" spans="1:20" x14ac:dyDescent="0.3">
      <c r="A14" s="9" t="s">
        <v>57</v>
      </c>
      <c r="B14" s="10" t="s">
        <v>428</v>
      </c>
      <c r="C14" s="10" t="s">
        <v>22</v>
      </c>
      <c r="D14" s="10" t="s">
        <v>46</v>
      </c>
      <c r="E14" s="10" t="s">
        <v>693</v>
      </c>
      <c r="F14" s="10" t="s">
        <v>694</v>
      </c>
      <c r="G14" s="10" t="s">
        <v>700</v>
      </c>
      <c r="H14" s="11">
        <v>6</v>
      </c>
      <c r="I14" s="11">
        <v>3</v>
      </c>
      <c r="J14" s="11">
        <f t="shared" si="0"/>
        <v>3.103448275862069</v>
      </c>
      <c r="K14" s="11">
        <v>13</v>
      </c>
      <c r="L14" s="12">
        <f t="shared" si="2"/>
        <v>-0.48275862068965519</v>
      </c>
      <c r="O14" s="10" t="s">
        <v>38</v>
      </c>
      <c r="P14" s="11">
        <f t="shared" si="3"/>
        <v>21</v>
      </c>
      <c r="Q14" s="11">
        <f t="shared" si="3"/>
        <v>19</v>
      </c>
      <c r="R14" s="11">
        <f t="shared" si="3"/>
        <v>19.655172413793107</v>
      </c>
      <c r="S14" s="11">
        <f t="shared" si="3"/>
        <v>105</v>
      </c>
      <c r="T14" s="12">
        <f t="shared" si="4"/>
        <v>-6.4039408866994912E-2</v>
      </c>
    </row>
    <row r="15" spans="1:20" x14ac:dyDescent="0.3">
      <c r="A15" s="9" t="s">
        <v>60</v>
      </c>
      <c r="B15" s="10" t="s">
        <v>431</v>
      </c>
      <c r="C15" s="10" t="s">
        <v>22</v>
      </c>
      <c r="D15" s="10" t="s">
        <v>46</v>
      </c>
      <c r="E15" s="10" t="s">
        <v>693</v>
      </c>
      <c r="F15" s="10" t="s">
        <v>694</v>
      </c>
      <c r="G15" s="10" t="s">
        <v>700</v>
      </c>
      <c r="H15" s="11">
        <v>2</v>
      </c>
      <c r="I15" s="11">
        <v>4</v>
      </c>
      <c r="J15" s="11">
        <f t="shared" si="0"/>
        <v>4.1379310344827589</v>
      </c>
      <c r="K15" s="11">
        <v>12</v>
      </c>
      <c r="L15" s="12">
        <f t="shared" si="2"/>
        <v>1.0689655172413794</v>
      </c>
      <c r="O15" s="10" t="s">
        <v>32</v>
      </c>
      <c r="P15" s="11">
        <f t="shared" si="3"/>
        <v>26</v>
      </c>
      <c r="Q15" s="11">
        <f t="shared" si="3"/>
        <v>18</v>
      </c>
      <c r="R15" s="11">
        <f t="shared" si="3"/>
        <v>18.620689655172416</v>
      </c>
      <c r="S15" s="11">
        <f t="shared" si="3"/>
        <v>99</v>
      </c>
      <c r="T15" s="12">
        <f t="shared" si="4"/>
        <v>-0.28381962864721477</v>
      </c>
    </row>
    <row r="16" spans="1:20" x14ac:dyDescent="0.3">
      <c r="A16" s="9" t="s">
        <v>49</v>
      </c>
      <c r="B16" s="10" t="s">
        <v>420</v>
      </c>
      <c r="C16" s="10" t="s">
        <v>22</v>
      </c>
      <c r="D16" s="10" t="s">
        <v>46</v>
      </c>
      <c r="E16" s="10" t="s">
        <v>693</v>
      </c>
      <c r="F16" s="10" t="s">
        <v>694</v>
      </c>
      <c r="G16" s="10" t="s">
        <v>700</v>
      </c>
      <c r="H16" s="11">
        <v>3</v>
      </c>
      <c r="I16" s="11">
        <v>2</v>
      </c>
      <c r="J16" s="11">
        <f t="shared" si="0"/>
        <v>2.0689655172413794</v>
      </c>
      <c r="K16" s="11">
        <v>18</v>
      </c>
      <c r="L16" s="12">
        <f t="shared" si="2"/>
        <v>-0.31034482758620685</v>
      </c>
      <c r="O16" s="10" t="s">
        <v>36</v>
      </c>
      <c r="P16" s="11">
        <f t="shared" si="3"/>
        <v>38</v>
      </c>
      <c r="Q16" s="11">
        <f t="shared" si="3"/>
        <v>28</v>
      </c>
      <c r="R16" s="11">
        <f t="shared" si="3"/>
        <v>28.965517241379317</v>
      </c>
      <c r="S16" s="11">
        <f t="shared" si="3"/>
        <v>114</v>
      </c>
      <c r="T16" s="12">
        <f t="shared" si="4"/>
        <v>-0.23774954627949166</v>
      </c>
    </row>
    <row r="17" spans="1:20" x14ac:dyDescent="0.3">
      <c r="A17" s="9" t="s">
        <v>52</v>
      </c>
      <c r="B17" s="10" t="s">
        <v>423</v>
      </c>
      <c r="C17" s="10" t="s">
        <v>22</v>
      </c>
      <c r="D17" s="10" t="s">
        <v>46</v>
      </c>
      <c r="E17" s="10" t="s">
        <v>693</v>
      </c>
      <c r="F17" s="10" t="s">
        <v>694</v>
      </c>
      <c r="G17" s="10" t="s">
        <v>700</v>
      </c>
      <c r="H17" s="11">
        <v>1</v>
      </c>
      <c r="I17" s="11">
        <v>3</v>
      </c>
      <c r="J17" s="11">
        <f t="shared" si="0"/>
        <v>3.103448275862069</v>
      </c>
      <c r="K17" s="11">
        <v>29</v>
      </c>
      <c r="L17" s="12">
        <f t="shared" si="2"/>
        <v>2.103448275862069</v>
      </c>
      <c r="O17" s="10" t="s">
        <v>34</v>
      </c>
      <c r="P17" s="11">
        <f t="shared" si="3"/>
        <v>20</v>
      </c>
      <c r="Q17" s="11">
        <f t="shared" si="3"/>
        <v>10</v>
      </c>
      <c r="R17" s="11">
        <f t="shared" si="3"/>
        <v>10.344827586206897</v>
      </c>
      <c r="S17" s="11">
        <f t="shared" si="3"/>
        <v>81</v>
      </c>
      <c r="T17" s="12">
        <f t="shared" si="4"/>
        <v>-0.48275862068965514</v>
      </c>
    </row>
    <row r="18" spans="1:20" x14ac:dyDescent="0.3">
      <c r="A18" s="9" t="s">
        <v>185</v>
      </c>
      <c r="B18" s="10" t="s">
        <v>543</v>
      </c>
      <c r="C18" s="10" t="s">
        <v>118</v>
      </c>
      <c r="D18" s="10" t="s">
        <v>134</v>
      </c>
      <c r="E18" s="10" t="s">
        <v>704</v>
      </c>
      <c r="F18" s="10" t="s">
        <v>694</v>
      </c>
      <c r="G18" s="10" t="s">
        <v>700</v>
      </c>
      <c r="H18" s="11">
        <v>0</v>
      </c>
      <c r="I18" s="11">
        <v>0</v>
      </c>
      <c r="J18" s="11">
        <f t="shared" si="0"/>
        <v>0</v>
      </c>
      <c r="K18" s="11">
        <v>0</v>
      </c>
      <c r="L18" s="12">
        <f t="shared" si="2"/>
        <v>0</v>
      </c>
      <c r="O18" s="10" t="s">
        <v>46</v>
      </c>
      <c r="P18" s="11">
        <f t="shared" si="3"/>
        <v>45</v>
      </c>
      <c r="Q18" s="11">
        <f t="shared" si="3"/>
        <v>38</v>
      </c>
      <c r="R18" s="11">
        <f t="shared" si="3"/>
        <v>39.310344827586206</v>
      </c>
      <c r="S18" s="11">
        <f t="shared" si="3"/>
        <v>194</v>
      </c>
      <c r="T18" s="12">
        <f t="shared" si="4"/>
        <v>-0.12643678160919541</v>
      </c>
    </row>
    <row r="19" spans="1:20" x14ac:dyDescent="0.3">
      <c r="A19" s="9" t="s">
        <v>167</v>
      </c>
      <c r="B19" s="10" t="s">
        <v>525</v>
      </c>
      <c r="C19" s="10" t="s">
        <v>118</v>
      </c>
      <c r="D19" s="10" t="s">
        <v>138</v>
      </c>
      <c r="E19" s="10" t="s">
        <v>703</v>
      </c>
      <c r="F19" s="10" t="s">
        <v>694</v>
      </c>
      <c r="G19" s="10" t="s">
        <v>700</v>
      </c>
      <c r="H19" s="11">
        <v>28</v>
      </c>
      <c r="I19" s="11">
        <v>17</v>
      </c>
      <c r="J19" s="11">
        <f t="shared" si="0"/>
        <v>17.586206896551722</v>
      </c>
      <c r="K19" s="11">
        <v>54</v>
      </c>
      <c r="L19" s="12">
        <f t="shared" si="2"/>
        <v>-0.3719211822660099</v>
      </c>
      <c r="O19" s="10" t="s">
        <v>40</v>
      </c>
      <c r="P19" s="11">
        <f t="shared" si="3"/>
        <v>30</v>
      </c>
      <c r="Q19" s="11">
        <f t="shared" si="3"/>
        <v>25</v>
      </c>
      <c r="R19" s="11">
        <f t="shared" si="3"/>
        <v>25.862068965517246</v>
      </c>
      <c r="S19" s="11">
        <f t="shared" si="3"/>
        <v>140</v>
      </c>
      <c r="T19" s="12">
        <f t="shared" si="4"/>
        <v>-0.13793103448275848</v>
      </c>
    </row>
    <row r="20" spans="1:20" x14ac:dyDescent="0.3">
      <c r="A20" s="9" t="s">
        <v>121</v>
      </c>
      <c r="B20" s="10" t="s">
        <v>488</v>
      </c>
      <c r="C20" s="10" t="s">
        <v>20</v>
      </c>
      <c r="D20" s="10" t="s">
        <v>36</v>
      </c>
      <c r="E20" s="10" t="s">
        <v>693</v>
      </c>
      <c r="F20" s="10" t="s">
        <v>694</v>
      </c>
      <c r="G20" s="10" t="s">
        <v>697</v>
      </c>
      <c r="H20" s="11">
        <v>2</v>
      </c>
      <c r="I20" s="11">
        <v>3</v>
      </c>
      <c r="J20" s="11">
        <f t="shared" si="0"/>
        <v>3.103448275862069</v>
      </c>
      <c r="K20" s="11">
        <v>5</v>
      </c>
      <c r="L20" s="12">
        <f t="shared" si="2"/>
        <v>0.55172413793103448</v>
      </c>
      <c r="O20" s="10" t="s">
        <v>30</v>
      </c>
      <c r="P20" s="11">
        <f t="shared" si="3"/>
        <v>41</v>
      </c>
      <c r="Q20" s="11">
        <f t="shared" si="3"/>
        <v>23</v>
      </c>
      <c r="R20" s="11">
        <f t="shared" si="3"/>
        <v>23.793103448275868</v>
      </c>
      <c r="S20" s="11">
        <f t="shared" si="3"/>
        <v>116</v>
      </c>
      <c r="T20" s="12">
        <f t="shared" si="4"/>
        <v>-0.41968040370058857</v>
      </c>
    </row>
    <row r="21" spans="1:20" x14ac:dyDescent="0.3">
      <c r="A21" s="9" t="s">
        <v>59</v>
      </c>
      <c r="B21" s="10" t="s">
        <v>430</v>
      </c>
      <c r="C21" s="10" t="s">
        <v>20</v>
      </c>
      <c r="D21" s="10" t="s">
        <v>36</v>
      </c>
      <c r="E21" s="10" t="s">
        <v>693</v>
      </c>
      <c r="F21" s="10" t="s">
        <v>694</v>
      </c>
      <c r="G21" s="10" t="s">
        <v>697</v>
      </c>
      <c r="H21" s="11">
        <v>4</v>
      </c>
      <c r="I21" s="11">
        <v>1</v>
      </c>
      <c r="J21" s="11">
        <f t="shared" si="0"/>
        <v>1.0344827586206897</v>
      </c>
      <c r="K21" s="11">
        <v>13</v>
      </c>
      <c r="L21" s="12">
        <f t="shared" si="2"/>
        <v>-0.74137931034482762</v>
      </c>
      <c r="O21" s="10" t="s">
        <v>44</v>
      </c>
      <c r="P21" s="11">
        <f t="shared" si="3"/>
        <v>32</v>
      </c>
      <c r="Q21" s="11">
        <f t="shared" si="3"/>
        <v>31</v>
      </c>
      <c r="R21" s="11">
        <f t="shared" si="3"/>
        <v>32.068965517241381</v>
      </c>
      <c r="S21" s="11">
        <f t="shared" si="3"/>
        <v>129</v>
      </c>
      <c r="T21" s="12">
        <f t="shared" si="4"/>
        <v>2.1551724137931494E-3</v>
      </c>
    </row>
    <row r="22" spans="1:20" x14ac:dyDescent="0.3">
      <c r="A22" s="9" t="s">
        <v>120</v>
      </c>
      <c r="B22" s="10" t="s">
        <v>487</v>
      </c>
      <c r="C22" s="10" t="s">
        <v>20</v>
      </c>
      <c r="D22" s="10" t="s">
        <v>36</v>
      </c>
      <c r="E22" s="10" t="s">
        <v>693</v>
      </c>
      <c r="F22" s="10" t="s">
        <v>694</v>
      </c>
      <c r="G22" s="10" t="s">
        <v>697</v>
      </c>
      <c r="H22" s="11">
        <v>4</v>
      </c>
      <c r="I22" s="11">
        <v>2</v>
      </c>
      <c r="J22" s="11">
        <f t="shared" si="0"/>
        <v>2.0689655172413794</v>
      </c>
      <c r="K22" s="11">
        <v>8</v>
      </c>
      <c r="L22" s="12">
        <f t="shared" si="2"/>
        <v>-0.48275862068965514</v>
      </c>
      <c r="O22" s="10" t="s">
        <v>134</v>
      </c>
      <c r="P22" s="11">
        <f t="shared" si="3"/>
        <v>0</v>
      </c>
      <c r="Q22" s="11">
        <f t="shared" si="3"/>
        <v>1</v>
      </c>
      <c r="R22" s="11">
        <f t="shared" si="3"/>
        <v>1.0344827586206897</v>
      </c>
      <c r="S22" s="11">
        <f t="shared" si="3"/>
        <v>1</v>
      </c>
      <c r="T22" s="12">
        <f t="shared" si="4"/>
        <v>0</v>
      </c>
    </row>
    <row r="23" spans="1:20" x14ac:dyDescent="0.3">
      <c r="A23" s="9" t="s">
        <v>250</v>
      </c>
      <c r="B23" s="10" t="s">
        <v>605</v>
      </c>
      <c r="C23" s="10" t="s">
        <v>20</v>
      </c>
      <c r="D23" s="10" t="s">
        <v>36</v>
      </c>
      <c r="E23" s="10" t="s">
        <v>708</v>
      </c>
      <c r="F23" s="10" t="s">
        <v>694</v>
      </c>
      <c r="G23" s="10" t="s">
        <v>697</v>
      </c>
      <c r="H23" s="11">
        <v>0</v>
      </c>
      <c r="I23" s="11">
        <v>0</v>
      </c>
      <c r="J23" s="11">
        <f t="shared" si="0"/>
        <v>0</v>
      </c>
      <c r="K23" s="11">
        <v>0</v>
      </c>
      <c r="L23" s="12">
        <f t="shared" si="2"/>
        <v>0</v>
      </c>
      <c r="O23" s="10" t="s">
        <v>136</v>
      </c>
      <c r="P23" s="11">
        <f t="shared" si="3"/>
        <v>127</v>
      </c>
      <c r="Q23" s="11">
        <f t="shared" si="3"/>
        <v>9</v>
      </c>
      <c r="R23" s="11">
        <f t="shared" si="3"/>
        <v>9.3103448275862064</v>
      </c>
      <c r="S23" s="11">
        <f t="shared" si="3"/>
        <v>6</v>
      </c>
      <c r="T23" s="12">
        <f t="shared" si="4"/>
        <v>-0.9266901982079826</v>
      </c>
    </row>
    <row r="24" spans="1:20" x14ac:dyDescent="0.3">
      <c r="A24" s="9" t="s">
        <v>181</v>
      </c>
      <c r="B24" s="10" t="s">
        <v>539</v>
      </c>
      <c r="C24" s="10" t="s">
        <v>118</v>
      </c>
      <c r="D24" s="10" t="s">
        <v>136</v>
      </c>
      <c r="E24" s="10" t="s">
        <v>704</v>
      </c>
      <c r="F24" s="10" t="s">
        <v>694</v>
      </c>
      <c r="G24" s="10" t="s">
        <v>697</v>
      </c>
      <c r="H24" s="11">
        <v>0</v>
      </c>
      <c r="I24" s="11">
        <v>0</v>
      </c>
      <c r="J24" s="11">
        <f t="shared" si="0"/>
        <v>0</v>
      </c>
      <c r="K24" s="11">
        <v>0</v>
      </c>
      <c r="L24" s="12">
        <f t="shared" si="2"/>
        <v>0</v>
      </c>
      <c r="O24" s="10" t="s">
        <v>138</v>
      </c>
      <c r="P24" s="11">
        <f t="shared" si="3"/>
        <v>252</v>
      </c>
      <c r="Q24" s="11">
        <f t="shared" si="3"/>
        <v>195</v>
      </c>
      <c r="R24" s="11">
        <f t="shared" si="3"/>
        <v>201.72413793103445</v>
      </c>
      <c r="S24" s="11">
        <f t="shared" si="3"/>
        <v>536</v>
      </c>
      <c r="T24" s="12">
        <f t="shared" si="4"/>
        <v>-0.19950738916256172</v>
      </c>
    </row>
    <row r="25" spans="1:20" x14ac:dyDescent="0.3">
      <c r="A25" s="9" t="s">
        <v>184</v>
      </c>
      <c r="B25" s="10" t="s">
        <v>542</v>
      </c>
      <c r="C25" s="10" t="s">
        <v>118</v>
      </c>
      <c r="D25" s="10" t="s">
        <v>136</v>
      </c>
      <c r="E25" s="10" t="s">
        <v>704</v>
      </c>
      <c r="F25" s="10" t="s">
        <v>694</v>
      </c>
      <c r="G25" s="10" t="s">
        <v>697</v>
      </c>
      <c r="H25" s="11">
        <v>0</v>
      </c>
      <c r="I25" s="11">
        <v>0</v>
      </c>
      <c r="J25" s="11">
        <f t="shared" si="0"/>
        <v>0</v>
      </c>
      <c r="K25" s="11">
        <v>0</v>
      </c>
      <c r="L25" s="12">
        <f t="shared" si="2"/>
        <v>0</v>
      </c>
      <c r="O25" s="10" t="s">
        <v>123</v>
      </c>
      <c r="P25" s="11">
        <f t="shared" si="3"/>
        <v>75</v>
      </c>
      <c r="Q25" s="11">
        <f t="shared" si="3"/>
        <v>76</v>
      </c>
      <c r="R25" s="11">
        <f t="shared" si="3"/>
        <v>78.620689655172413</v>
      </c>
      <c r="S25" s="11">
        <f t="shared" si="3"/>
        <v>198</v>
      </c>
      <c r="T25" s="12">
        <f t="shared" si="4"/>
        <v>4.8275862068965503E-2</v>
      </c>
    </row>
    <row r="26" spans="1:20" x14ac:dyDescent="0.3">
      <c r="A26" s="9" t="s">
        <v>21</v>
      </c>
      <c r="B26" s="10" t="s">
        <v>405</v>
      </c>
      <c r="C26" s="10" t="s">
        <v>20</v>
      </c>
      <c r="D26" s="10" t="s">
        <v>30</v>
      </c>
      <c r="E26" s="10" t="s">
        <v>693</v>
      </c>
      <c r="F26" s="10" t="s">
        <v>694</v>
      </c>
      <c r="G26" s="10" t="s">
        <v>696</v>
      </c>
      <c r="H26" s="11">
        <v>1</v>
      </c>
      <c r="I26" s="11">
        <v>2</v>
      </c>
      <c r="J26" s="11">
        <f t="shared" si="0"/>
        <v>2.0689655172413794</v>
      </c>
      <c r="K26" s="11">
        <v>9</v>
      </c>
      <c r="L26" s="12">
        <f t="shared" si="2"/>
        <v>1.0689655172413794</v>
      </c>
      <c r="O26" s="10" t="s">
        <v>128</v>
      </c>
      <c r="P26" s="11">
        <f t="shared" si="3"/>
        <v>0</v>
      </c>
      <c r="Q26" s="11">
        <f t="shared" si="3"/>
        <v>0</v>
      </c>
      <c r="R26" s="11">
        <f t="shared" si="3"/>
        <v>0</v>
      </c>
      <c r="S26" s="11">
        <f t="shared" si="3"/>
        <v>6</v>
      </c>
      <c r="T26" s="12">
        <f t="shared" si="4"/>
        <v>0</v>
      </c>
    </row>
    <row r="27" spans="1:20" x14ac:dyDescent="0.3">
      <c r="A27" s="9" t="s">
        <v>23</v>
      </c>
      <c r="B27" s="10" t="s">
        <v>406</v>
      </c>
      <c r="C27" s="10" t="s">
        <v>20</v>
      </c>
      <c r="D27" s="10" t="s">
        <v>30</v>
      </c>
      <c r="E27" s="10" t="s">
        <v>693</v>
      </c>
      <c r="F27" s="10" t="s">
        <v>694</v>
      </c>
      <c r="G27" s="10" t="s">
        <v>696</v>
      </c>
      <c r="H27" s="11">
        <v>11</v>
      </c>
      <c r="I27" s="11">
        <v>3</v>
      </c>
      <c r="J27" s="11">
        <f t="shared" si="0"/>
        <v>3.103448275862069</v>
      </c>
      <c r="K27" s="11">
        <v>11</v>
      </c>
      <c r="L27" s="12">
        <f t="shared" si="2"/>
        <v>-0.7178683385579937</v>
      </c>
      <c r="O27" s="5" t="s">
        <v>24</v>
      </c>
      <c r="P27" s="13">
        <f>SUM(P11:P26)</f>
        <v>847</v>
      </c>
      <c r="Q27" s="13">
        <f>SUM(Q11:Q26)</f>
        <v>602</v>
      </c>
      <c r="R27" s="13">
        <f>SUM(R11:R26)</f>
        <v>622.75862068965523</v>
      </c>
      <c r="S27" s="13">
        <f>SUM(S11:S26)</f>
        <v>2094</v>
      </c>
      <c r="T27" s="15">
        <f t="shared" si="4"/>
        <v>-0.26474779139355936</v>
      </c>
    </row>
    <row r="28" spans="1:20" x14ac:dyDescent="0.3">
      <c r="A28" s="9" t="s">
        <v>33</v>
      </c>
      <c r="B28" s="10" t="s">
        <v>412</v>
      </c>
      <c r="C28" s="10" t="s">
        <v>20</v>
      </c>
      <c r="D28" s="10" t="s">
        <v>30</v>
      </c>
      <c r="E28" s="10" t="s">
        <v>693</v>
      </c>
      <c r="F28" s="10" t="s">
        <v>694</v>
      </c>
      <c r="G28" s="10" t="s">
        <v>696</v>
      </c>
      <c r="H28" s="11">
        <v>2</v>
      </c>
      <c r="I28" s="11">
        <v>1</v>
      </c>
      <c r="J28" s="11">
        <f t="shared" si="0"/>
        <v>1.0344827586206897</v>
      </c>
      <c r="K28" s="11">
        <v>8</v>
      </c>
      <c r="L28" s="12">
        <f t="shared" si="2"/>
        <v>-0.48275862068965514</v>
      </c>
    </row>
    <row r="29" spans="1:20" x14ac:dyDescent="0.3">
      <c r="A29" s="9" t="s">
        <v>251</v>
      </c>
      <c r="B29" s="10" t="s">
        <v>606</v>
      </c>
      <c r="C29" s="10" t="s">
        <v>20</v>
      </c>
      <c r="D29" s="10" t="s">
        <v>30</v>
      </c>
      <c r="E29" s="10" t="s">
        <v>707</v>
      </c>
      <c r="F29" s="10" t="s">
        <v>694</v>
      </c>
      <c r="G29" s="10" t="s">
        <v>696</v>
      </c>
      <c r="H29" s="11">
        <v>0</v>
      </c>
      <c r="I29" s="11">
        <v>0</v>
      </c>
      <c r="J29" s="11">
        <f t="shared" si="0"/>
        <v>0</v>
      </c>
      <c r="K29" s="11">
        <v>0</v>
      </c>
      <c r="L29" s="12">
        <f t="shared" si="2"/>
        <v>0</v>
      </c>
    </row>
    <row r="30" spans="1:20" x14ac:dyDescent="0.3">
      <c r="A30" s="9" t="s">
        <v>25</v>
      </c>
      <c r="B30" s="10" t="s">
        <v>407</v>
      </c>
      <c r="C30" s="10" t="s">
        <v>20</v>
      </c>
      <c r="D30" s="10" t="s">
        <v>32</v>
      </c>
      <c r="E30" s="10" t="s">
        <v>693</v>
      </c>
      <c r="F30" s="10" t="s">
        <v>694</v>
      </c>
      <c r="G30" s="10" t="s">
        <v>696</v>
      </c>
      <c r="H30" s="11">
        <v>4</v>
      </c>
      <c r="I30" s="11">
        <v>2</v>
      </c>
      <c r="J30" s="11">
        <f t="shared" si="0"/>
        <v>2.0689655172413794</v>
      </c>
      <c r="K30" s="11">
        <v>9</v>
      </c>
      <c r="L30" s="12">
        <f t="shared" si="2"/>
        <v>-0.48275862068965514</v>
      </c>
    </row>
    <row r="31" spans="1:20" x14ac:dyDescent="0.3">
      <c r="A31" s="9" t="s">
        <v>31</v>
      </c>
      <c r="B31" s="10" t="s">
        <v>411</v>
      </c>
      <c r="C31" s="10" t="s">
        <v>20</v>
      </c>
      <c r="D31" s="10" t="s">
        <v>32</v>
      </c>
      <c r="E31" s="10" t="s">
        <v>693</v>
      </c>
      <c r="F31" s="10" t="s">
        <v>694</v>
      </c>
      <c r="G31" s="10" t="s">
        <v>696</v>
      </c>
      <c r="H31" s="11">
        <v>7</v>
      </c>
      <c r="I31" s="11">
        <v>5</v>
      </c>
      <c r="J31" s="11">
        <f t="shared" si="0"/>
        <v>5.1724137931034484</v>
      </c>
      <c r="K31" s="11">
        <v>35</v>
      </c>
      <c r="L31" s="12">
        <f t="shared" si="2"/>
        <v>-0.26108374384236449</v>
      </c>
    </row>
    <row r="32" spans="1:20" x14ac:dyDescent="0.3">
      <c r="A32" s="9" t="s">
        <v>47</v>
      </c>
      <c r="B32" s="10" t="s">
        <v>419</v>
      </c>
      <c r="C32" s="10" t="s">
        <v>20</v>
      </c>
      <c r="D32" s="10" t="s">
        <v>38</v>
      </c>
      <c r="E32" s="10" t="s">
        <v>693</v>
      </c>
      <c r="F32" s="10" t="s">
        <v>694</v>
      </c>
      <c r="G32" s="10" t="s">
        <v>696</v>
      </c>
      <c r="H32" s="11">
        <v>1</v>
      </c>
      <c r="I32" s="11">
        <v>2</v>
      </c>
      <c r="J32" s="11">
        <f t="shared" si="0"/>
        <v>2.0689655172413794</v>
      </c>
      <c r="K32" s="11">
        <v>15</v>
      </c>
      <c r="L32" s="12">
        <f t="shared" si="2"/>
        <v>1.0689655172413794</v>
      </c>
    </row>
    <row r="33" spans="1:20" x14ac:dyDescent="0.3">
      <c r="A33" s="9" t="s">
        <v>117</v>
      </c>
      <c r="B33" s="10" t="s">
        <v>485</v>
      </c>
      <c r="C33" s="10" t="s">
        <v>20</v>
      </c>
      <c r="D33" s="10" t="s">
        <v>38</v>
      </c>
      <c r="E33" s="10" t="s">
        <v>693</v>
      </c>
      <c r="F33" s="10" t="s">
        <v>694</v>
      </c>
      <c r="G33" s="10" t="s">
        <v>696</v>
      </c>
      <c r="H33" s="11">
        <v>2</v>
      </c>
      <c r="I33" s="11">
        <v>1</v>
      </c>
      <c r="J33" s="11">
        <f t="shared" si="0"/>
        <v>1.0344827586206897</v>
      </c>
      <c r="K33" s="11">
        <v>9</v>
      </c>
      <c r="L33" s="12">
        <f t="shared" si="2"/>
        <v>-0.48275862068965514</v>
      </c>
      <c r="T33" s="16"/>
    </row>
    <row r="34" spans="1:20" x14ac:dyDescent="0.3">
      <c r="A34" s="9" t="s">
        <v>240</v>
      </c>
      <c r="B34" s="10" t="s">
        <v>596</v>
      </c>
      <c r="C34" s="10" t="s">
        <v>20</v>
      </c>
      <c r="D34" s="10" t="s">
        <v>38</v>
      </c>
      <c r="E34" s="10" t="s">
        <v>707</v>
      </c>
      <c r="F34" s="10" t="s">
        <v>694</v>
      </c>
      <c r="G34" s="10" t="s">
        <v>696</v>
      </c>
      <c r="H34" s="11">
        <v>0</v>
      </c>
      <c r="I34" s="11">
        <v>0</v>
      </c>
      <c r="J34" s="11">
        <f t="shared" si="0"/>
        <v>0</v>
      </c>
      <c r="K34" s="11">
        <v>0</v>
      </c>
      <c r="L34" s="12">
        <f t="shared" si="2"/>
        <v>0</v>
      </c>
    </row>
    <row r="35" spans="1:20" x14ac:dyDescent="0.3">
      <c r="A35" s="9" t="s">
        <v>175</v>
      </c>
      <c r="B35" s="10" t="s">
        <v>533</v>
      </c>
      <c r="C35" s="10" t="s">
        <v>118</v>
      </c>
      <c r="D35" s="10" t="s">
        <v>136</v>
      </c>
      <c r="E35" s="10" t="s">
        <v>704</v>
      </c>
      <c r="F35" s="10" t="s">
        <v>694</v>
      </c>
      <c r="G35" s="10" t="s">
        <v>696</v>
      </c>
      <c r="H35" s="11">
        <v>0</v>
      </c>
      <c r="I35" s="11">
        <v>0</v>
      </c>
      <c r="J35" s="11">
        <f t="shared" si="0"/>
        <v>0</v>
      </c>
      <c r="K35" s="11">
        <v>0</v>
      </c>
      <c r="L35" s="12">
        <f t="shared" si="2"/>
        <v>0</v>
      </c>
    </row>
    <row r="36" spans="1:20" x14ac:dyDescent="0.3">
      <c r="A36" s="9" t="s">
        <v>168</v>
      </c>
      <c r="B36" s="10" t="s">
        <v>526</v>
      </c>
      <c r="C36" s="10" t="s">
        <v>118</v>
      </c>
      <c r="D36" s="10" t="s">
        <v>123</v>
      </c>
      <c r="E36" s="10" t="s">
        <v>703</v>
      </c>
      <c r="F36" s="10" t="s">
        <v>694</v>
      </c>
      <c r="G36" s="10" t="s">
        <v>696</v>
      </c>
      <c r="H36" s="11">
        <v>12</v>
      </c>
      <c r="I36" s="11">
        <v>7</v>
      </c>
      <c r="J36" s="11">
        <f t="shared" si="0"/>
        <v>7.2413793103448283</v>
      </c>
      <c r="K36" s="11">
        <v>30</v>
      </c>
      <c r="L36" s="12">
        <f t="shared" si="2"/>
        <v>-0.39655172413793099</v>
      </c>
    </row>
    <row r="37" spans="1:20" x14ac:dyDescent="0.3">
      <c r="A37" s="9" t="s">
        <v>252</v>
      </c>
      <c r="B37" s="10" t="s">
        <v>607</v>
      </c>
      <c r="C37" s="10" t="s">
        <v>20</v>
      </c>
      <c r="D37" s="10" t="s">
        <v>38</v>
      </c>
      <c r="E37" s="10" t="s">
        <v>707</v>
      </c>
      <c r="F37" s="10" t="s">
        <v>694</v>
      </c>
      <c r="G37" s="10" t="s">
        <v>696</v>
      </c>
      <c r="H37" s="11">
        <v>0</v>
      </c>
      <c r="I37" s="11">
        <v>0</v>
      </c>
      <c r="J37" s="11">
        <f t="shared" si="0"/>
        <v>0</v>
      </c>
      <c r="K37" s="11">
        <v>1</v>
      </c>
      <c r="L37" s="12">
        <f t="shared" si="2"/>
        <v>0</v>
      </c>
    </row>
    <row r="38" spans="1:20" x14ac:dyDescent="0.3">
      <c r="A38" s="9" t="s">
        <v>130</v>
      </c>
      <c r="B38" s="10" t="s">
        <v>494</v>
      </c>
      <c r="C38" s="10" t="s">
        <v>22</v>
      </c>
      <c r="D38" s="10" t="s">
        <v>42</v>
      </c>
      <c r="E38" s="10" t="s">
        <v>693</v>
      </c>
      <c r="F38" s="10" t="s">
        <v>694</v>
      </c>
      <c r="G38" s="10" t="s">
        <v>699</v>
      </c>
      <c r="H38" s="11">
        <v>29</v>
      </c>
      <c r="I38" s="11">
        <v>51</v>
      </c>
      <c r="J38" s="11">
        <f t="shared" si="0"/>
        <v>52.758620689655174</v>
      </c>
      <c r="K38" s="11">
        <v>35</v>
      </c>
      <c r="L38" s="12">
        <f t="shared" si="2"/>
        <v>0.81926278240190253</v>
      </c>
    </row>
    <row r="39" spans="1:20" x14ac:dyDescent="0.3">
      <c r="A39" s="9" t="s">
        <v>124</v>
      </c>
      <c r="B39" s="10" t="s">
        <v>490</v>
      </c>
      <c r="C39" s="10" t="s">
        <v>22</v>
      </c>
      <c r="D39" s="10" t="s">
        <v>42</v>
      </c>
      <c r="E39" s="10" t="s">
        <v>693</v>
      </c>
      <c r="F39" s="10" t="s">
        <v>694</v>
      </c>
      <c r="G39" s="10" t="s">
        <v>699</v>
      </c>
      <c r="H39" s="11">
        <v>2</v>
      </c>
      <c r="I39" s="11">
        <v>1</v>
      </c>
      <c r="J39" s="11">
        <f t="shared" si="0"/>
        <v>1.0344827586206897</v>
      </c>
      <c r="K39" s="11">
        <v>4</v>
      </c>
      <c r="L39" s="12">
        <f t="shared" si="2"/>
        <v>-0.48275862068965514</v>
      </c>
    </row>
    <row r="40" spans="1:20" x14ac:dyDescent="0.3">
      <c r="A40" s="9" t="s">
        <v>63</v>
      </c>
      <c r="B40" s="10" t="s">
        <v>434</v>
      </c>
      <c r="C40" s="10" t="s">
        <v>22</v>
      </c>
      <c r="D40" s="10" t="s">
        <v>42</v>
      </c>
      <c r="E40" s="10" t="s">
        <v>693</v>
      </c>
      <c r="F40" s="10" t="s">
        <v>694</v>
      </c>
      <c r="G40" s="10" t="s">
        <v>699</v>
      </c>
      <c r="H40" s="11">
        <v>4</v>
      </c>
      <c r="I40" s="11">
        <v>2</v>
      </c>
      <c r="J40" s="11">
        <f t="shared" si="0"/>
        <v>2.0689655172413794</v>
      </c>
      <c r="K40" s="11">
        <v>6</v>
      </c>
      <c r="L40" s="12">
        <f t="shared" si="2"/>
        <v>-0.48275862068965514</v>
      </c>
    </row>
    <row r="41" spans="1:20" x14ac:dyDescent="0.3">
      <c r="A41" s="9" t="s">
        <v>43</v>
      </c>
      <c r="B41" s="10" t="s">
        <v>417</v>
      </c>
      <c r="C41" s="10" t="s">
        <v>22</v>
      </c>
      <c r="D41" s="10" t="s">
        <v>44</v>
      </c>
      <c r="E41" s="10" t="s">
        <v>693</v>
      </c>
      <c r="F41" s="10" t="s">
        <v>694</v>
      </c>
      <c r="G41" s="10" t="s">
        <v>698</v>
      </c>
      <c r="H41" s="11">
        <v>2</v>
      </c>
      <c r="I41" s="11">
        <v>2</v>
      </c>
      <c r="J41" s="11">
        <f t="shared" si="0"/>
        <v>2.0689655172413794</v>
      </c>
      <c r="K41" s="11">
        <v>11</v>
      </c>
      <c r="L41" s="12">
        <f t="shared" si="2"/>
        <v>3.4482758620689724E-2</v>
      </c>
    </row>
    <row r="42" spans="1:20" x14ac:dyDescent="0.3">
      <c r="A42" s="9" t="s">
        <v>183</v>
      </c>
      <c r="B42" s="10" t="s">
        <v>541</v>
      </c>
      <c r="C42" s="10" t="s">
        <v>118</v>
      </c>
      <c r="D42" s="10" t="s">
        <v>134</v>
      </c>
      <c r="E42" s="10" t="s">
        <v>704</v>
      </c>
      <c r="F42" s="10" t="s">
        <v>694</v>
      </c>
      <c r="G42" s="10" t="s">
        <v>698</v>
      </c>
      <c r="H42" s="11">
        <v>0</v>
      </c>
      <c r="I42" s="11">
        <v>0</v>
      </c>
      <c r="J42" s="11">
        <f t="shared" si="0"/>
        <v>0</v>
      </c>
      <c r="K42" s="11">
        <v>0</v>
      </c>
      <c r="L42" s="12">
        <f t="shared" si="2"/>
        <v>0</v>
      </c>
    </row>
    <row r="43" spans="1:20" x14ac:dyDescent="0.3">
      <c r="A43" s="9" t="s">
        <v>173</v>
      </c>
      <c r="B43" s="10" t="s">
        <v>531</v>
      </c>
      <c r="C43" s="10" t="s">
        <v>118</v>
      </c>
      <c r="D43" s="10" t="s">
        <v>138</v>
      </c>
      <c r="E43" s="10" t="s">
        <v>703</v>
      </c>
      <c r="F43" s="10" t="s">
        <v>694</v>
      </c>
      <c r="G43" s="10" t="s">
        <v>698</v>
      </c>
      <c r="H43" s="11">
        <v>24</v>
      </c>
      <c r="I43" s="11">
        <v>41</v>
      </c>
      <c r="J43" s="11">
        <f t="shared" si="0"/>
        <v>42.41379310344827</v>
      </c>
      <c r="K43" s="11">
        <v>67</v>
      </c>
      <c r="L43" s="12">
        <f t="shared" si="2"/>
        <v>0.76724137931034464</v>
      </c>
    </row>
    <row r="44" spans="1:20" x14ac:dyDescent="0.3">
      <c r="A44" s="9" t="s">
        <v>122</v>
      </c>
      <c r="B44" s="10" t="s">
        <v>489</v>
      </c>
      <c r="C44" s="10" t="s">
        <v>22</v>
      </c>
      <c r="D44" s="10" t="s">
        <v>44</v>
      </c>
      <c r="E44" s="10" t="s">
        <v>693</v>
      </c>
      <c r="F44" s="10" t="s">
        <v>694</v>
      </c>
      <c r="G44" s="10" t="s">
        <v>698</v>
      </c>
      <c r="H44" s="11">
        <v>3</v>
      </c>
      <c r="I44" s="11">
        <v>4</v>
      </c>
      <c r="J44" s="11">
        <f t="shared" si="0"/>
        <v>4.1379310344827589</v>
      </c>
      <c r="K44" s="11">
        <v>9</v>
      </c>
      <c r="L44" s="12">
        <f t="shared" si="2"/>
        <v>0.3793103448275863</v>
      </c>
    </row>
    <row r="45" spans="1:20" x14ac:dyDescent="0.3">
      <c r="A45" s="9" t="s">
        <v>45</v>
      </c>
      <c r="B45" s="10" t="s">
        <v>418</v>
      </c>
      <c r="C45" s="10" t="s">
        <v>22</v>
      </c>
      <c r="D45" s="10" t="s">
        <v>44</v>
      </c>
      <c r="E45" s="10" t="s">
        <v>693</v>
      </c>
      <c r="F45" s="10" t="s">
        <v>694</v>
      </c>
      <c r="G45" s="10" t="s">
        <v>698</v>
      </c>
      <c r="H45" s="11">
        <v>7</v>
      </c>
      <c r="I45" s="11">
        <v>3</v>
      </c>
      <c r="J45" s="11">
        <f t="shared" si="0"/>
        <v>3.103448275862069</v>
      </c>
      <c r="K45" s="11">
        <v>37</v>
      </c>
      <c r="L45" s="12">
        <f t="shared" si="2"/>
        <v>-0.55665024630541871</v>
      </c>
    </row>
    <row r="46" spans="1:20" x14ac:dyDescent="0.3">
      <c r="A46" s="9" t="s">
        <v>125</v>
      </c>
      <c r="B46" s="10" t="s">
        <v>491</v>
      </c>
      <c r="C46" s="10" t="s">
        <v>22</v>
      </c>
      <c r="D46" s="10" t="s">
        <v>42</v>
      </c>
      <c r="E46" s="10" t="s">
        <v>693</v>
      </c>
      <c r="F46" s="10" t="s">
        <v>694</v>
      </c>
      <c r="G46" s="10" t="s">
        <v>698</v>
      </c>
      <c r="H46" s="11">
        <v>1</v>
      </c>
      <c r="I46" s="11">
        <v>1</v>
      </c>
      <c r="J46" s="11">
        <f t="shared" si="0"/>
        <v>1.0344827586206897</v>
      </c>
      <c r="K46" s="11">
        <v>8</v>
      </c>
      <c r="L46" s="12">
        <f t="shared" si="2"/>
        <v>3.4482758620689724E-2</v>
      </c>
    </row>
    <row r="47" spans="1:20" x14ac:dyDescent="0.3">
      <c r="A47" s="9" t="s">
        <v>179</v>
      </c>
      <c r="B47" s="10" t="s">
        <v>537</v>
      </c>
      <c r="C47" s="10" t="s">
        <v>118</v>
      </c>
      <c r="D47" s="10" t="s">
        <v>134</v>
      </c>
      <c r="E47" s="10" t="s">
        <v>704</v>
      </c>
      <c r="F47" s="10" t="s">
        <v>694</v>
      </c>
      <c r="G47" s="10" t="s">
        <v>698</v>
      </c>
      <c r="H47" s="11">
        <v>0</v>
      </c>
      <c r="I47" s="11">
        <v>0</v>
      </c>
      <c r="J47" s="11">
        <f t="shared" si="0"/>
        <v>0</v>
      </c>
      <c r="K47" s="11">
        <v>0</v>
      </c>
      <c r="L47" s="12">
        <f t="shared" si="2"/>
        <v>0</v>
      </c>
    </row>
    <row r="48" spans="1:20" x14ac:dyDescent="0.3">
      <c r="A48" s="9" t="s">
        <v>165</v>
      </c>
      <c r="B48" s="10" t="s">
        <v>523</v>
      </c>
      <c r="C48" s="10" t="s">
        <v>118</v>
      </c>
      <c r="D48" s="10" t="s">
        <v>138</v>
      </c>
      <c r="E48" s="10" t="s">
        <v>703</v>
      </c>
      <c r="F48" s="10" t="s">
        <v>694</v>
      </c>
      <c r="G48" s="10" t="s">
        <v>698</v>
      </c>
      <c r="H48" s="11">
        <v>54</v>
      </c>
      <c r="I48" s="11">
        <v>20</v>
      </c>
      <c r="J48" s="11">
        <f t="shared" si="0"/>
        <v>20.689655172413794</v>
      </c>
      <c r="K48" s="11">
        <v>14</v>
      </c>
      <c r="L48" s="12">
        <f t="shared" si="2"/>
        <v>-0.61685823754789271</v>
      </c>
    </row>
    <row r="49" spans="1:12" x14ac:dyDescent="0.3">
      <c r="A49" s="9" t="s">
        <v>166</v>
      </c>
      <c r="B49" s="10" t="s">
        <v>524</v>
      </c>
      <c r="C49" s="10" t="s">
        <v>118</v>
      </c>
      <c r="D49" s="10" t="s">
        <v>138</v>
      </c>
      <c r="E49" s="10" t="s">
        <v>703</v>
      </c>
      <c r="F49" s="10" t="s">
        <v>694</v>
      </c>
      <c r="G49" s="10" t="s">
        <v>698</v>
      </c>
      <c r="H49" s="11">
        <v>18</v>
      </c>
      <c r="I49" s="11">
        <v>23</v>
      </c>
      <c r="J49" s="11">
        <f t="shared" si="0"/>
        <v>23.793103448275865</v>
      </c>
      <c r="K49" s="11">
        <v>47</v>
      </c>
      <c r="L49" s="12">
        <f t="shared" si="2"/>
        <v>0.32183908045977028</v>
      </c>
    </row>
    <row r="50" spans="1:12" x14ac:dyDescent="0.3">
      <c r="A50" s="9" t="s">
        <v>64</v>
      </c>
      <c r="B50" s="10" t="s">
        <v>435</v>
      </c>
      <c r="C50" s="10" t="s">
        <v>20</v>
      </c>
      <c r="D50" s="10" t="s">
        <v>34</v>
      </c>
      <c r="E50" s="10" t="s">
        <v>693</v>
      </c>
      <c r="F50" s="10" t="s">
        <v>694</v>
      </c>
      <c r="G50" s="10" t="s">
        <v>697</v>
      </c>
      <c r="H50" s="11">
        <v>1</v>
      </c>
      <c r="I50" s="11">
        <v>1</v>
      </c>
      <c r="J50" s="11">
        <f t="shared" si="0"/>
        <v>1.0344827586206897</v>
      </c>
      <c r="K50" s="11">
        <v>11</v>
      </c>
      <c r="L50" s="12">
        <f t="shared" si="2"/>
        <v>3.4482758620689724E-2</v>
      </c>
    </row>
    <row r="51" spans="1:12" x14ac:dyDescent="0.3">
      <c r="A51" s="9" t="s">
        <v>182</v>
      </c>
      <c r="B51" s="10" t="s">
        <v>540</v>
      </c>
      <c r="C51" s="10" t="s">
        <v>118</v>
      </c>
      <c r="D51" s="10" t="s">
        <v>136</v>
      </c>
      <c r="E51" s="10" t="s">
        <v>704</v>
      </c>
      <c r="F51" s="10" t="s">
        <v>694</v>
      </c>
      <c r="G51" s="10" t="s">
        <v>697</v>
      </c>
      <c r="H51" s="11">
        <v>0</v>
      </c>
      <c r="I51" s="11">
        <v>0</v>
      </c>
      <c r="J51" s="11">
        <f t="shared" si="0"/>
        <v>0</v>
      </c>
      <c r="K51" s="11">
        <v>0</v>
      </c>
      <c r="L51" s="12">
        <f t="shared" si="2"/>
        <v>0</v>
      </c>
    </row>
    <row r="52" spans="1:12" x14ac:dyDescent="0.3">
      <c r="A52" s="9" t="s">
        <v>176</v>
      </c>
      <c r="B52" s="10" t="s">
        <v>534</v>
      </c>
      <c r="C52" s="10" t="s">
        <v>118</v>
      </c>
      <c r="D52" s="10" t="s">
        <v>136</v>
      </c>
      <c r="E52" s="10" t="s">
        <v>704</v>
      </c>
      <c r="F52" s="10" t="s">
        <v>694</v>
      </c>
      <c r="G52" s="10" t="s">
        <v>697</v>
      </c>
      <c r="H52" s="11">
        <v>1</v>
      </c>
      <c r="I52" s="11">
        <v>0</v>
      </c>
      <c r="J52" s="11">
        <f t="shared" si="0"/>
        <v>0</v>
      </c>
      <c r="K52" s="11">
        <v>2</v>
      </c>
      <c r="L52" s="12">
        <f t="shared" si="2"/>
        <v>-1</v>
      </c>
    </row>
    <row r="53" spans="1:12" x14ac:dyDescent="0.3">
      <c r="A53" s="9" t="s">
        <v>126</v>
      </c>
      <c r="B53" s="10" t="s">
        <v>492</v>
      </c>
      <c r="C53" s="10" t="s">
        <v>20</v>
      </c>
      <c r="D53" s="10" t="s">
        <v>34</v>
      </c>
      <c r="E53" s="10" t="s">
        <v>693</v>
      </c>
      <c r="F53" s="10" t="s">
        <v>694</v>
      </c>
      <c r="G53" s="10" t="s">
        <v>697</v>
      </c>
      <c r="H53" s="11">
        <v>2</v>
      </c>
      <c r="I53" s="11">
        <v>0</v>
      </c>
      <c r="J53" s="11">
        <f t="shared" si="0"/>
        <v>0</v>
      </c>
      <c r="K53" s="11">
        <v>3</v>
      </c>
      <c r="L53" s="12">
        <f t="shared" si="2"/>
        <v>-1</v>
      </c>
    </row>
    <row r="54" spans="1:12" x14ac:dyDescent="0.3">
      <c r="A54" s="9" t="s">
        <v>119</v>
      </c>
      <c r="B54" s="10" t="s">
        <v>486</v>
      </c>
      <c r="C54" s="10" t="s">
        <v>20</v>
      </c>
      <c r="D54" s="10" t="s">
        <v>34</v>
      </c>
      <c r="E54" s="10" t="s">
        <v>693</v>
      </c>
      <c r="F54" s="10" t="s">
        <v>694</v>
      </c>
      <c r="G54" s="10" t="s">
        <v>697</v>
      </c>
      <c r="H54" s="11">
        <v>3</v>
      </c>
      <c r="I54" s="11">
        <v>1</v>
      </c>
      <c r="J54" s="11">
        <f t="shared" si="0"/>
        <v>1.0344827586206897</v>
      </c>
      <c r="K54" s="11">
        <v>15</v>
      </c>
      <c r="L54" s="12">
        <f t="shared" si="2"/>
        <v>-0.65517241379310343</v>
      </c>
    </row>
    <row r="55" spans="1:12" x14ac:dyDescent="0.3">
      <c r="A55" s="9" t="s">
        <v>180</v>
      </c>
      <c r="B55" s="10" t="s">
        <v>538</v>
      </c>
      <c r="C55" s="10" t="s">
        <v>118</v>
      </c>
      <c r="D55" s="10" t="s">
        <v>136</v>
      </c>
      <c r="E55" s="10" t="s">
        <v>704</v>
      </c>
      <c r="F55" s="10" t="s">
        <v>694</v>
      </c>
      <c r="G55" s="10" t="s">
        <v>697</v>
      </c>
      <c r="H55" s="11">
        <v>0</v>
      </c>
      <c r="I55" s="11">
        <v>0</v>
      </c>
      <c r="J55" s="11">
        <f t="shared" si="0"/>
        <v>0</v>
      </c>
      <c r="K55" s="11">
        <v>0</v>
      </c>
      <c r="L55" s="12">
        <f t="shared" si="2"/>
        <v>0</v>
      </c>
    </row>
    <row r="56" spans="1:12" x14ac:dyDescent="0.3">
      <c r="A56" s="9" t="s">
        <v>19</v>
      </c>
      <c r="B56" s="10" t="s">
        <v>404</v>
      </c>
      <c r="C56" s="10" t="s">
        <v>22</v>
      </c>
      <c r="D56" s="10" t="s">
        <v>28</v>
      </c>
      <c r="E56" s="10" t="s">
        <v>693</v>
      </c>
      <c r="F56" s="10" t="s">
        <v>694</v>
      </c>
      <c r="G56" s="10" t="s">
        <v>695</v>
      </c>
      <c r="H56" s="11">
        <v>10</v>
      </c>
      <c r="I56" s="11">
        <v>6</v>
      </c>
      <c r="J56" s="11">
        <f t="shared" si="0"/>
        <v>6.2068965517241379</v>
      </c>
      <c r="K56" s="11">
        <v>29</v>
      </c>
      <c r="L56" s="12">
        <f t="shared" si="2"/>
        <v>-0.37931034482758619</v>
      </c>
    </row>
    <row r="57" spans="1:12" x14ac:dyDescent="0.3">
      <c r="A57" s="9" t="s">
        <v>127</v>
      </c>
      <c r="B57" s="10" t="s">
        <v>493</v>
      </c>
      <c r="C57" s="10" t="s">
        <v>22</v>
      </c>
      <c r="D57" s="10" t="s">
        <v>28</v>
      </c>
      <c r="E57" s="10" t="s">
        <v>693</v>
      </c>
      <c r="F57" s="10" t="s">
        <v>694</v>
      </c>
      <c r="G57" s="10" t="s">
        <v>695</v>
      </c>
      <c r="H57" s="11">
        <v>5</v>
      </c>
      <c r="I57" s="11">
        <v>2</v>
      </c>
      <c r="J57" s="11">
        <f t="shared" si="0"/>
        <v>2.0689655172413794</v>
      </c>
      <c r="K57" s="11">
        <v>11</v>
      </c>
      <c r="L57" s="12">
        <f t="shared" si="2"/>
        <v>-0.58620689655172409</v>
      </c>
    </row>
    <row r="58" spans="1:12" x14ac:dyDescent="0.3">
      <c r="A58" s="9" t="s">
        <v>177</v>
      </c>
      <c r="B58" s="10" t="s">
        <v>535</v>
      </c>
      <c r="C58" s="10" t="s">
        <v>118</v>
      </c>
      <c r="D58" s="10" t="s">
        <v>134</v>
      </c>
      <c r="E58" s="10" t="s">
        <v>704</v>
      </c>
      <c r="F58" s="10" t="s">
        <v>694</v>
      </c>
      <c r="G58" s="10" t="s">
        <v>695</v>
      </c>
      <c r="H58" s="11">
        <v>0</v>
      </c>
      <c r="I58" s="11">
        <v>0</v>
      </c>
      <c r="J58" s="11">
        <f t="shared" si="0"/>
        <v>0</v>
      </c>
      <c r="K58" s="11">
        <v>0</v>
      </c>
      <c r="L58" s="12">
        <f t="shared" si="2"/>
        <v>0</v>
      </c>
    </row>
    <row r="59" spans="1:12" x14ac:dyDescent="0.3">
      <c r="A59" s="9" t="s">
        <v>253</v>
      </c>
      <c r="B59" s="10" t="s">
        <v>608</v>
      </c>
      <c r="C59" s="10" t="s">
        <v>22</v>
      </c>
      <c r="D59" s="10" t="s">
        <v>28</v>
      </c>
      <c r="E59" s="10" t="s">
        <v>707</v>
      </c>
      <c r="F59" s="10" t="s">
        <v>694</v>
      </c>
      <c r="G59" s="10" t="s">
        <v>695</v>
      </c>
      <c r="H59" s="11">
        <v>0</v>
      </c>
      <c r="I59" s="11">
        <v>0</v>
      </c>
      <c r="J59" s="11">
        <f t="shared" si="0"/>
        <v>0</v>
      </c>
      <c r="K59" s="11">
        <v>0</v>
      </c>
      <c r="L59" s="12">
        <f t="shared" si="2"/>
        <v>0</v>
      </c>
    </row>
    <row r="60" spans="1:12" x14ac:dyDescent="0.3">
      <c r="A60" s="9" t="s">
        <v>50</v>
      </c>
      <c r="B60" s="10" t="s">
        <v>421</v>
      </c>
      <c r="C60" s="10" t="s">
        <v>22</v>
      </c>
      <c r="D60" s="10" t="s">
        <v>40</v>
      </c>
      <c r="E60" s="10" t="s">
        <v>693</v>
      </c>
      <c r="F60" s="10" t="s">
        <v>694</v>
      </c>
      <c r="G60" s="10" t="s">
        <v>698</v>
      </c>
      <c r="H60" s="11">
        <v>10</v>
      </c>
      <c r="I60" s="11">
        <v>3</v>
      </c>
      <c r="J60" s="11">
        <f t="shared" si="0"/>
        <v>3.103448275862069</v>
      </c>
      <c r="K60" s="11">
        <v>21</v>
      </c>
      <c r="L60" s="12">
        <f t="shared" si="2"/>
        <v>-0.68965517241379304</v>
      </c>
    </row>
    <row r="61" spans="1:12" x14ac:dyDescent="0.3">
      <c r="A61" s="9" t="s">
        <v>186</v>
      </c>
      <c r="B61" s="10" t="s">
        <v>544</v>
      </c>
      <c r="C61" s="10" t="s">
        <v>118</v>
      </c>
      <c r="D61" s="10" t="s">
        <v>134</v>
      </c>
      <c r="E61" s="10" t="s">
        <v>704</v>
      </c>
      <c r="F61" s="10" t="s">
        <v>694</v>
      </c>
      <c r="G61" s="10" t="s">
        <v>698</v>
      </c>
      <c r="H61" s="11">
        <v>0</v>
      </c>
      <c r="I61" s="11">
        <v>0</v>
      </c>
      <c r="J61" s="11">
        <f t="shared" si="0"/>
        <v>0</v>
      </c>
      <c r="K61" s="11">
        <v>0</v>
      </c>
      <c r="L61" s="12">
        <f t="shared" si="2"/>
        <v>0</v>
      </c>
    </row>
    <row r="62" spans="1:12" x14ac:dyDescent="0.3">
      <c r="A62" s="9" t="s">
        <v>135</v>
      </c>
      <c r="B62" s="10" t="s">
        <v>495</v>
      </c>
      <c r="C62" s="10" t="s">
        <v>20</v>
      </c>
      <c r="D62" s="10" t="s">
        <v>32</v>
      </c>
      <c r="E62" s="10" t="s">
        <v>693</v>
      </c>
      <c r="F62" s="10" t="s">
        <v>694</v>
      </c>
      <c r="G62" s="10" t="s">
        <v>696</v>
      </c>
      <c r="H62" s="11">
        <v>1</v>
      </c>
      <c r="I62" s="11">
        <v>0</v>
      </c>
      <c r="J62" s="11">
        <f t="shared" si="0"/>
        <v>0</v>
      </c>
      <c r="K62" s="11">
        <v>8</v>
      </c>
      <c r="L62" s="12">
        <f t="shared" si="2"/>
        <v>-1</v>
      </c>
    </row>
    <row r="63" spans="1:12" x14ac:dyDescent="0.3">
      <c r="A63" s="9" t="s">
        <v>51</v>
      </c>
      <c r="B63" s="10" t="s">
        <v>422</v>
      </c>
      <c r="C63" s="10" t="s">
        <v>22</v>
      </c>
      <c r="D63" s="10" t="s">
        <v>28</v>
      </c>
      <c r="E63" s="10" t="s">
        <v>693</v>
      </c>
      <c r="F63" s="10" t="s">
        <v>694</v>
      </c>
      <c r="G63" s="10" t="s">
        <v>695</v>
      </c>
      <c r="H63" s="11">
        <v>2</v>
      </c>
      <c r="I63" s="11">
        <v>5</v>
      </c>
      <c r="J63" s="11">
        <f t="shared" si="0"/>
        <v>5.1724137931034484</v>
      </c>
      <c r="K63" s="11">
        <v>5</v>
      </c>
      <c r="L63" s="12">
        <f t="shared" si="2"/>
        <v>1.5862068965517242</v>
      </c>
    </row>
    <row r="64" spans="1:12" x14ac:dyDescent="0.3">
      <c r="A64" s="9" t="s">
        <v>139</v>
      </c>
      <c r="B64" s="10" t="s">
        <v>497</v>
      </c>
      <c r="C64" s="10" t="s">
        <v>20</v>
      </c>
      <c r="D64" s="10" t="s">
        <v>32</v>
      </c>
      <c r="E64" s="10" t="s">
        <v>693</v>
      </c>
      <c r="F64" s="10" t="s">
        <v>694</v>
      </c>
      <c r="G64" s="10" t="s">
        <v>696</v>
      </c>
      <c r="H64" s="11">
        <v>1</v>
      </c>
      <c r="I64" s="11">
        <v>1</v>
      </c>
      <c r="J64" s="11">
        <f t="shared" si="0"/>
        <v>1.0344827586206897</v>
      </c>
      <c r="K64" s="11">
        <v>0</v>
      </c>
      <c r="L64" s="12">
        <f t="shared" si="2"/>
        <v>3.4482758620689724E-2</v>
      </c>
    </row>
    <row r="65" spans="1:12" x14ac:dyDescent="0.3">
      <c r="A65" s="9" t="s">
        <v>137</v>
      </c>
      <c r="B65" s="10" t="s">
        <v>496</v>
      </c>
      <c r="C65" s="10" t="s">
        <v>20</v>
      </c>
      <c r="D65" s="10" t="s">
        <v>34</v>
      </c>
      <c r="E65" s="10" t="s">
        <v>693</v>
      </c>
      <c r="F65" s="10" t="s">
        <v>694</v>
      </c>
      <c r="G65" s="10" t="s">
        <v>697</v>
      </c>
      <c r="H65" s="11">
        <v>0</v>
      </c>
      <c r="I65" s="11">
        <v>0</v>
      </c>
      <c r="J65" s="11">
        <f t="shared" si="0"/>
        <v>0</v>
      </c>
      <c r="K65" s="11">
        <v>7</v>
      </c>
      <c r="L65" s="12">
        <f t="shared" si="2"/>
        <v>0</v>
      </c>
    </row>
    <row r="66" spans="1:12" x14ac:dyDescent="0.3">
      <c r="A66" s="9" t="s">
        <v>187</v>
      </c>
      <c r="B66" s="10" t="s">
        <v>545</v>
      </c>
      <c r="C66" s="10" t="s">
        <v>118</v>
      </c>
      <c r="D66" s="10" t="s">
        <v>136</v>
      </c>
      <c r="E66" s="10" t="s">
        <v>704</v>
      </c>
      <c r="F66" s="10" t="s">
        <v>694</v>
      </c>
      <c r="G66" s="10" t="s">
        <v>697</v>
      </c>
      <c r="H66" s="11">
        <v>0</v>
      </c>
      <c r="I66" s="11">
        <v>0</v>
      </c>
      <c r="J66" s="11">
        <f t="shared" si="0"/>
        <v>0</v>
      </c>
      <c r="K66" s="11">
        <v>0</v>
      </c>
      <c r="L66" s="12">
        <f t="shared" si="2"/>
        <v>0</v>
      </c>
    </row>
    <row r="67" spans="1:12" x14ac:dyDescent="0.3">
      <c r="A67" s="9" t="s">
        <v>68</v>
      </c>
      <c r="B67" s="10" t="s">
        <v>437</v>
      </c>
      <c r="C67" s="10" t="s">
        <v>22</v>
      </c>
      <c r="D67" s="10" t="s">
        <v>28</v>
      </c>
      <c r="E67" s="10" t="s">
        <v>693</v>
      </c>
      <c r="F67" s="10" t="s">
        <v>694</v>
      </c>
      <c r="G67" s="10" t="s">
        <v>695</v>
      </c>
      <c r="H67" s="11">
        <v>2</v>
      </c>
      <c r="I67" s="11">
        <v>0</v>
      </c>
      <c r="J67" s="11">
        <f t="shared" si="0"/>
        <v>0</v>
      </c>
      <c r="K67" s="11">
        <v>16</v>
      </c>
      <c r="L67" s="12">
        <f t="shared" si="2"/>
        <v>-1</v>
      </c>
    </row>
    <row r="68" spans="1:12" x14ac:dyDescent="0.3">
      <c r="A68" s="9" t="s">
        <v>162</v>
      </c>
      <c r="B68" s="10" t="s">
        <v>520</v>
      </c>
      <c r="C68" s="10" t="s">
        <v>20</v>
      </c>
      <c r="D68" s="10" t="s">
        <v>30</v>
      </c>
      <c r="E68" s="10" t="s">
        <v>693</v>
      </c>
      <c r="F68" s="10" t="s">
        <v>694</v>
      </c>
      <c r="G68" s="10" t="s">
        <v>696</v>
      </c>
      <c r="H68" s="11">
        <v>5</v>
      </c>
      <c r="I68" s="11">
        <v>1</v>
      </c>
      <c r="J68" s="11">
        <f t="shared" si="0"/>
        <v>1.0344827586206897</v>
      </c>
      <c r="K68" s="11">
        <v>18</v>
      </c>
      <c r="L68" s="12">
        <f t="shared" si="2"/>
        <v>-0.7931034482758621</v>
      </c>
    </row>
    <row r="69" spans="1:12" x14ac:dyDescent="0.3">
      <c r="A69" s="9" t="s">
        <v>171</v>
      </c>
      <c r="B69" s="10" t="s">
        <v>529</v>
      </c>
      <c r="C69" s="10" t="s">
        <v>118</v>
      </c>
      <c r="D69" s="10" t="s">
        <v>138</v>
      </c>
      <c r="E69" s="10" t="s">
        <v>703</v>
      </c>
      <c r="F69" s="10" t="s">
        <v>694</v>
      </c>
      <c r="G69" s="10" t="s">
        <v>699</v>
      </c>
      <c r="H69" s="11">
        <v>23</v>
      </c>
      <c r="I69" s="11">
        <v>16</v>
      </c>
      <c r="J69" s="11">
        <f t="shared" ref="J69:J132" si="5">IFERROR((I69/$A$1*$B$1),0)</f>
        <v>16.551724137931036</v>
      </c>
      <c r="K69" s="11">
        <v>48</v>
      </c>
      <c r="L69" s="12">
        <f t="shared" si="2"/>
        <v>-0.28035982008995497</v>
      </c>
    </row>
    <row r="70" spans="1:12" x14ac:dyDescent="0.3">
      <c r="A70" s="9" t="s">
        <v>92</v>
      </c>
      <c r="B70" s="10" t="s">
        <v>461</v>
      </c>
      <c r="C70" s="10" t="s">
        <v>22</v>
      </c>
      <c r="D70" s="10" t="s">
        <v>40</v>
      </c>
      <c r="E70" s="10" t="s">
        <v>693</v>
      </c>
      <c r="F70" s="10" t="s">
        <v>694</v>
      </c>
      <c r="G70" s="10" t="s">
        <v>698</v>
      </c>
      <c r="H70" s="11">
        <v>1</v>
      </c>
      <c r="I70" s="11">
        <v>2</v>
      </c>
      <c r="J70" s="11">
        <f t="shared" si="5"/>
        <v>2.0689655172413794</v>
      </c>
      <c r="K70" s="11">
        <v>11</v>
      </c>
      <c r="L70" s="12">
        <f t="shared" ref="L70:L133" si="6">IFERROR((J70-H70)/H70,0)</f>
        <v>1.0689655172413794</v>
      </c>
    </row>
    <row r="71" spans="1:12" x14ac:dyDescent="0.3">
      <c r="A71" s="9" t="s">
        <v>140</v>
      </c>
      <c r="B71" s="10" t="s">
        <v>498</v>
      </c>
      <c r="C71" s="10" t="s">
        <v>22</v>
      </c>
      <c r="D71" s="10" t="s">
        <v>28</v>
      </c>
      <c r="E71" s="10" t="s">
        <v>693</v>
      </c>
      <c r="F71" s="10" t="s">
        <v>694</v>
      </c>
      <c r="G71" s="10" t="s">
        <v>695</v>
      </c>
      <c r="H71" s="11">
        <v>8</v>
      </c>
      <c r="I71" s="11">
        <v>0</v>
      </c>
      <c r="J71" s="11">
        <f t="shared" si="5"/>
        <v>0</v>
      </c>
      <c r="K71" s="11">
        <v>8</v>
      </c>
      <c r="L71" s="12">
        <f t="shared" si="6"/>
        <v>-1</v>
      </c>
    </row>
    <row r="72" spans="1:12" x14ac:dyDescent="0.3">
      <c r="A72" s="9" t="s">
        <v>172</v>
      </c>
      <c r="B72" s="10" t="s">
        <v>530</v>
      </c>
      <c r="C72" s="10" t="s">
        <v>118</v>
      </c>
      <c r="D72" s="10" t="s">
        <v>138</v>
      </c>
      <c r="E72" s="10" t="s">
        <v>703</v>
      </c>
      <c r="F72" s="10" t="s">
        <v>694</v>
      </c>
      <c r="G72" s="10" t="s">
        <v>695</v>
      </c>
      <c r="H72" s="11">
        <v>19</v>
      </c>
      <c r="I72" s="11">
        <v>18</v>
      </c>
      <c r="J72" s="11">
        <f t="shared" si="5"/>
        <v>18.620689655172413</v>
      </c>
      <c r="K72" s="11">
        <v>58</v>
      </c>
      <c r="L72" s="12">
        <f t="shared" si="6"/>
        <v>-1.9963702359346695E-2</v>
      </c>
    </row>
    <row r="73" spans="1:12" x14ac:dyDescent="0.3">
      <c r="A73" s="9" t="s">
        <v>169</v>
      </c>
      <c r="B73" s="10" t="s">
        <v>527</v>
      </c>
      <c r="C73" s="10" t="s">
        <v>118</v>
      </c>
      <c r="D73" s="10" t="s">
        <v>138</v>
      </c>
      <c r="E73" s="10" t="s">
        <v>703</v>
      </c>
      <c r="F73" s="10" t="s">
        <v>694</v>
      </c>
      <c r="G73" s="10" t="s">
        <v>699</v>
      </c>
      <c r="H73" s="11">
        <v>39</v>
      </c>
      <c r="I73" s="11">
        <v>16</v>
      </c>
      <c r="J73" s="11">
        <f t="shared" si="5"/>
        <v>16.551724137931036</v>
      </c>
      <c r="K73" s="11">
        <v>58</v>
      </c>
      <c r="L73" s="12">
        <f t="shared" si="6"/>
        <v>-0.5755968169761273</v>
      </c>
    </row>
    <row r="74" spans="1:12" x14ac:dyDescent="0.3">
      <c r="A74" s="9" t="s">
        <v>141</v>
      </c>
      <c r="B74" s="10" t="s">
        <v>499</v>
      </c>
      <c r="C74" s="10" t="s">
        <v>22</v>
      </c>
      <c r="D74" s="10" t="s">
        <v>46</v>
      </c>
      <c r="E74" s="10" t="s">
        <v>693</v>
      </c>
      <c r="F74" s="10" t="s">
        <v>694</v>
      </c>
      <c r="G74" s="10" t="s">
        <v>700</v>
      </c>
      <c r="H74" s="11">
        <v>3</v>
      </c>
      <c r="I74" s="11">
        <v>1</v>
      </c>
      <c r="J74" s="11">
        <f t="shared" si="5"/>
        <v>1.0344827586206897</v>
      </c>
      <c r="K74" s="11">
        <v>12</v>
      </c>
      <c r="L74" s="12">
        <f t="shared" si="6"/>
        <v>-0.65517241379310343</v>
      </c>
    </row>
    <row r="75" spans="1:12" x14ac:dyDescent="0.3">
      <c r="A75" s="9" t="s">
        <v>142</v>
      </c>
      <c r="B75" s="10" t="s">
        <v>500</v>
      </c>
      <c r="C75" s="10" t="s">
        <v>20</v>
      </c>
      <c r="D75" s="10" t="s">
        <v>32</v>
      </c>
      <c r="E75" s="10" t="s">
        <v>693</v>
      </c>
      <c r="F75" s="10" t="s">
        <v>694</v>
      </c>
      <c r="G75" s="10" t="s">
        <v>696</v>
      </c>
      <c r="H75" s="11">
        <v>2</v>
      </c>
      <c r="I75" s="11">
        <v>2</v>
      </c>
      <c r="J75" s="11">
        <f t="shared" si="5"/>
        <v>2.0689655172413794</v>
      </c>
      <c r="K75" s="11">
        <v>10</v>
      </c>
      <c r="L75" s="12">
        <f t="shared" si="6"/>
        <v>3.4482758620689724E-2</v>
      </c>
    </row>
    <row r="76" spans="1:12" x14ac:dyDescent="0.3">
      <c r="A76" s="9" t="s">
        <v>58</v>
      </c>
      <c r="B76" s="10" t="s">
        <v>429</v>
      </c>
      <c r="C76" s="10" t="s">
        <v>22</v>
      </c>
      <c r="D76" s="10" t="s">
        <v>48</v>
      </c>
      <c r="E76" s="10" t="s">
        <v>693</v>
      </c>
      <c r="F76" s="10" t="s">
        <v>694</v>
      </c>
      <c r="G76" s="10" t="s">
        <v>699</v>
      </c>
      <c r="H76" s="11">
        <v>2</v>
      </c>
      <c r="I76" s="11">
        <v>0</v>
      </c>
      <c r="J76" s="11">
        <f t="shared" si="5"/>
        <v>0</v>
      </c>
      <c r="K76" s="11">
        <v>11</v>
      </c>
      <c r="L76" s="12">
        <f t="shared" si="6"/>
        <v>-1</v>
      </c>
    </row>
    <row r="77" spans="1:12" x14ac:dyDescent="0.3">
      <c r="A77" s="9" t="s">
        <v>143</v>
      </c>
      <c r="B77" s="10" t="s">
        <v>501</v>
      </c>
      <c r="C77" s="10" t="s">
        <v>22</v>
      </c>
      <c r="D77" s="10" t="s">
        <v>46</v>
      </c>
      <c r="E77" s="10" t="s">
        <v>693</v>
      </c>
      <c r="F77" s="10" t="s">
        <v>694</v>
      </c>
      <c r="G77" s="10" t="s">
        <v>700</v>
      </c>
      <c r="H77" s="11">
        <v>2</v>
      </c>
      <c r="I77" s="11">
        <v>3</v>
      </c>
      <c r="J77" s="11">
        <f t="shared" si="5"/>
        <v>3.103448275862069</v>
      </c>
      <c r="K77" s="11">
        <v>19</v>
      </c>
      <c r="L77" s="12">
        <f t="shared" si="6"/>
        <v>0.55172413793103448</v>
      </c>
    </row>
    <row r="78" spans="1:12" x14ac:dyDescent="0.3">
      <c r="A78" s="9" t="s">
        <v>170</v>
      </c>
      <c r="B78" s="10" t="s">
        <v>528</v>
      </c>
      <c r="C78" s="10" t="s">
        <v>118</v>
      </c>
      <c r="D78" s="10" t="s">
        <v>123</v>
      </c>
      <c r="E78" s="10" t="s">
        <v>703</v>
      </c>
      <c r="F78" s="10" t="s">
        <v>694</v>
      </c>
      <c r="G78" s="10" t="s">
        <v>696</v>
      </c>
      <c r="H78" s="11">
        <v>34</v>
      </c>
      <c r="I78" s="11">
        <v>37</v>
      </c>
      <c r="J78" s="11">
        <f t="shared" si="5"/>
        <v>38.275862068965523</v>
      </c>
      <c r="K78" s="11">
        <v>75</v>
      </c>
      <c r="L78" s="12">
        <f t="shared" si="6"/>
        <v>0.12576064908722126</v>
      </c>
    </row>
    <row r="79" spans="1:12" x14ac:dyDescent="0.3">
      <c r="A79" s="9" t="s">
        <v>74</v>
      </c>
      <c r="B79" s="10" t="s">
        <v>443</v>
      </c>
      <c r="C79" s="10" t="s">
        <v>20</v>
      </c>
      <c r="D79" s="10" t="s">
        <v>38</v>
      </c>
      <c r="E79" s="10" t="s">
        <v>693</v>
      </c>
      <c r="F79" s="10" t="s">
        <v>694</v>
      </c>
      <c r="G79" s="10" t="s">
        <v>696</v>
      </c>
      <c r="H79" s="11">
        <v>1</v>
      </c>
      <c r="I79" s="11">
        <v>1</v>
      </c>
      <c r="J79" s="11">
        <f t="shared" si="5"/>
        <v>1.0344827586206897</v>
      </c>
      <c r="K79" s="11">
        <v>10</v>
      </c>
      <c r="L79" s="12">
        <f t="shared" si="6"/>
        <v>3.4482758620689724E-2</v>
      </c>
    </row>
    <row r="80" spans="1:12" x14ac:dyDescent="0.3">
      <c r="A80" s="9" t="s">
        <v>62</v>
      </c>
      <c r="B80" s="10" t="s">
        <v>433</v>
      </c>
      <c r="C80" s="10" t="s">
        <v>20</v>
      </c>
      <c r="D80" s="10" t="s">
        <v>34</v>
      </c>
      <c r="E80" s="10" t="s">
        <v>693</v>
      </c>
      <c r="F80" s="10" t="s">
        <v>694</v>
      </c>
      <c r="G80" s="10" t="s">
        <v>697</v>
      </c>
      <c r="H80" s="11">
        <v>0</v>
      </c>
      <c r="I80" s="11">
        <v>0</v>
      </c>
      <c r="J80" s="11">
        <f t="shared" si="5"/>
        <v>0</v>
      </c>
      <c r="K80" s="11">
        <v>0</v>
      </c>
      <c r="L80" s="12">
        <f t="shared" si="6"/>
        <v>0</v>
      </c>
    </row>
    <row r="81" spans="1:12" x14ac:dyDescent="0.3">
      <c r="A81" s="9" t="s">
        <v>174</v>
      </c>
      <c r="B81" s="10" t="s">
        <v>532</v>
      </c>
      <c r="C81" s="10" t="s">
        <v>118</v>
      </c>
      <c r="D81" s="10" t="s">
        <v>138</v>
      </c>
      <c r="E81" s="10" t="s">
        <v>703</v>
      </c>
      <c r="F81" s="10" t="s">
        <v>694</v>
      </c>
      <c r="G81" s="10" t="s">
        <v>698</v>
      </c>
      <c r="H81" s="11">
        <v>18</v>
      </c>
      <c r="I81" s="11">
        <v>13</v>
      </c>
      <c r="J81" s="11">
        <f t="shared" si="5"/>
        <v>13.448275862068966</v>
      </c>
      <c r="K81" s="11">
        <v>53</v>
      </c>
      <c r="L81" s="12">
        <f t="shared" si="6"/>
        <v>-0.25287356321839077</v>
      </c>
    </row>
    <row r="82" spans="1:12" x14ac:dyDescent="0.3">
      <c r="A82" s="9" t="s">
        <v>188</v>
      </c>
      <c r="B82" s="10" t="s">
        <v>546</v>
      </c>
      <c r="C82" s="10" t="s">
        <v>118</v>
      </c>
      <c r="D82" s="10" t="s">
        <v>134</v>
      </c>
      <c r="E82" s="10" t="s">
        <v>704</v>
      </c>
      <c r="F82" s="10" t="s">
        <v>694</v>
      </c>
      <c r="G82" s="10" t="s">
        <v>700</v>
      </c>
      <c r="H82" s="11">
        <v>0</v>
      </c>
      <c r="I82" s="11">
        <v>0</v>
      </c>
      <c r="J82" s="11">
        <f t="shared" si="5"/>
        <v>0</v>
      </c>
      <c r="K82" s="11">
        <v>0</v>
      </c>
      <c r="L82" s="12">
        <f t="shared" si="6"/>
        <v>0</v>
      </c>
    </row>
    <row r="83" spans="1:12" x14ac:dyDescent="0.3">
      <c r="A83" s="9" t="s">
        <v>189</v>
      </c>
      <c r="B83" s="10" t="s">
        <v>547</v>
      </c>
      <c r="C83" s="10" t="s">
        <v>118</v>
      </c>
      <c r="D83" s="10" t="s">
        <v>136</v>
      </c>
      <c r="E83" s="10" t="s">
        <v>704</v>
      </c>
      <c r="F83" s="10" t="s">
        <v>694</v>
      </c>
      <c r="G83" s="10" t="s">
        <v>696</v>
      </c>
      <c r="H83" s="11">
        <v>0</v>
      </c>
      <c r="I83" s="11">
        <v>0</v>
      </c>
      <c r="J83" s="11">
        <f t="shared" si="5"/>
        <v>0</v>
      </c>
      <c r="K83" s="11">
        <v>4</v>
      </c>
      <c r="L83" s="12">
        <f t="shared" si="6"/>
        <v>0</v>
      </c>
    </row>
    <row r="84" spans="1:12" x14ac:dyDescent="0.3">
      <c r="A84" s="9" t="s">
        <v>144</v>
      </c>
      <c r="B84" s="10" t="s">
        <v>502</v>
      </c>
      <c r="C84" s="10" t="s">
        <v>22</v>
      </c>
      <c r="D84" s="10" t="s">
        <v>44</v>
      </c>
      <c r="E84" s="10" t="s">
        <v>693</v>
      </c>
      <c r="F84" s="10" t="s">
        <v>694</v>
      </c>
      <c r="G84" s="10" t="s">
        <v>695</v>
      </c>
      <c r="H84" s="11">
        <v>2</v>
      </c>
      <c r="I84" s="11">
        <v>2</v>
      </c>
      <c r="J84" s="11">
        <f t="shared" si="5"/>
        <v>2.0689655172413794</v>
      </c>
      <c r="K84" s="11">
        <v>16</v>
      </c>
      <c r="L84" s="12">
        <f t="shared" si="6"/>
        <v>3.4482758620689724E-2</v>
      </c>
    </row>
    <row r="85" spans="1:12" x14ac:dyDescent="0.3">
      <c r="A85" s="9" t="s">
        <v>103</v>
      </c>
      <c r="B85" s="10" t="s">
        <v>472</v>
      </c>
      <c r="C85" s="10" t="s">
        <v>22</v>
      </c>
      <c r="D85" s="10" t="s">
        <v>44</v>
      </c>
      <c r="E85" s="10" t="s">
        <v>693</v>
      </c>
      <c r="F85" s="10" t="s">
        <v>694</v>
      </c>
      <c r="G85" s="10" t="s">
        <v>695</v>
      </c>
      <c r="H85" s="11">
        <v>1</v>
      </c>
      <c r="I85" s="11">
        <v>1</v>
      </c>
      <c r="J85" s="11">
        <f t="shared" si="5"/>
        <v>1.0344827586206897</v>
      </c>
      <c r="K85" s="11">
        <v>9</v>
      </c>
      <c r="L85" s="12">
        <f t="shared" si="6"/>
        <v>3.4482758620689724E-2</v>
      </c>
    </row>
    <row r="86" spans="1:12" x14ac:dyDescent="0.3">
      <c r="A86" s="9" t="s">
        <v>76</v>
      </c>
      <c r="B86" s="10" t="s">
        <v>445</v>
      </c>
      <c r="C86" s="10" t="s">
        <v>22</v>
      </c>
      <c r="D86" s="10" t="s">
        <v>48</v>
      </c>
      <c r="E86" s="10" t="s">
        <v>693</v>
      </c>
      <c r="F86" s="10" t="s">
        <v>694</v>
      </c>
      <c r="G86" s="10" t="s">
        <v>699</v>
      </c>
      <c r="H86" s="11">
        <v>1</v>
      </c>
      <c r="I86" s="11">
        <v>1</v>
      </c>
      <c r="J86" s="11">
        <f t="shared" si="5"/>
        <v>1.0344827586206897</v>
      </c>
      <c r="K86" s="11">
        <v>6</v>
      </c>
      <c r="L86" s="12">
        <f t="shared" si="6"/>
        <v>3.4482758620689724E-2</v>
      </c>
    </row>
    <row r="87" spans="1:12" x14ac:dyDescent="0.3">
      <c r="A87" s="9" t="s">
        <v>145</v>
      </c>
      <c r="B87" s="10" t="s">
        <v>503</v>
      </c>
      <c r="C87" s="10" t="s">
        <v>20</v>
      </c>
      <c r="D87" s="10" t="s">
        <v>36</v>
      </c>
      <c r="E87" s="10" t="s">
        <v>693</v>
      </c>
      <c r="F87" s="10" t="s">
        <v>694</v>
      </c>
      <c r="G87" s="10" t="s">
        <v>697</v>
      </c>
      <c r="H87" s="11">
        <v>3</v>
      </c>
      <c r="I87" s="11">
        <v>3</v>
      </c>
      <c r="J87" s="11">
        <f t="shared" si="5"/>
        <v>3.103448275862069</v>
      </c>
      <c r="K87" s="11">
        <v>8</v>
      </c>
      <c r="L87" s="12">
        <f t="shared" si="6"/>
        <v>3.4482758620689648E-2</v>
      </c>
    </row>
    <row r="88" spans="1:12" x14ac:dyDescent="0.3">
      <c r="A88" s="9" t="s">
        <v>146</v>
      </c>
      <c r="B88" s="10" t="s">
        <v>504</v>
      </c>
      <c r="C88" s="10" t="s">
        <v>20</v>
      </c>
      <c r="D88" s="10" t="s">
        <v>30</v>
      </c>
      <c r="E88" s="10" t="s">
        <v>693</v>
      </c>
      <c r="F88" s="10" t="s">
        <v>694</v>
      </c>
      <c r="G88" s="10" t="s">
        <v>696</v>
      </c>
      <c r="H88" s="11">
        <v>1</v>
      </c>
      <c r="I88" s="11">
        <v>1</v>
      </c>
      <c r="J88" s="11">
        <f t="shared" si="5"/>
        <v>1.0344827586206897</v>
      </c>
      <c r="K88" s="11">
        <v>7</v>
      </c>
      <c r="L88" s="12">
        <f t="shared" si="6"/>
        <v>3.4482758620689724E-2</v>
      </c>
    </row>
    <row r="89" spans="1:12" x14ac:dyDescent="0.3">
      <c r="A89" s="9" t="s">
        <v>27</v>
      </c>
      <c r="B89" s="10" t="s">
        <v>409</v>
      </c>
      <c r="C89" s="10" t="s">
        <v>20</v>
      </c>
      <c r="D89" s="10" t="s">
        <v>36</v>
      </c>
      <c r="E89" s="10" t="s">
        <v>693</v>
      </c>
      <c r="F89" s="10" t="s">
        <v>694</v>
      </c>
      <c r="G89" s="10" t="s">
        <v>697</v>
      </c>
      <c r="H89" s="11">
        <v>5</v>
      </c>
      <c r="I89" s="11">
        <v>4</v>
      </c>
      <c r="J89" s="11">
        <f t="shared" si="5"/>
        <v>4.1379310344827589</v>
      </c>
      <c r="K89" s="11">
        <v>13</v>
      </c>
      <c r="L89" s="12">
        <f t="shared" si="6"/>
        <v>-0.17241379310344823</v>
      </c>
    </row>
    <row r="90" spans="1:12" x14ac:dyDescent="0.3">
      <c r="A90" s="9" t="s">
        <v>84</v>
      </c>
      <c r="B90" s="10" t="s">
        <v>453</v>
      </c>
      <c r="C90" s="10" t="s">
        <v>22</v>
      </c>
      <c r="D90" s="10" t="s">
        <v>48</v>
      </c>
      <c r="E90" s="10" t="s">
        <v>693</v>
      </c>
      <c r="F90" s="10" t="s">
        <v>694</v>
      </c>
      <c r="G90" s="10" t="s">
        <v>699</v>
      </c>
      <c r="H90" s="11">
        <v>0</v>
      </c>
      <c r="I90" s="11">
        <v>2</v>
      </c>
      <c r="J90" s="11">
        <f t="shared" si="5"/>
        <v>2.0689655172413794</v>
      </c>
      <c r="K90" s="11">
        <v>10</v>
      </c>
      <c r="L90" s="12">
        <f t="shared" si="6"/>
        <v>0</v>
      </c>
    </row>
    <row r="91" spans="1:12" x14ac:dyDescent="0.3">
      <c r="A91" s="9" t="s">
        <v>26</v>
      </c>
      <c r="B91" s="10" t="s">
        <v>408</v>
      </c>
      <c r="C91" s="10" t="s">
        <v>20</v>
      </c>
      <c r="D91" s="10" t="s">
        <v>34</v>
      </c>
      <c r="E91" s="10" t="s">
        <v>693</v>
      </c>
      <c r="F91" s="10" t="s">
        <v>694</v>
      </c>
      <c r="G91" s="10" t="s">
        <v>697</v>
      </c>
      <c r="H91" s="11">
        <v>7</v>
      </c>
      <c r="I91" s="11">
        <v>5</v>
      </c>
      <c r="J91" s="11">
        <f t="shared" si="5"/>
        <v>5.1724137931034484</v>
      </c>
      <c r="K91" s="11">
        <v>15</v>
      </c>
      <c r="L91" s="12">
        <f t="shared" si="6"/>
        <v>-0.26108374384236449</v>
      </c>
    </row>
    <row r="92" spans="1:12" x14ac:dyDescent="0.3">
      <c r="A92" s="9" t="s">
        <v>78</v>
      </c>
      <c r="B92" s="10" t="s">
        <v>447</v>
      </c>
      <c r="C92" s="10" t="s">
        <v>20</v>
      </c>
      <c r="D92" s="10" t="s">
        <v>32</v>
      </c>
      <c r="E92" s="10" t="s">
        <v>693</v>
      </c>
      <c r="F92" s="10" t="s">
        <v>694</v>
      </c>
      <c r="G92" s="10" t="s">
        <v>696</v>
      </c>
      <c r="H92" s="11">
        <v>2</v>
      </c>
      <c r="I92" s="11">
        <v>2</v>
      </c>
      <c r="J92" s="11">
        <f t="shared" si="5"/>
        <v>2.0689655172413794</v>
      </c>
      <c r="K92" s="11">
        <v>7</v>
      </c>
      <c r="L92" s="12">
        <f t="shared" si="6"/>
        <v>3.4482758620689724E-2</v>
      </c>
    </row>
    <row r="93" spans="1:12" x14ac:dyDescent="0.3">
      <c r="A93" s="9" t="s">
        <v>83</v>
      </c>
      <c r="B93" s="10" t="s">
        <v>452</v>
      </c>
      <c r="C93" s="10" t="s">
        <v>22</v>
      </c>
      <c r="D93" s="10" t="s">
        <v>28</v>
      </c>
      <c r="E93" s="10" t="s">
        <v>693</v>
      </c>
      <c r="F93" s="10" t="s">
        <v>694</v>
      </c>
      <c r="G93" s="10" t="s">
        <v>695</v>
      </c>
      <c r="H93" s="11">
        <v>2</v>
      </c>
      <c r="I93" s="11">
        <v>5</v>
      </c>
      <c r="J93" s="11">
        <f t="shared" si="5"/>
        <v>5.1724137931034484</v>
      </c>
      <c r="K93" s="11">
        <v>18</v>
      </c>
      <c r="L93" s="12">
        <f t="shared" si="6"/>
        <v>1.5862068965517242</v>
      </c>
    </row>
    <row r="94" spans="1:12" x14ac:dyDescent="0.3">
      <c r="A94" s="9" t="s">
        <v>100</v>
      </c>
      <c r="B94" s="10" t="s">
        <v>469</v>
      </c>
      <c r="C94" s="10" t="s">
        <v>20</v>
      </c>
      <c r="D94" s="10" t="s">
        <v>38</v>
      </c>
      <c r="E94" s="10" t="s">
        <v>693</v>
      </c>
      <c r="F94" s="10" t="s">
        <v>694</v>
      </c>
      <c r="G94" s="10" t="s">
        <v>696</v>
      </c>
      <c r="H94" s="11">
        <v>2</v>
      </c>
      <c r="I94" s="11">
        <v>1</v>
      </c>
      <c r="J94" s="11">
        <f t="shared" si="5"/>
        <v>1.0344827586206897</v>
      </c>
      <c r="K94" s="11">
        <v>6</v>
      </c>
      <c r="L94" s="12">
        <f t="shared" si="6"/>
        <v>-0.48275862068965514</v>
      </c>
    </row>
    <row r="95" spans="1:12" x14ac:dyDescent="0.3">
      <c r="A95" s="9" t="s">
        <v>70</v>
      </c>
      <c r="B95" s="10" t="s">
        <v>439</v>
      </c>
      <c r="C95" s="10" t="s">
        <v>20</v>
      </c>
      <c r="D95" s="10" t="s">
        <v>32</v>
      </c>
      <c r="E95" s="10" t="s">
        <v>693</v>
      </c>
      <c r="F95" s="10" t="s">
        <v>694</v>
      </c>
      <c r="G95" s="10" t="s">
        <v>696</v>
      </c>
      <c r="H95" s="11">
        <v>2</v>
      </c>
      <c r="I95" s="11">
        <v>2</v>
      </c>
      <c r="J95" s="11">
        <f t="shared" si="5"/>
        <v>2.0689655172413794</v>
      </c>
      <c r="K95" s="11">
        <v>11</v>
      </c>
      <c r="L95" s="12">
        <f t="shared" si="6"/>
        <v>3.4482758620689724E-2</v>
      </c>
    </row>
    <row r="96" spans="1:12" x14ac:dyDescent="0.3">
      <c r="A96" s="9" t="s">
        <v>87</v>
      </c>
      <c r="B96" s="10" t="s">
        <v>456</v>
      </c>
      <c r="C96" s="10" t="s">
        <v>20</v>
      </c>
      <c r="D96" s="10" t="s">
        <v>38</v>
      </c>
      <c r="E96" s="10" t="s">
        <v>693</v>
      </c>
      <c r="F96" s="10" t="s">
        <v>694</v>
      </c>
      <c r="G96" s="10" t="s">
        <v>696</v>
      </c>
      <c r="H96" s="11">
        <v>1</v>
      </c>
      <c r="I96" s="11">
        <v>1</v>
      </c>
      <c r="J96" s="11">
        <f t="shared" si="5"/>
        <v>1.0344827586206897</v>
      </c>
      <c r="K96" s="11">
        <v>7</v>
      </c>
      <c r="L96" s="12">
        <f t="shared" si="6"/>
        <v>3.4482758620689724E-2</v>
      </c>
    </row>
    <row r="97" spans="1:12" x14ac:dyDescent="0.3">
      <c r="A97" s="9" t="s">
        <v>148</v>
      </c>
      <c r="B97" s="10" t="s">
        <v>506</v>
      </c>
      <c r="C97" s="10" t="s">
        <v>22</v>
      </c>
      <c r="D97" s="10" t="s">
        <v>46</v>
      </c>
      <c r="E97" s="10" t="s">
        <v>693</v>
      </c>
      <c r="F97" s="10" t="s">
        <v>694</v>
      </c>
      <c r="G97" s="10" t="s">
        <v>700</v>
      </c>
      <c r="H97" s="11">
        <v>4</v>
      </c>
      <c r="I97" s="11">
        <v>3</v>
      </c>
      <c r="J97" s="11">
        <f t="shared" si="5"/>
        <v>3.103448275862069</v>
      </c>
      <c r="K97" s="11">
        <v>13</v>
      </c>
      <c r="L97" s="12">
        <f t="shared" si="6"/>
        <v>-0.22413793103448276</v>
      </c>
    </row>
    <row r="98" spans="1:12" x14ac:dyDescent="0.3">
      <c r="A98" s="9" t="s">
        <v>72</v>
      </c>
      <c r="B98" s="10" t="s">
        <v>441</v>
      </c>
      <c r="C98" s="10" t="s">
        <v>20</v>
      </c>
      <c r="D98" s="10" t="s">
        <v>30</v>
      </c>
      <c r="E98" s="10" t="s">
        <v>693</v>
      </c>
      <c r="F98" s="10" t="s">
        <v>694</v>
      </c>
      <c r="G98" s="10" t="s">
        <v>696</v>
      </c>
      <c r="H98" s="11">
        <v>3</v>
      </c>
      <c r="I98" s="11">
        <v>2</v>
      </c>
      <c r="J98" s="11">
        <f t="shared" si="5"/>
        <v>2.0689655172413794</v>
      </c>
      <c r="K98" s="11">
        <v>7</v>
      </c>
      <c r="L98" s="12">
        <f t="shared" si="6"/>
        <v>-0.31034482758620685</v>
      </c>
    </row>
    <row r="99" spans="1:12" x14ac:dyDescent="0.3">
      <c r="A99" s="9" t="s">
        <v>147</v>
      </c>
      <c r="B99" s="10" t="s">
        <v>505</v>
      </c>
      <c r="C99" s="10" t="s">
        <v>22</v>
      </c>
      <c r="D99" s="10" t="s">
        <v>42</v>
      </c>
      <c r="E99" s="10" t="s">
        <v>693</v>
      </c>
      <c r="F99" s="10" t="s">
        <v>694</v>
      </c>
      <c r="G99" s="10" t="s">
        <v>699</v>
      </c>
      <c r="H99" s="11">
        <v>3</v>
      </c>
      <c r="I99" s="11">
        <v>2</v>
      </c>
      <c r="J99" s="11">
        <f t="shared" si="5"/>
        <v>2.0689655172413794</v>
      </c>
      <c r="K99" s="11">
        <v>4</v>
      </c>
      <c r="L99" s="12">
        <f t="shared" si="6"/>
        <v>-0.31034482758620685</v>
      </c>
    </row>
    <row r="100" spans="1:12" x14ac:dyDescent="0.3">
      <c r="A100" s="9" t="s">
        <v>86</v>
      </c>
      <c r="B100" s="10" t="s">
        <v>455</v>
      </c>
      <c r="C100" s="10" t="s">
        <v>22</v>
      </c>
      <c r="D100" s="10" t="s">
        <v>48</v>
      </c>
      <c r="E100" s="10" t="s">
        <v>693</v>
      </c>
      <c r="F100" s="10" t="s">
        <v>694</v>
      </c>
      <c r="G100" s="10" t="s">
        <v>699</v>
      </c>
      <c r="H100" s="11">
        <v>3</v>
      </c>
      <c r="I100" s="11">
        <v>1</v>
      </c>
      <c r="J100" s="11">
        <f t="shared" si="5"/>
        <v>1.0344827586206897</v>
      </c>
      <c r="K100" s="11">
        <v>4</v>
      </c>
      <c r="L100" s="12">
        <f t="shared" si="6"/>
        <v>-0.65517241379310343</v>
      </c>
    </row>
    <row r="101" spans="1:12" x14ac:dyDescent="0.3">
      <c r="A101" s="9" t="s">
        <v>149</v>
      </c>
      <c r="B101" s="10" t="s">
        <v>507</v>
      </c>
      <c r="C101" s="10" t="s">
        <v>22</v>
      </c>
      <c r="D101" s="10" t="s">
        <v>46</v>
      </c>
      <c r="E101" s="10" t="s">
        <v>693</v>
      </c>
      <c r="F101" s="10" t="s">
        <v>694</v>
      </c>
      <c r="G101" s="10" t="s">
        <v>700</v>
      </c>
      <c r="H101" s="11">
        <v>8</v>
      </c>
      <c r="I101" s="11">
        <v>4</v>
      </c>
      <c r="J101" s="11">
        <f t="shared" si="5"/>
        <v>4.1379310344827589</v>
      </c>
      <c r="K101" s="11">
        <v>8</v>
      </c>
      <c r="L101" s="12">
        <f t="shared" si="6"/>
        <v>-0.48275862068965514</v>
      </c>
    </row>
    <row r="102" spans="1:12" x14ac:dyDescent="0.3">
      <c r="A102" s="9" t="s">
        <v>93</v>
      </c>
      <c r="B102" s="10" t="s">
        <v>462</v>
      </c>
      <c r="C102" s="10" t="s">
        <v>22</v>
      </c>
      <c r="D102" s="10" t="s">
        <v>42</v>
      </c>
      <c r="E102" s="10" t="s">
        <v>693</v>
      </c>
      <c r="F102" s="10" t="s">
        <v>694</v>
      </c>
      <c r="G102" s="10" t="s">
        <v>699</v>
      </c>
      <c r="H102" s="11">
        <v>2</v>
      </c>
      <c r="I102" s="11">
        <v>2</v>
      </c>
      <c r="J102" s="11">
        <f t="shared" si="5"/>
        <v>2.0689655172413794</v>
      </c>
      <c r="K102" s="11">
        <v>6</v>
      </c>
      <c r="L102" s="12">
        <f t="shared" si="6"/>
        <v>3.4482758620689724E-2</v>
      </c>
    </row>
    <row r="103" spans="1:12" x14ac:dyDescent="0.3">
      <c r="A103" s="9" t="s">
        <v>254</v>
      </c>
      <c r="B103" s="10" t="s">
        <v>609</v>
      </c>
      <c r="C103" s="10" t="s">
        <v>22</v>
      </c>
      <c r="D103" s="10" t="s">
        <v>28</v>
      </c>
      <c r="E103" s="10" t="s">
        <v>709</v>
      </c>
      <c r="F103" s="10" t="s">
        <v>694</v>
      </c>
      <c r="G103" s="10" t="s">
        <v>695</v>
      </c>
      <c r="H103" s="11">
        <v>0</v>
      </c>
      <c r="I103" s="11">
        <v>0</v>
      </c>
      <c r="J103" s="11">
        <f t="shared" si="5"/>
        <v>0</v>
      </c>
      <c r="K103" s="11">
        <v>0</v>
      </c>
      <c r="L103" s="12">
        <f t="shared" si="6"/>
        <v>0</v>
      </c>
    </row>
    <row r="104" spans="1:12" x14ac:dyDescent="0.3">
      <c r="A104" s="9" t="s">
        <v>85</v>
      </c>
      <c r="B104" s="10" t="s">
        <v>454</v>
      </c>
      <c r="C104" s="10" t="s">
        <v>22</v>
      </c>
      <c r="D104" s="10" t="s">
        <v>46</v>
      </c>
      <c r="E104" s="10" t="s">
        <v>693</v>
      </c>
      <c r="F104" s="10" t="s">
        <v>694</v>
      </c>
      <c r="G104" s="10" t="s">
        <v>700</v>
      </c>
      <c r="H104" s="11">
        <v>2</v>
      </c>
      <c r="I104" s="11">
        <v>1</v>
      </c>
      <c r="J104" s="11">
        <f t="shared" si="5"/>
        <v>1.0344827586206897</v>
      </c>
      <c r="K104" s="11">
        <v>11</v>
      </c>
      <c r="L104" s="12">
        <f t="shared" si="6"/>
        <v>-0.48275862068965514</v>
      </c>
    </row>
    <row r="105" spans="1:12" x14ac:dyDescent="0.3">
      <c r="A105" s="9" t="s">
        <v>150</v>
      </c>
      <c r="B105" s="10" t="s">
        <v>508</v>
      </c>
      <c r="C105" s="10" t="s">
        <v>20</v>
      </c>
      <c r="D105" s="10" t="s">
        <v>30</v>
      </c>
      <c r="E105" s="10" t="s">
        <v>693</v>
      </c>
      <c r="F105" s="10" t="s">
        <v>694</v>
      </c>
      <c r="G105" s="10" t="s">
        <v>696</v>
      </c>
      <c r="H105" s="11">
        <v>6</v>
      </c>
      <c r="I105" s="11">
        <v>5</v>
      </c>
      <c r="J105" s="11">
        <f t="shared" si="5"/>
        <v>5.1724137931034484</v>
      </c>
      <c r="K105" s="11">
        <v>10</v>
      </c>
      <c r="L105" s="12">
        <f t="shared" si="6"/>
        <v>-0.13793103448275859</v>
      </c>
    </row>
    <row r="106" spans="1:12" x14ac:dyDescent="0.3">
      <c r="A106" s="9" t="s">
        <v>97</v>
      </c>
      <c r="B106" s="10" t="s">
        <v>466</v>
      </c>
      <c r="C106" s="10" t="s">
        <v>20</v>
      </c>
      <c r="D106" s="10" t="s">
        <v>36</v>
      </c>
      <c r="E106" s="10" t="s">
        <v>693</v>
      </c>
      <c r="F106" s="10" t="s">
        <v>694</v>
      </c>
      <c r="G106" s="10" t="s">
        <v>697</v>
      </c>
      <c r="H106" s="11">
        <v>1</v>
      </c>
      <c r="I106" s="11">
        <v>4</v>
      </c>
      <c r="J106" s="11">
        <f t="shared" si="5"/>
        <v>4.1379310344827589</v>
      </c>
      <c r="K106" s="11">
        <v>6</v>
      </c>
      <c r="L106" s="12">
        <f t="shared" si="6"/>
        <v>3.1379310344827589</v>
      </c>
    </row>
    <row r="107" spans="1:12" x14ac:dyDescent="0.3">
      <c r="A107" s="9" t="s">
        <v>69</v>
      </c>
      <c r="B107" s="10" t="s">
        <v>438</v>
      </c>
      <c r="C107" s="10" t="s">
        <v>20</v>
      </c>
      <c r="D107" s="10" t="s">
        <v>38</v>
      </c>
      <c r="E107" s="10" t="s">
        <v>693</v>
      </c>
      <c r="F107" s="10" t="s">
        <v>694</v>
      </c>
      <c r="G107" s="10" t="s">
        <v>696</v>
      </c>
      <c r="H107" s="11">
        <v>2</v>
      </c>
      <c r="I107" s="11">
        <v>1</v>
      </c>
      <c r="J107" s="11">
        <f t="shared" si="5"/>
        <v>1.0344827586206897</v>
      </c>
      <c r="K107" s="11">
        <v>8</v>
      </c>
      <c r="L107" s="12">
        <f t="shared" si="6"/>
        <v>-0.48275862068965514</v>
      </c>
    </row>
    <row r="108" spans="1:12" x14ac:dyDescent="0.3">
      <c r="A108" s="9" t="s">
        <v>95</v>
      </c>
      <c r="B108" s="10" t="s">
        <v>464</v>
      </c>
      <c r="C108" s="10" t="s">
        <v>20</v>
      </c>
      <c r="D108" s="10" t="s">
        <v>34</v>
      </c>
      <c r="E108" s="10" t="s">
        <v>693</v>
      </c>
      <c r="F108" s="10" t="s">
        <v>694</v>
      </c>
      <c r="G108" s="10" t="s">
        <v>697</v>
      </c>
      <c r="H108" s="11">
        <v>3</v>
      </c>
      <c r="I108" s="11">
        <v>1</v>
      </c>
      <c r="J108" s="11">
        <f t="shared" si="5"/>
        <v>1.0344827586206897</v>
      </c>
      <c r="K108" s="11">
        <v>21</v>
      </c>
      <c r="L108" s="12">
        <f t="shared" si="6"/>
        <v>-0.65517241379310343</v>
      </c>
    </row>
    <row r="109" spans="1:12" x14ac:dyDescent="0.3">
      <c r="A109" s="9" t="s">
        <v>88</v>
      </c>
      <c r="B109" s="10" t="s">
        <v>457</v>
      </c>
      <c r="C109" s="10" t="s">
        <v>22</v>
      </c>
      <c r="D109" s="10" t="s">
        <v>48</v>
      </c>
      <c r="E109" s="10" t="s">
        <v>693</v>
      </c>
      <c r="F109" s="10" t="s">
        <v>694</v>
      </c>
      <c r="G109" s="10" t="s">
        <v>699</v>
      </c>
      <c r="H109" s="11">
        <v>3</v>
      </c>
      <c r="I109" s="11">
        <v>0</v>
      </c>
      <c r="J109" s="11">
        <f t="shared" si="5"/>
        <v>0</v>
      </c>
      <c r="K109" s="11">
        <v>6</v>
      </c>
      <c r="L109" s="12">
        <f t="shared" si="6"/>
        <v>-1</v>
      </c>
    </row>
    <row r="110" spans="1:12" x14ac:dyDescent="0.3">
      <c r="A110" s="9" t="s">
        <v>255</v>
      </c>
      <c r="B110" s="10" t="s">
        <v>610</v>
      </c>
      <c r="C110" s="10" t="s">
        <v>22</v>
      </c>
      <c r="D110" s="10" t="s">
        <v>42</v>
      </c>
      <c r="E110" s="10" t="s">
        <v>709</v>
      </c>
      <c r="F110" s="10" t="s">
        <v>694</v>
      </c>
      <c r="G110" s="10" t="s">
        <v>699</v>
      </c>
      <c r="H110" s="11">
        <v>0</v>
      </c>
      <c r="I110" s="11">
        <v>0</v>
      </c>
      <c r="J110" s="11">
        <f t="shared" si="5"/>
        <v>0</v>
      </c>
      <c r="K110" s="11">
        <v>0</v>
      </c>
      <c r="L110" s="12">
        <f t="shared" si="6"/>
        <v>0</v>
      </c>
    </row>
    <row r="111" spans="1:12" x14ac:dyDescent="0.3">
      <c r="A111" s="9" t="s">
        <v>256</v>
      </c>
      <c r="B111" s="10" t="s">
        <v>611</v>
      </c>
      <c r="C111" s="10" t="s">
        <v>22</v>
      </c>
      <c r="D111" s="10" t="s">
        <v>42</v>
      </c>
      <c r="E111" s="10" t="s">
        <v>709</v>
      </c>
      <c r="F111" s="10" t="s">
        <v>694</v>
      </c>
      <c r="G111" s="10" t="s">
        <v>699</v>
      </c>
      <c r="H111" s="11">
        <v>0</v>
      </c>
      <c r="I111" s="11">
        <v>0</v>
      </c>
      <c r="J111" s="11">
        <f t="shared" si="5"/>
        <v>0</v>
      </c>
      <c r="K111" s="11">
        <v>0</v>
      </c>
      <c r="L111" s="12">
        <f t="shared" si="6"/>
        <v>0</v>
      </c>
    </row>
    <row r="112" spans="1:12" x14ac:dyDescent="0.3">
      <c r="A112" s="9" t="s">
        <v>77</v>
      </c>
      <c r="B112" s="10" t="s">
        <v>446</v>
      </c>
      <c r="C112" s="10" t="s">
        <v>20</v>
      </c>
      <c r="D112" s="10" t="s">
        <v>36</v>
      </c>
      <c r="E112" s="10" t="s">
        <v>693</v>
      </c>
      <c r="F112" s="10" t="s">
        <v>694</v>
      </c>
      <c r="G112" s="10" t="s">
        <v>697</v>
      </c>
      <c r="H112" s="11">
        <v>2</v>
      </c>
      <c r="I112" s="11">
        <v>0</v>
      </c>
      <c r="J112" s="11">
        <f t="shared" si="5"/>
        <v>0</v>
      </c>
      <c r="K112" s="11">
        <v>9</v>
      </c>
      <c r="L112" s="12">
        <f t="shared" si="6"/>
        <v>-1</v>
      </c>
    </row>
    <row r="113" spans="1:12" x14ac:dyDescent="0.3">
      <c r="A113" s="9" t="s">
        <v>257</v>
      </c>
      <c r="B113" s="10" t="s">
        <v>612</v>
      </c>
      <c r="C113" s="10" t="s">
        <v>22</v>
      </c>
      <c r="D113" s="10" t="s">
        <v>28</v>
      </c>
      <c r="E113" s="10" t="s">
        <v>709</v>
      </c>
      <c r="F113" s="10" t="s">
        <v>694</v>
      </c>
      <c r="G113" s="10" t="s">
        <v>695</v>
      </c>
      <c r="H113" s="11">
        <v>0</v>
      </c>
      <c r="I113" s="11">
        <v>0</v>
      </c>
      <c r="J113" s="11">
        <f t="shared" si="5"/>
        <v>0</v>
      </c>
      <c r="K113" s="11">
        <v>0</v>
      </c>
      <c r="L113" s="12">
        <f t="shared" si="6"/>
        <v>0</v>
      </c>
    </row>
    <row r="114" spans="1:12" x14ac:dyDescent="0.3">
      <c r="A114" s="9" t="s">
        <v>107</v>
      </c>
      <c r="B114" s="10" t="s">
        <v>476</v>
      </c>
      <c r="C114" s="10" t="s">
        <v>22</v>
      </c>
      <c r="D114" s="10" t="s">
        <v>40</v>
      </c>
      <c r="E114" s="10" t="s">
        <v>693</v>
      </c>
      <c r="F114" s="10" t="s">
        <v>694</v>
      </c>
      <c r="G114" s="10" t="s">
        <v>698</v>
      </c>
      <c r="H114" s="11">
        <v>1</v>
      </c>
      <c r="I114" s="11">
        <v>1</v>
      </c>
      <c r="J114" s="11">
        <f t="shared" si="5"/>
        <v>1.0344827586206897</v>
      </c>
      <c r="K114" s="11">
        <v>9</v>
      </c>
      <c r="L114" s="12">
        <f t="shared" si="6"/>
        <v>3.4482758620689724E-2</v>
      </c>
    </row>
    <row r="115" spans="1:12" x14ac:dyDescent="0.3">
      <c r="A115" s="9" t="s">
        <v>190</v>
      </c>
      <c r="B115" s="10" t="s">
        <v>548</v>
      </c>
      <c r="C115" s="10" t="s">
        <v>118</v>
      </c>
      <c r="D115" s="10" t="s">
        <v>134</v>
      </c>
      <c r="E115" s="10" t="s">
        <v>704</v>
      </c>
      <c r="F115" s="10" t="s">
        <v>694</v>
      </c>
      <c r="G115" s="10" t="s">
        <v>699</v>
      </c>
      <c r="H115" s="11">
        <v>0</v>
      </c>
      <c r="I115" s="11">
        <v>0</v>
      </c>
      <c r="J115" s="11">
        <f t="shared" si="5"/>
        <v>0</v>
      </c>
      <c r="K115" s="11">
        <v>0</v>
      </c>
      <c r="L115" s="12">
        <f t="shared" si="6"/>
        <v>0</v>
      </c>
    </row>
    <row r="116" spans="1:12" x14ac:dyDescent="0.3">
      <c r="A116" s="9" t="s">
        <v>104</v>
      </c>
      <c r="B116" s="10" t="s">
        <v>473</v>
      </c>
      <c r="C116" s="10" t="s">
        <v>22</v>
      </c>
      <c r="D116" s="10" t="s">
        <v>28</v>
      </c>
      <c r="E116" s="10" t="s">
        <v>693</v>
      </c>
      <c r="F116" s="10" t="s">
        <v>694</v>
      </c>
      <c r="G116" s="10" t="s">
        <v>695</v>
      </c>
      <c r="H116" s="11">
        <v>1</v>
      </c>
      <c r="I116" s="11">
        <v>0</v>
      </c>
      <c r="J116" s="11">
        <f t="shared" si="5"/>
        <v>0</v>
      </c>
      <c r="K116" s="11">
        <v>7</v>
      </c>
      <c r="L116" s="12">
        <f t="shared" si="6"/>
        <v>-1</v>
      </c>
    </row>
    <row r="117" spans="1:12" x14ac:dyDescent="0.3">
      <c r="A117" s="9" t="s">
        <v>258</v>
      </c>
      <c r="B117" s="10" t="s">
        <v>613</v>
      </c>
      <c r="C117" s="10" t="s">
        <v>22</v>
      </c>
      <c r="D117" s="10" t="s">
        <v>42</v>
      </c>
      <c r="E117" s="10" t="s">
        <v>709</v>
      </c>
      <c r="F117" s="10" t="s">
        <v>694</v>
      </c>
      <c r="G117" s="10" t="s">
        <v>699</v>
      </c>
      <c r="H117" s="11">
        <v>0</v>
      </c>
      <c r="I117" s="11">
        <v>0</v>
      </c>
      <c r="J117" s="11">
        <f t="shared" si="5"/>
        <v>0</v>
      </c>
      <c r="K117" s="11">
        <v>0</v>
      </c>
      <c r="L117" s="12">
        <f t="shared" si="6"/>
        <v>0</v>
      </c>
    </row>
    <row r="118" spans="1:12" x14ac:dyDescent="0.3">
      <c r="A118" s="9" t="s">
        <v>81</v>
      </c>
      <c r="B118" s="10" t="s">
        <v>450</v>
      </c>
      <c r="C118" s="10" t="s">
        <v>22</v>
      </c>
      <c r="D118" s="10" t="s">
        <v>28</v>
      </c>
      <c r="E118" s="10" t="s">
        <v>693</v>
      </c>
      <c r="F118" s="10" t="s">
        <v>694</v>
      </c>
      <c r="G118" s="10" t="s">
        <v>695</v>
      </c>
      <c r="H118" s="11">
        <v>4</v>
      </c>
      <c r="I118" s="11">
        <v>4</v>
      </c>
      <c r="J118" s="11">
        <f t="shared" si="5"/>
        <v>4.1379310344827589</v>
      </c>
      <c r="K118" s="11">
        <v>22</v>
      </c>
      <c r="L118" s="12">
        <f t="shared" si="6"/>
        <v>3.4482758620689724E-2</v>
      </c>
    </row>
    <row r="119" spans="1:12" x14ac:dyDescent="0.3">
      <c r="A119" s="9" t="s">
        <v>101</v>
      </c>
      <c r="B119" s="10" t="s">
        <v>470</v>
      </c>
      <c r="C119" s="10" t="s">
        <v>22</v>
      </c>
      <c r="D119" s="10" t="s">
        <v>48</v>
      </c>
      <c r="E119" s="10" t="s">
        <v>693</v>
      </c>
      <c r="F119" s="10" t="s">
        <v>694</v>
      </c>
      <c r="G119" s="10" t="s">
        <v>699</v>
      </c>
      <c r="H119" s="11">
        <v>0</v>
      </c>
      <c r="I119" s="11">
        <v>1</v>
      </c>
      <c r="J119" s="11">
        <f t="shared" si="5"/>
        <v>1.0344827586206897</v>
      </c>
      <c r="K119" s="11">
        <v>9</v>
      </c>
      <c r="L119" s="12">
        <f t="shared" si="6"/>
        <v>0</v>
      </c>
    </row>
    <row r="120" spans="1:12" x14ac:dyDescent="0.3">
      <c r="A120" s="9" t="s">
        <v>37</v>
      </c>
      <c r="B120" s="10" t="s">
        <v>414</v>
      </c>
      <c r="C120" s="10" t="s">
        <v>20</v>
      </c>
      <c r="D120" s="10" t="s">
        <v>38</v>
      </c>
      <c r="E120" s="10" t="s">
        <v>693</v>
      </c>
      <c r="F120" s="10" t="s">
        <v>694</v>
      </c>
      <c r="G120" s="10" t="s">
        <v>696</v>
      </c>
      <c r="H120" s="11">
        <v>2</v>
      </c>
      <c r="I120" s="11">
        <v>4</v>
      </c>
      <c r="J120" s="11">
        <f t="shared" si="5"/>
        <v>4.1379310344827589</v>
      </c>
      <c r="K120" s="11">
        <v>5</v>
      </c>
      <c r="L120" s="12">
        <f t="shared" si="6"/>
        <v>1.0689655172413794</v>
      </c>
    </row>
    <row r="121" spans="1:12" x14ac:dyDescent="0.3">
      <c r="A121" s="9" t="s">
        <v>94</v>
      </c>
      <c r="B121" s="10" t="s">
        <v>463</v>
      </c>
      <c r="C121" s="10" t="s">
        <v>22</v>
      </c>
      <c r="D121" s="10" t="s">
        <v>40</v>
      </c>
      <c r="E121" s="10" t="s">
        <v>693</v>
      </c>
      <c r="F121" s="10" t="s">
        <v>694</v>
      </c>
      <c r="G121" s="10" t="s">
        <v>698</v>
      </c>
      <c r="H121" s="11">
        <v>0</v>
      </c>
      <c r="I121" s="11">
        <v>1</v>
      </c>
      <c r="J121" s="11">
        <f t="shared" si="5"/>
        <v>1.0344827586206897</v>
      </c>
      <c r="K121" s="11">
        <v>6</v>
      </c>
      <c r="L121" s="12">
        <f t="shared" si="6"/>
        <v>0</v>
      </c>
    </row>
    <row r="122" spans="1:12" x14ac:dyDescent="0.3">
      <c r="A122" s="9" t="s">
        <v>155</v>
      </c>
      <c r="B122" s="10" t="s">
        <v>513</v>
      </c>
      <c r="C122" s="10" t="s">
        <v>22</v>
      </c>
      <c r="D122" s="10" t="s">
        <v>42</v>
      </c>
      <c r="E122" s="10" t="s">
        <v>693</v>
      </c>
      <c r="F122" s="10" t="s">
        <v>694</v>
      </c>
      <c r="G122" s="10" t="s">
        <v>699</v>
      </c>
      <c r="H122" s="11">
        <v>2</v>
      </c>
      <c r="I122" s="11">
        <v>3</v>
      </c>
      <c r="J122" s="11">
        <f t="shared" si="5"/>
        <v>3.103448275862069</v>
      </c>
      <c r="K122" s="11">
        <v>5</v>
      </c>
      <c r="L122" s="12">
        <f t="shared" si="6"/>
        <v>0.55172413793103448</v>
      </c>
    </row>
    <row r="123" spans="1:12" x14ac:dyDescent="0.3">
      <c r="A123" s="9" t="s">
        <v>82</v>
      </c>
      <c r="B123" s="10" t="s">
        <v>451</v>
      </c>
      <c r="C123" s="10" t="s">
        <v>22</v>
      </c>
      <c r="D123" s="10" t="s">
        <v>44</v>
      </c>
      <c r="E123" s="10" t="s">
        <v>693</v>
      </c>
      <c r="F123" s="10" t="s">
        <v>694</v>
      </c>
      <c r="G123" s="10" t="s">
        <v>698</v>
      </c>
      <c r="H123" s="11">
        <v>3</v>
      </c>
      <c r="I123" s="11">
        <v>1</v>
      </c>
      <c r="J123" s="11">
        <f t="shared" si="5"/>
        <v>1.0344827586206897</v>
      </c>
      <c r="K123" s="11">
        <v>6</v>
      </c>
      <c r="L123" s="12">
        <f t="shared" si="6"/>
        <v>-0.65517241379310343</v>
      </c>
    </row>
    <row r="124" spans="1:12" x14ac:dyDescent="0.3">
      <c r="A124" s="9" t="s">
        <v>99</v>
      </c>
      <c r="B124" s="10" t="s">
        <v>468</v>
      </c>
      <c r="C124" s="10" t="s">
        <v>22</v>
      </c>
      <c r="D124" s="10" t="s">
        <v>44</v>
      </c>
      <c r="E124" s="10" t="s">
        <v>693</v>
      </c>
      <c r="F124" s="10" t="s">
        <v>694</v>
      </c>
      <c r="G124" s="10" t="s">
        <v>698</v>
      </c>
      <c r="H124" s="11">
        <v>2</v>
      </c>
      <c r="I124" s="11">
        <v>2</v>
      </c>
      <c r="J124" s="11">
        <f t="shared" si="5"/>
        <v>2.0689655172413794</v>
      </c>
      <c r="K124" s="11">
        <v>6</v>
      </c>
      <c r="L124" s="12">
        <f t="shared" si="6"/>
        <v>3.4482758620689724E-2</v>
      </c>
    </row>
    <row r="125" spans="1:12" x14ac:dyDescent="0.3">
      <c r="A125" s="9" t="s">
        <v>259</v>
      </c>
      <c r="B125" s="10" t="s">
        <v>614</v>
      </c>
      <c r="C125" s="10" t="s">
        <v>20</v>
      </c>
      <c r="D125" s="10" t="s">
        <v>34</v>
      </c>
      <c r="E125" s="10" t="s">
        <v>707</v>
      </c>
      <c r="F125" s="10" t="s">
        <v>694</v>
      </c>
      <c r="G125" s="10" t="s">
        <v>697</v>
      </c>
      <c r="H125" s="11">
        <v>0</v>
      </c>
      <c r="I125" s="11">
        <v>0</v>
      </c>
      <c r="J125" s="11">
        <f t="shared" si="5"/>
        <v>0</v>
      </c>
      <c r="K125" s="11">
        <v>0</v>
      </c>
      <c r="L125" s="12">
        <f t="shared" si="6"/>
        <v>0</v>
      </c>
    </row>
    <row r="126" spans="1:12" x14ac:dyDescent="0.3">
      <c r="A126" s="9" t="s">
        <v>80</v>
      </c>
      <c r="B126" s="10" t="s">
        <v>449</v>
      </c>
      <c r="C126" s="10" t="s">
        <v>22</v>
      </c>
      <c r="D126" s="10" t="s">
        <v>28</v>
      </c>
      <c r="E126" s="10" t="s">
        <v>693</v>
      </c>
      <c r="F126" s="10" t="s">
        <v>694</v>
      </c>
      <c r="G126" s="10" t="s">
        <v>695</v>
      </c>
      <c r="H126" s="11">
        <v>2</v>
      </c>
      <c r="I126" s="11">
        <v>0</v>
      </c>
      <c r="J126" s="11">
        <f t="shared" si="5"/>
        <v>0</v>
      </c>
      <c r="K126" s="11">
        <v>10</v>
      </c>
      <c r="L126" s="12">
        <f t="shared" si="6"/>
        <v>-1</v>
      </c>
    </row>
    <row r="127" spans="1:12" x14ac:dyDescent="0.3">
      <c r="A127" s="9" t="s">
        <v>153</v>
      </c>
      <c r="B127" s="10" t="s">
        <v>511</v>
      </c>
      <c r="C127" s="10" t="s">
        <v>22</v>
      </c>
      <c r="D127" s="10" t="s">
        <v>46</v>
      </c>
      <c r="E127" s="10" t="s">
        <v>693</v>
      </c>
      <c r="F127" s="10" t="s">
        <v>694</v>
      </c>
      <c r="G127" s="10" t="s">
        <v>700</v>
      </c>
      <c r="H127" s="11">
        <v>3</v>
      </c>
      <c r="I127" s="11">
        <v>4</v>
      </c>
      <c r="J127" s="11">
        <f t="shared" si="5"/>
        <v>4.1379310344827589</v>
      </c>
      <c r="K127" s="11">
        <v>10</v>
      </c>
      <c r="L127" s="12">
        <f t="shared" si="6"/>
        <v>0.3793103448275863</v>
      </c>
    </row>
    <row r="128" spans="1:12" x14ac:dyDescent="0.3">
      <c r="A128" s="9" t="s">
        <v>152</v>
      </c>
      <c r="B128" s="10" t="s">
        <v>510</v>
      </c>
      <c r="C128" s="10" t="s">
        <v>22</v>
      </c>
      <c r="D128" s="10" t="s">
        <v>46</v>
      </c>
      <c r="E128" s="10" t="s">
        <v>693</v>
      </c>
      <c r="F128" s="10" t="s">
        <v>694</v>
      </c>
      <c r="G128" s="10" t="s">
        <v>700</v>
      </c>
      <c r="H128" s="11">
        <v>3</v>
      </c>
      <c r="I128" s="11">
        <v>2</v>
      </c>
      <c r="J128" s="11">
        <f t="shared" si="5"/>
        <v>2.0689655172413794</v>
      </c>
      <c r="K128" s="11">
        <v>11</v>
      </c>
      <c r="L128" s="12">
        <f t="shared" si="6"/>
        <v>-0.31034482758620685</v>
      </c>
    </row>
    <row r="129" spans="1:12" x14ac:dyDescent="0.3">
      <c r="A129" s="9" t="s">
        <v>89</v>
      </c>
      <c r="B129" s="10" t="s">
        <v>458</v>
      </c>
      <c r="C129" s="10" t="s">
        <v>22</v>
      </c>
      <c r="D129" s="10" t="s">
        <v>40</v>
      </c>
      <c r="E129" s="10" t="s">
        <v>693</v>
      </c>
      <c r="F129" s="10" t="s">
        <v>694</v>
      </c>
      <c r="G129" s="10" t="s">
        <v>698</v>
      </c>
      <c r="H129" s="11">
        <v>3</v>
      </c>
      <c r="I129" s="11">
        <v>1</v>
      </c>
      <c r="J129" s="11">
        <f t="shared" si="5"/>
        <v>1.0344827586206897</v>
      </c>
      <c r="K129" s="11">
        <v>8</v>
      </c>
      <c r="L129" s="12">
        <f t="shared" si="6"/>
        <v>-0.65517241379310343</v>
      </c>
    </row>
    <row r="130" spans="1:12" x14ac:dyDescent="0.3">
      <c r="A130" s="9" t="s">
        <v>96</v>
      </c>
      <c r="B130" s="10" t="s">
        <v>465</v>
      </c>
      <c r="C130" s="10" t="s">
        <v>22</v>
      </c>
      <c r="D130" s="10" t="s">
        <v>40</v>
      </c>
      <c r="E130" s="10" t="s">
        <v>693</v>
      </c>
      <c r="F130" s="10" t="s">
        <v>694</v>
      </c>
      <c r="G130" s="10" t="s">
        <v>698</v>
      </c>
      <c r="H130" s="11">
        <v>1</v>
      </c>
      <c r="I130" s="11">
        <v>1</v>
      </c>
      <c r="J130" s="11">
        <f t="shared" si="5"/>
        <v>1.0344827586206897</v>
      </c>
      <c r="K130" s="11">
        <v>15</v>
      </c>
      <c r="L130" s="12">
        <f t="shared" si="6"/>
        <v>3.4482758620689724E-2</v>
      </c>
    </row>
    <row r="131" spans="1:12" x14ac:dyDescent="0.3">
      <c r="A131" s="9" t="s">
        <v>110</v>
      </c>
      <c r="B131" s="10" t="s">
        <v>479</v>
      </c>
      <c r="C131" s="10" t="s">
        <v>22</v>
      </c>
      <c r="D131" s="10" t="s">
        <v>44</v>
      </c>
      <c r="E131" s="10" t="s">
        <v>693</v>
      </c>
      <c r="F131" s="10" t="s">
        <v>694</v>
      </c>
      <c r="G131" s="10" t="s">
        <v>698</v>
      </c>
      <c r="H131" s="11">
        <v>1</v>
      </c>
      <c r="I131" s="11">
        <v>0</v>
      </c>
      <c r="J131" s="11">
        <f t="shared" si="5"/>
        <v>0</v>
      </c>
      <c r="K131" s="11">
        <v>6</v>
      </c>
      <c r="L131" s="12">
        <f t="shared" si="6"/>
        <v>-1</v>
      </c>
    </row>
    <row r="132" spans="1:12" x14ac:dyDescent="0.3">
      <c r="A132" s="9" t="s">
        <v>108</v>
      </c>
      <c r="B132" s="10" t="s">
        <v>477</v>
      </c>
      <c r="C132" s="10" t="s">
        <v>22</v>
      </c>
      <c r="D132" s="10" t="s">
        <v>40</v>
      </c>
      <c r="E132" s="10" t="s">
        <v>693</v>
      </c>
      <c r="F132" s="10" t="s">
        <v>694</v>
      </c>
      <c r="G132" s="10" t="s">
        <v>698</v>
      </c>
      <c r="H132" s="11">
        <v>0</v>
      </c>
      <c r="I132" s="11">
        <v>1</v>
      </c>
      <c r="J132" s="11">
        <f t="shared" si="5"/>
        <v>1.0344827586206897</v>
      </c>
      <c r="K132" s="11">
        <v>7</v>
      </c>
      <c r="L132" s="12">
        <f t="shared" si="6"/>
        <v>0</v>
      </c>
    </row>
    <row r="133" spans="1:12" x14ac:dyDescent="0.3">
      <c r="A133" s="9" t="s">
        <v>91</v>
      </c>
      <c r="B133" s="10" t="s">
        <v>460</v>
      </c>
      <c r="C133" s="10" t="s">
        <v>20</v>
      </c>
      <c r="D133" s="10" t="s">
        <v>38</v>
      </c>
      <c r="E133" s="10" t="s">
        <v>693</v>
      </c>
      <c r="F133" s="10" t="s">
        <v>694</v>
      </c>
      <c r="G133" s="10" t="s">
        <v>696</v>
      </c>
      <c r="H133" s="11">
        <v>1</v>
      </c>
      <c r="I133" s="11">
        <v>1</v>
      </c>
      <c r="J133" s="11">
        <f t="shared" ref="J133:J196" si="7">IFERROR((I133/$A$1*$B$1),0)</f>
        <v>1.0344827586206897</v>
      </c>
      <c r="K133" s="11">
        <v>8</v>
      </c>
      <c r="L133" s="12">
        <f t="shared" si="6"/>
        <v>3.4482758620689724E-2</v>
      </c>
    </row>
    <row r="134" spans="1:12" x14ac:dyDescent="0.3">
      <c r="A134" s="9" t="s">
        <v>114</v>
      </c>
      <c r="B134" s="10" t="s">
        <v>483</v>
      </c>
      <c r="C134" s="10" t="s">
        <v>22</v>
      </c>
      <c r="D134" s="10" t="s">
        <v>44</v>
      </c>
      <c r="E134" s="10" t="s">
        <v>693</v>
      </c>
      <c r="F134" s="10" t="s">
        <v>694</v>
      </c>
      <c r="G134" s="10" t="s">
        <v>698</v>
      </c>
      <c r="H134" s="11">
        <v>1</v>
      </c>
      <c r="I134" s="11">
        <v>1</v>
      </c>
      <c r="J134" s="11">
        <f t="shared" si="7"/>
        <v>1.0344827586206897</v>
      </c>
      <c r="K134" s="11">
        <v>10</v>
      </c>
      <c r="L134" s="12">
        <f t="shared" ref="L134:L197" si="8">IFERROR((J134-H134)/H134,0)</f>
        <v>3.4482758620689724E-2</v>
      </c>
    </row>
    <row r="135" spans="1:12" x14ac:dyDescent="0.3">
      <c r="A135" s="9" t="s">
        <v>156</v>
      </c>
      <c r="B135" s="10" t="s">
        <v>514</v>
      </c>
      <c r="C135" s="10" t="s">
        <v>22</v>
      </c>
      <c r="D135" s="10" t="s">
        <v>46</v>
      </c>
      <c r="E135" s="10" t="s">
        <v>693</v>
      </c>
      <c r="F135" s="10" t="s">
        <v>694</v>
      </c>
      <c r="G135" s="10" t="s">
        <v>700</v>
      </c>
      <c r="H135" s="11">
        <v>3</v>
      </c>
      <c r="I135" s="11">
        <v>2</v>
      </c>
      <c r="J135" s="11">
        <f t="shared" si="7"/>
        <v>2.0689655172413794</v>
      </c>
      <c r="K135" s="11">
        <v>12</v>
      </c>
      <c r="L135" s="12">
        <f t="shared" si="8"/>
        <v>-0.31034482758620685</v>
      </c>
    </row>
    <row r="136" spans="1:12" x14ac:dyDescent="0.3">
      <c r="A136" s="9" t="s">
        <v>71</v>
      </c>
      <c r="B136" s="10" t="s">
        <v>440</v>
      </c>
      <c r="C136" s="10" t="s">
        <v>20</v>
      </c>
      <c r="D136" s="10" t="s">
        <v>36</v>
      </c>
      <c r="E136" s="10" t="s">
        <v>693</v>
      </c>
      <c r="F136" s="10" t="s">
        <v>694</v>
      </c>
      <c r="G136" s="10" t="s">
        <v>697</v>
      </c>
      <c r="H136" s="11">
        <v>3</v>
      </c>
      <c r="I136" s="11">
        <v>1</v>
      </c>
      <c r="J136" s="11">
        <f t="shared" si="7"/>
        <v>1.0344827586206897</v>
      </c>
      <c r="K136" s="11">
        <v>10</v>
      </c>
      <c r="L136" s="12">
        <f t="shared" si="8"/>
        <v>-0.65517241379310343</v>
      </c>
    </row>
    <row r="137" spans="1:12" x14ac:dyDescent="0.3">
      <c r="A137" s="9" t="s">
        <v>112</v>
      </c>
      <c r="B137" s="10" t="s">
        <v>481</v>
      </c>
      <c r="C137" s="10" t="s">
        <v>20</v>
      </c>
      <c r="D137" s="10" t="s">
        <v>30</v>
      </c>
      <c r="E137" s="10" t="s">
        <v>693</v>
      </c>
      <c r="F137" s="10" t="s">
        <v>694</v>
      </c>
      <c r="G137" s="10" t="s">
        <v>696</v>
      </c>
      <c r="H137" s="11">
        <v>4</v>
      </c>
      <c r="I137" s="11">
        <v>1</v>
      </c>
      <c r="J137" s="11">
        <f t="shared" si="7"/>
        <v>1.0344827586206897</v>
      </c>
      <c r="K137" s="11">
        <v>5</v>
      </c>
      <c r="L137" s="12">
        <f t="shared" si="8"/>
        <v>-0.74137931034482762</v>
      </c>
    </row>
    <row r="138" spans="1:12" x14ac:dyDescent="0.3">
      <c r="A138" s="9" t="s">
        <v>79</v>
      </c>
      <c r="B138" s="10" t="s">
        <v>448</v>
      </c>
      <c r="C138" s="10" t="s">
        <v>22</v>
      </c>
      <c r="D138" s="10" t="s">
        <v>40</v>
      </c>
      <c r="E138" s="10" t="s">
        <v>693</v>
      </c>
      <c r="F138" s="10" t="s">
        <v>694</v>
      </c>
      <c r="G138" s="10" t="s">
        <v>698</v>
      </c>
      <c r="H138" s="11">
        <v>6</v>
      </c>
      <c r="I138" s="11">
        <v>6</v>
      </c>
      <c r="J138" s="11">
        <f t="shared" si="7"/>
        <v>6.2068965517241379</v>
      </c>
      <c r="K138" s="11">
        <v>19</v>
      </c>
      <c r="L138" s="12">
        <f t="shared" si="8"/>
        <v>3.4482758620689648E-2</v>
      </c>
    </row>
    <row r="139" spans="1:12" x14ac:dyDescent="0.3">
      <c r="A139" s="9" t="s">
        <v>154</v>
      </c>
      <c r="B139" s="10" t="s">
        <v>512</v>
      </c>
      <c r="C139" s="10" t="s">
        <v>22</v>
      </c>
      <c r="D139" s="10" t="s">
        <v>46</v>
      </c>
      <c r="E139" s="10" t="s">
        <v>693</v>
      </c>
      <c r="F139" s="10" t="s">
        <v>694</v>
      </c>
      <c r="G139" s="10" t="s">
        <v>700</v>
      </c>
      <c r="H139" s="11">
        <v>5</v>
      </c>
      <c r="I139" s="11">
        <v>6</v>
      </c>
      <c r="J139" s="11">
        <f t="shared" si="7"/>
        <v>6.2068965517241379</v>
      </c>
      <c r="K139" s="11">
        <v>26</v>
      </c>
      <c r="L139" s="12">
        <f t="shared" si="8"/>
        <v>0.24137931034482757</v>
      </c>
    </row>
    <row r="140" spans="1:12" x14ac:dyDescent="0.3">
      <c r="A140" s="9" t="s">
        <v>73</v>
      </c>
      <c r="B140" s="10" t="s">
        <v>442</v>
      </c>
      <c r="C140" s="10" t="s">
        <v>22</v>
      </c>
      <c r="D140" s="10" t="s">
        <v>44</v>
      </c>
      <c r="E140" s="10" t="s">
        <v>693</v>
      </c>
      <c r="F140" s="10" t="s">
        <v>694</v>
      </c>
      <c r="G140" s="10" t="s">
        <v>699</v>
      </c>
      <c r="H140" s="11">
        <v>6</v>
      </c>
      <c r="I140" s="11">
        <v>10</v>
      </c>
      <c r="J140" s="11">
        <f t="shared" si="7"/>
        <v>10.344827586206897</v>
      </c>
      <c r="K140" s="11">
        <v>8</v>
      </c>
      <c r="L140" s="12">
        <f t="shared" si="8"/>
        <v>0.72413793103448276</v>
      </c>
    </row>
    <row r="141" spans="1:12" x14ac:dyDescent="0.3">
      <c r="A141" s="9" t="s">
        <v>106</v>
      </c>
      <c r="B141" s="10" t="s">
        <v>475</v>
      </c>
      <c r="C141" s="10" t="s">
        <v>20</v>
      </c>
      <c r="D141" s="10" t="s">
        <v>38</v>
      </c>
      <c r="E141" s="10" t="s">
        <v>693</v>
      </c>
      <c r="F141" s="10" t="s">
        <v>694</v>
      </c>
      <c r="G141" s="10" t="s">
        <v>696</v>
      </c>
      <c r="H141" s="11">
        <v>2</v>
      </c>
      <c r="I141" s="11">
        <v>2</v>
      </c>
      <c r="J141" s="11">
        <f t="shared" si="7"/>
        <v>2.0689655172413794</v>
      </c>
      <c r="K141" s="11">
        <v>9</v>
      </c>
      <c r="L141" s="12">
        <f t="shared" si="8"/>
        <v>3.4482758620689724E-2</v>
      </c>
    </row>
    <row r="142" spans="1:12" x14ac:dyDescent="0.3">
      <c r="A142" s="9" t="s">
        <v>39</v>
      </c>
      <c r="B142" s="10" t="s">
        <v>415</v>
      </c>
      <c r="C142" s="10" t="s">
        <v>22</v>
      </c>
      <c r="D142" s="10" t="s">
        <v>42</v>
      </c>
      <c r="E142" s="10" t="s">
        <v>693</v>
      </c>
      <c r="F142" s="10" t="s">
        <v>694</v>
      </c>
      <c r="G142" s="10" t="s">
        <v>699</v>
      </c>
      <c r="H142" s="11">
        <v>1</v>
      </c>
      <c r="I142" s="11">
        <v>2</v>
      </c>
      <c r="J142" s="11">
        <f t="shared" si="7"/>
        <v>2.0689655172413794</v>
      </c>
      <c r="K142" s="11">
        <v>7</v>
      </c>
      <c r="L142" s="12">
        <f t="shared" si="8"/>
        <v>1.0689655172413794</v>
      </c>
    </row>
    <row r="143" spans="1:12" x14ac:dyDescent="0.3">
      <c r="A143" s="9" t="s">
        <v>105</v>
      </c>
      <c r="B143" s="10" t="s">
        <v>474</v>
      </c>
      <c r="C143" s="10" t="s">
        <v>20</v>
      </c>
      <c r="D143" s="10" t="s">
        <v>32</v>
      </c>
      <c r="E143" s="10" t="s">
        <v>693</v>
      </c>
      <c r="F143" s="10" t="s">
        <v>694</v>
      </c>
      <c r="G143" s="10" t="s">
        <v>696</v>
      </c>
      <c r="H143" s="11">
        <v>4</v>
      </c>
      <c r="I143" s="11">
        <v>2</v>
      </c>
      <c r="J143" s="11">
        <f t="shared" si="7"/>
        <v>2.0689655172413794</v>
      </c>
      <c r="K143" s="11">
        <v>11</v>
      </c>
      <c r="L143" s="12">
        <f t="shared" si="8"/>
        <v>-0.48275862068965514</v>
      </c>
    </row>
    <row r="144" spans="1:12" x14ac:dyDescent="0.3">
      <c r="A144" s="9" t="s">
        <v>98</v>
      </c>
      <c r="B144" s="10" t="s">
        <v>467</v>
      </c>
      <c r="C144" s="10" t="s">
        <v>20</v>
      </c>
      <c r="D144" s="10" t="s">
        <v>30</v>
      </c>
      <c r="E144" s="10" t="s">
        <v>693</v>
      </c>
      <c r="F144" s="10" t="s">
        <v>694</v>
      </c>
      <c r="G144" s="10" t="s">
        <v>696</v>
      </c>
      <c r="H144" s="11">
        <v>1</v>
      </c>
      <c r="I144" s="11">
        <v>2</v>
      </c>
      <c r="J144" s="11">
        <f t="shared" si="7"/>
        <v>2.0689655172413794</v>
      </c>
      <c r="K144" s="11">
        <v>8</v>
      </c>
      <c r="L144" s="12">
        <f t="shared" si="8"/>
        <v>1.0689655172413794</v>
      </c>
    </row>
    <row r="145" spans="1:12" x14ac:dyDescent="0.3">
      <c r="A145" s="9" t="s">
        <v>113</v>
      </c>
      <c r="B145" s="10" t="s">
        <v>482</v>
      </c>
      <c r="C145" s="10" t="s">
        <v>20</v>
      </c>
      <c r="D145" s="10" t="s">
        <v>30</v>
      </c>
      <c r="E145" s="10" t="s">
        <v>693</v>
      </c>
      <c r="F145" s="10" t="s">
        <v>694</v>
      </c>
      <c r="G145" s="10" t="s">
        <v>696</v>
      </c>
      <c r="H145" s="11">
        <v>1</v>
      </c>
      <c r="I145" s="11">
        <v>1</v>
      </c>
      <c r="J145" s="11">
        <f t="shared" si="7"/>
        <v>1.0344827586206897</v>
      </c>
      <c r="K145" s="11">
        <v>7</v>
      </c>
      <c r="L145" s="12">
        <f t="shared" si="8"/>
        <v>3.4482758620689724E-2</v>
      </c>
    </row>
    <row r="146" spans="1:12" x14ac:dyDescent="0.3">
      <c r="A146" s="9" t="s">
        <v>157</v>
      </c>
      <c r="B146" s="10" t="s">
        <v>515</v>
      </c>
      <c r="C146" s="10" t="s">
        <v>20</v>
      </c>
      <c r="D146" s="10" t="s">
        <v>32</v>
      </c>
      <c r="E146" s="10" t="s">
        <v>693</v>
      </c>
      <c r="F146" s="10" t="s">
        <v>694</v>
      </c>
      <c r="G146" s="10" t="s">
        <v>696</v>
      </c>
      <c r="H146" s="11">
        <v>3</v>
      </c>
      <c r="I146" s="11">
        <v>2</v>
      </c>
      <c r="J146" s="11">
        <f t="shared" si="7"/>
        <v>2.0689655172413794</v>
      </c>
      <c r="K146" s="11">
        <v>8</v>
      </c>
      <c r="L146" s="12">
        <f t="shared" si="8"/>
        <v>-0.31034482758620685</v>
      </c>
    </row>
    <row r="147" spans="1:12" x14ac:dyDescent="0.3">
      <c r="A147" s="9" t="s">
        <v>111</v>
      </c>
      <c r="B147" s="10" t="s">
        <v>480</v>
      </c>
      <c r="C147" s="10" t="s">
        <v>20</v>
      </c>
      <c r="D147" s="10" t="s">
        <v>38</v>
      </c>
      <c r="E147" s="10" t="s">
        <v>693</v>
      </c>
      <c r="F147" s="10" t="s">
        <v>694</v>
      </c>
      <c r="G147" s="10" t="s">
        <v>696</v>
      </c>
      <c r="H147" s="11">
        <v>2</v>
      </c>
      <c r="I147" s="11">
        <v>1</v>
      </c>
      <c r="J147" s="11">
        <f t="shared" si="7"/>
        <v>1.0344827586206897</v>
      </c>
      <c r="K147" s="11">
        <v>12</v>
      </c>
      <c r="L147" s="12">
        <f t="shared" si="8"/>
        <v>-0.48275862068965514</v>
      </c>
    </row>
    <row r="148" spans="1:12" x14ac:dyDescent="0.3">
      <c r="A148" s="9" t="s">
        <v>75</v>
      </c>
      <c r="B148" s="10" t="s">
        <v>444</v>
      </c>
      <c r="C148" s="10" t="s">
        <v>22</v>
      </c>
      <c r="D148" s="10" t="s">
        <v>28</v>
      </c>
      <c r="E148" s="10" t="s">
        <v>693</v>
      </c>
      <c r="F148" s="10" t="s">
        <v>694</v>
      </c>
      <c r="G148" s="10" t="s">
        <v>695</v>
      </c>
      <c r="H148" s="11">
        <v>7</v>
      </c>
      <c r="I148" s="11">
        <v>3</v>
      </c>
      <c r="J148" s="11">
        <f t="shared" si="7"/>
        <v>3.103448275862069</v>
      </c>
      <c r="K148" s="11">
        <v>26</v>
      </c>
      <c r="L148" s="12">
        <f t="shared" si="8"/>
        <v>-0.55665024630541871</v>
      </c>
    </row>
    <row r="149" spans="1:12" x14ac:dyDescent="0.3">
      <c r="A149" s="9" t="s">
        <v>109</v>
      </c>
      <c r="B149" s="10" t="s">
        <v>478</v>
      </c>
      <c r="C149" s="10" t="s">
        <v>20</v>
      </c>
      <c r="D149" s="10" t="s">
        <v>30</v>
      </c>
      <c r="E149" s="10" t="s">
        <v>693</v>
      </c>
      <c r="F149" s="10" t="s">
        <v>694</v>
      </c>
      <c r="G149" s="10" t="s">
        <v>696</v>
      </c>
      <c r="H149" s="11">
        <v>4</v>
      </c>
      <c r="I149" s="11">
        <v>2</v>
      </c>
      <c r="J149" s="11">
        <f t="shared" si="7"/>
        <v>2.0689655172413794</v>
      </c>
      <c r="K149" s="11">
        <v>13</v>
      </c>
      <c r="L149" s="12">
        <f t="shared" si="8"/>
        <v>-0.48275862068965514</v>
      </c>
    </row>
    <row r="150" spans="1:12" x14ac:dyDescent="0.3">
      <c r="A150" s="9" t="s">
        <v>90</v>
      </c>
      <c r="B150" s="10" t="s">
        <v>459</v>
      </c>
      <c r="C150" s="10" t="s">
        <v>22</v>
      </c>
      <c r="D150" s="10" t="s">
        <v>42</v>
      </c>
      <c r="E150" s="10" t="s">
        <v>693</v>
      </c>
      <c r="F150" s="10" t="s">
        <v>694</v>
      </c>
      <c r="G150" s="10" t="s">
        <v>699</v>
      </c>
      <c r="H150" s="11">
        <v>4</v>
      </c>
      <c r="I150" s="11">
        <v>3</v>
      </c>
      <c r="J150" s="11">
        <f t="shared" si="7"/>
        <v>3.103448275862069</v>
      </c>
      <c r="K150" s="11">
        <v>10</v>
      </c>
      <c r="L150" s="12">
        <f t="shared" si="8"/>
        <v>-0.22413793103448276</v>
      </c>
    </row>
    <row r="151" spans="1:12" x14ac:dyDescent="0.3">
      <c r="A151" s="9" t="s">
        <v>102</v>
      </c>
      <c r="B151" s="10" t="s">
        <v>471</v>
      </c>
      <c r="C151" s="10" t="s">
        <v>22</v>
      </c>
      <c r="D151" s="10" t="s">
        <v>28</v>
      </c>
      <c r="E151" s="10" t="s">
        <v>693</v>
      </c>
      <c r="F151" s="10" t="s">
        <v>694</v>
      </c>
      <c r="G151" s="10" t="s">
        <v>695</v>
      </c>
      <c r="H151" s="11">
        <v>4</v>
      </c>
      <c r="I151" s="11">
        <v>0</v>
      </c>
      <c r="J151" s="11">
        <f t="shared" si="7"/>
        <v>0</v>
      </c>
      <c r="K151" s="11">
        <v>8</v>
      </c>
      <c r="L151" s="12">
        <f t="shared" si="8"/>
        <v>-1</v>
      </c>
    </row>
    <row r="152" spans="1:12" x14ac:dyDescent="0.3">
      <c r="A152" s="9" t="s">
        <v>191</v>
      </c>
      <c r="B152" s="10" t="s">
        <v>549</v>
      </c>
      <c r="C152" s="10" t="s">
        <v>118</v>
      </c>
      <c r="D152" s="10" t="s">
        <v>128</v>
      </c>
      <c r="E152" s="10" t="s">
        <v>704</v>
      </c>
      <c r="F152" s="10" t="s">
        <v>694</v>
      </c>
      <c r="G152" s="10" t="s">
        <v>698</v>
      </c>
      <c r="H152" s="11">
        <v>0</v>
      </c>
      <c r="I152" s="11">
        <v>0</v>
      </c>
      <c r="J152" s="11">
        <f t="shared" si="7"/>
        <v>0</v>
      </c>
      <c r="K152" s="11">
        <v>6</v>
      </c>
      <c r="L152" s="12">
        <f t="shared" si="8"/>
        <v>0</v>
      </c>
    </row>
    <row r="153" spans="1:12" x14ac:dyDescent="0.3">
      <c r="A153" s="9" t="s">
        <v>260</v>
      </c>
      <c r="B153" s="10" t="s">
        <v>615</v>
      </c>
      <c r="C153" s="10" t="s">
        <v>22</v>
      </c>
      <c r="D153" s="10" t="s">
        <v>28</v>
      </c>
      <c r="E153" s="10" t="s">
        <v>709</v>
      </c>
      <c r="F153" s="10" t="s">
        <v>694</v>
      </c>
      <c r="G153" s="10" t="s">
        <v>695</v>
      </c>
      <c r="H153" s="11">
        <v>0</v>
      </c>
      <c r="I153" s="11">
        <v>0</v>
      </c>
      <c r="J153" s="11">
        <f t="shared" si="7"/>
        <v>0</v>
      </c>
      <c r="K153" s="11">
        <v>0</v>
      </c>
      <c r="L153" s="12">
        <f t="shared" si="8"/>
        <v>0</v>
      </c>
    </row>
    <row r="154" spans="1:12" x14ac:dyDescent="0.3">
      <c r="A154" s="9" t="s">
        <v>261</v>
      </c>
      <c r="B154" s="10" t="s">
        <v>616</v>
      </c>
      <c r="C154" s="10" t="s">
        <v>22</v>
      </c>
      <c r="D154" s="10" t="s">
        <v>40</v>
      </c>
      <c r="E154" s="10" t="s">
        <v>709</v>
      </c>
      <c r="F154" s="10" t="s">
        <v>694</v>
      </c>
      <c r="G154" s="10" t="s">
        <v>698</v>
      </c>
      <c r="H154" s="11">
        <v>0</v>
      </c>
      <c r="I154" s="11">
        <v>0</v>
      </c>
      <c r="J154" s="11">
        <f t="shared" si="7"/>
        <v>0</v>
      </c>
      <c r="K154" s="11">
        <v>0</v>
      </c>
      <c r="L154" s="12">
        <f t="shared" si="8"/>
        <v>0</v>
      </c>
    </row>
    <row r="155" spans="1:12" x14ac:dyDescent="0.3">
      <c r="A155" s="9" t="s">
        <v>262</v>
      </c>
      <c r="B155" s="10" t="s">
        <v>617</v>
      </c>
      <c r="C155" s="10" t="s">
        <v>20</v>
      </c>
      <c r="D155" s="10" t="s">
        <v>34</v>
      </c>
      <c r="E155" s="10" t="s">
        <v>707</v>
      </c>
      <c r="F155" s="10" t="s">
        <v>694</v>
      </c>
      <c r="G155" s="10" t="s">
        <v>697</v>
      </c>
      <c r="H155" s="11">
        <v>0</v>
      </c>
      <c r="I155" s="11">
        <v>0</v>
      </c>
      <c r="J155" s="11">
        <f t="shared" si="7"/>
        <v>0</v>
      </c>
      <c r="K155" s="11">
        <v>0</v>
      </c>
      <c r="L155" s="12">
        <f t="shared" si="8"/>
        <v>0</v>
      </c>
    </row>
    <row r="156" spans="1:12" x14ac:dyDescent="0.3">
      <c r="A156" s="9" t="s">
        <v>263</v>
      </c>
      <c r="B156" s="10" t="s">
        <v>618</v>
      </c>
      <c r="C156" s="10" t="s">
        <v>22</v>
      </c>
      <c r="D156" s="10" t="s">
        <v>44</v>
      </c>
      <c r="E156" s="10" t="s">
        <v>709</v>
      </c>
      <c r="F156" s="10" t="s">
        <v>694</v>
      </c>
      <c r="G156" s="10" t="s">
        <v>698</v>
      </c>
      <c r="H156" s="11">
        <v>0</v>
      </c>
      <c r="I156" s="11">
        <v>0</v>
      </c>
      <c r="J156" s="11">
        <f t="shared" si="7"/>
        <v>0</v>
      </c>
      <c r="K156" s="11">
        <v>0</v>
      </c>
      <c r="L156" s="12">
        <f t="shared" si="8"/>
        <v>0</v>
      </c>
    </row>
    <row r="157" spans="1:12" x14ac:dyDescent="0.3">
      <c r="A157" s="9" t="s">
        <v>264</v>
      </c>
      <c r="B157" s="10" t="s">
        <v>619</v>
      </c>
      <c r="C157" s="10" t="s">
        <v>20</v>
      </c>
      <c r="D157" s="10" t="s">
        <v>38</v>
      </c>
      <c r="E157" s="10" t="s">
        <v>709</v>
      </c>
      <c r="F157" s="10" t="s">
        <v>694</v>
      </c>
      <c r="G157" s="10" t="s">
        <v>696</v>
      </c>
      <c r="H157" s="11">
        <v>0</v>
      </c>
      <c r="I157" s="11">
        <v>0</v>
      </c>
      <c r="J157" s="11">
        <f t="shared" si="7"/>
        <v>0</v>
      </c>
      <c r="K157" s="11">
        <v>0</v>
      </c>
      <c r="L157" s="12">
        <f t="shared" si="8"/>
        <v>0</v>
      </c>
    </row>
    <row r="158" spans="1:12" x14ac:dyDescent="0.3">
      <c r="A158" s="9" t="s">
        <v>265</v>
      </c>
      <c r="B158" s="10" t="s">
        <v>620</v>
      </c>
      <c r="C158" s="10" t="s">
        <v>22</v>
      </c>
      <c r="D158" s="10" t="s">
        <v>42</v>
      </c>
      <c r="E158" s="10" t="s">
        <v>709</v>
      </c>
      <c r="F158" s="10" t="s">
        <v>694</v>
      </c>
      <c r="G158" s="10" t="s">
        <v>699</v>
      </c>
      <c r="H158" s="11">
        <v>0</v>
      </c>
      <c r="I158" s="11">
        <v>0</v>
      </c>
      <c r="J158" s="11">
        <f t="shared" si="7"/>
        <v>0</v>
      </c>
      <c r="K158" s="11">
        <v>0</v>
      </c>
      <c r="L158" s="12">
        <f t="shared" si="8"/>
        <v>0</v>
      </c>
    </row>
    <row r="159" spans="1:12" x14ac:dyDescent="0.3">
      <c r="A159" s="9" t="s">
        <v>266</v>
      </c>
      <c r="B159" s="10" t="s">
        <v>621</v>
      </c>
      <c r="C159" s="10" t="s">
        <v>20</v>
      </c>
      <c r="D159" s="10" t="s">
        <v>32</v>
      </c>
      <c r="E159" s="10" t="s">
        <v>709</v>
      </c>
      <c r="F159" s="10" t="s">
        <v>694</v>
      </c>
      <c r="G159" s="10" t="s">
        <v>696</v>
      </c>
      <c r="H159" s="11">
        <v>0</v>
      </c>
      <c r="I159" s="11">
        <v>0</v>
      </c>
      <c r="J159" s="11">
        <f t="shared" si="7"/>
        <v>0</v>
      </c>
      <c r="K159" s="11">
        <v>0</v>
      </c>
      <c r="L159" s="12">
        <f t="shared" si="8"/>
        <v>0</v>
      </c>
    </row>
    <row r="160" spans="1:12" x14ac:dyDescent="0.3">
      <c r="A160" s="9" t="s">
        <v>267</v>
      </c>
      <c r="B160" s="10" t="s">
        <v>622</v>
      </c>
      <c r="C160" s="10" t="s">
        <v>22</v>
      </c>
      <c r="D160" s="10" t="s">
        <v>42</v>
      </c>
      <c r="E160" s="10" t="s">
        <v>709</v>
      </c>
      <c r="F160" s="10" t="s">
        <v>694</v>
      </c>
      <c r="G160" s="10" t="s">
        <v>699</v>
      </c>
      <c r="H160" s="11">
        <v>0</v>
      </c>
      <c r="I160" s="11">
        <v>0</v>
      </c>
      <c r="J160" s="11">
        <f t="shared" si="7"/>
        <v>0</v>
      </c>
      <c r="K160" s="11">
        <v>0</v>
      </c>
      <c r="L160" s="12">
        <f t="shared" si="8"/>
        <v>0</v>
      </c>
    </row>
    <row r="161" spans="1:12" x14ac:dyDescent="0.3">
      <c r="A161" s="9" t="s">
        <v>268</v>
      </c>
      <c r="B161" s="10" t="s">
        <v>623</v>
      </c>
      <c r="C161" s="10" t="s">
        <v>22</v>
      </c>
      <c r="D161" s="10" t="s">
        <v>28</v>
      </c>
      <c r="E161" s="10" t="s">
        <v>709</v>
      </c>
      <c r="F161" s="10" t="s">
        <v>694</v>
      </c>
      <c r="G161" s="10" t="s">
        <v>695</v>
      </c>
      <c r="H161" s="11">
        <v>0</v>
      </c>
      <c r="I161" s="11">
        <v>0</v>
      </c>
      <c r="J161" s="11">
        <f t="shared" si="7"/>
        <v>0</v>
      </c>
      <c r="K161" s="11">
        <v>0</v>
      </c>
      <c r="L161" s="12">
        <f t="shared" si="8"/>
        <v>0</v>
      </c>
    </row>
    <row r="162" spans="1:12" x14ac:dyDescent="0.3">
      <c r="A162" s="9" t="s">
        <v>158</v>
      </c>
      <c r="B162" s="10" t="s">
        <v>516</v>
      </c>
      <c r="C162" s="10" t="s">
        <v>22</v>
      </c>
      <c r="D162" s="10" t="s">
        <v>40</v>
      </c>
      <c r="E162" s="10" t="s">
        <v>693</v>
      </c>
      <c r="F162" s="10" t="s">
        <v>694</v>
      </c>
      <c r="G162" s="10" t="s">
        <v>698</v>
      </c>
      <c r="H162" s="11">
        <v>2</v>
      </c>
      <c r="I162" s="11">
        <v>1</v>
      </c>
      <c r="J162" s="11">
        <f t="shared" si="7"/>
        <v>1.0344827586206897</v>
      </c>
      <c r="K162" s="11">
        <v>7</v>
      </c>
      <c r="L162" s="12">
        <f t="shared" si="8"/>
        <v>-0.48275862068965514</v>
      </c>
    </row>
    <row r="163" spans="1:12" x14ac:dyDescent="0.3">
      <c r="A163" s="9" t="s">
        <v>269</v>
      </c>
      <c r="B163" s="10" t="s">
        <v>624</v>
      </c>
      <c r="C163" s="10" t="s">
        <v>22</v>
      </c>
      <c r="D163" s="10" t="s">
        <v>48</v>
      </c>
      <c r="E163" s="10" t="s">
        <v>709</v>
      </c>
      <c r="F163" s="10" t="s">
        <v>694</v>
      </c>
      <c r="G163" s="10" t="s">
        <v>699</v>
      </c>
      <c r="H163" s="11">
        <v>0</v>
      </c>
      <c r="I163" s="11">
        <v>0</v>
      </c>
      <c r="J163" s="11">
        <f t="shared" si="7"/>
        <v>0</v>
      </c>
      <c r="K163" s="11">
        <v>0</v>
      </c>
      <c r="L163" s="12">
        <f t="shared" si="8"/>
        <v>0</v>
      </c>
    </row>
    <row r="164" spans="1:12" x14ac:dyDescent="0.3">
      <c r="A164" s="9" t="s">
        <v>270</v>
      </c>
      <c r="B164" s="10" t="s">
        <v>625</v>
      </c>
      <c r="C164" s="10" t="s">
        <v>20</v>
      </c>
      <c r="D164" s="10" t="s">
        <v>32</v>
      </c>
      <c r="E164" s="10" t="s">
        <v>709</v>
      </c>
      <c r="F164" s="10" t="s">
        <v>694</v>
      </c>
      <c r="G164" s="10" t="s">
        <v>696</v>
      </c>
      <c r="H164" s="11">
        <v>0</v>
      </c>
      <c r="I164" s="11">
        <v>0</v>
      </c>
      <c r="J164" s="11">
        <f t="shared" si="7"/>
        <v>0</v>
      </c>
      <c r="K164" s="11">
        <v>0</v>
      </c>
      <c r="L164" s="12">
        <f t="shared" si="8"/>
        <v>0</v>
      </c>
    </row>
    <row r="165" spans="1:12" x14ac:dyDescent="0.3">
      <c r="A165" s="9" t="s">
        <v>271</v>
      </c>
      <c r="B165" s="10" t="s">
        <v>626</v>
      </c>
      <c r="C165" s="10" t="s">
        <v>22</v>
      </c>
      <c r="D165" s="10" t="s">
        <v>40</v>
      </c>
      <c r="E165" s="10" t="s">
        <v>709</v>
      </c>
      <c r="F165" s="10" t="s">
        <v>694</v>
      </c>
      <c r="G165" s="10" t="s">
        <v>698</v>
      </c>
      <c r="H165" s="11">
        <v>0</v>
      </c>
      <c r="I165" s="11">
        <v>0</v>
      </c>
      <c r="J165" s="11">
        <f t="shared" si="7"/>
        <v>0</v>
      </c>
      <c r="K165" s="11">
        <v>0</v>
      </c>
      <c r="L165" s="12">
        <f t="shared" si="8"/>
        <v>0</v>
      </c>
    </row>
    <row r="166" spans="1:12" x14ac:dyDescent="0.3">
      <c r="A166" s="9" t="s">
        <v>272</v>
      </c>
      <c r="B166" s="10" t="s">
        <v>627</v>
      </c>
      <c r="C166" s="10" t="s">
        <v>22</v>
      </c>
      <c r="D166" s="10" t="s">
        <v>40</v>
      </c>
      <c r="E166" s="10" t="s">
        <v>709</v>
      </c>
      <c r="F166" s="10" t="s">
        <v>694</v>
      </c>
      <c r="G166" s="10" t="s">
        <v>698</v>
      </c>
      <c r="H166" s="11">
        <v>0</v>
      </c>
      <c r="I166" s="11">
        <v>0</v>
      </c>
      <c r="J166" s="11">
        <f t="shared" si="7"/>
        <v>0</v>
      </c>
      <c r="K166" s="11">
        <v>0</v>
      </c>
      <c r="L166" s="12">
        <f t="shared" si="8"/>
        <v>0</v>
      </c>
    </row>
    <row r="167" spans="1:12" x14ac:dyDescent="0.3">
      <c r="A167" s="9" t="s">
        <v>273</v>
      </c>
      <c r="B167" s="10" t="s">
        <v>628</v>
      </c>
      <c r="C167" s="10" t="s">
        <v>22</v>
      </c>
      <c r="D167" s="10" t="s">
        <v>40</v>
      </c>
      <c r="E167" s="10" t="s">
        <v>709</v>
      </c>
      <c r="F167" s="10" t="s">
        <v>694</v>
      </c>
      <c r="G167" s="10" t="s">
        <v>698</v>
      </c>
      <c r="H167" s="11">
        <v>0</v>
      </c>
      <c r="I167" s="11">
        <v>0</v>
      </c>
      <c r="J167" s="11">
        <f t="shared" si="7"/>
        <v>0</v>
      </c>
      <c r="K167" s="11">
        <v>0</v>
      </c>
      <c r="L167" s="12">
        <f t="shared" si="8"/>
        <v>0</v>
      </c>
    </row>
    <row r="168" spans="1:12" x14ac:dyDescent="0.3">
      <c r="A168" s="9" t="s">
        <v>274</v>
      </c>
      <c r="B168" s="10" t="s">
        <v>629</v>
      </c>
      <c r="C168" s="10" t="s">
        <v>22</v>
      </c>
      <c r="D168" s="10" t="s">
        <v>40</v>
      </c>
      <c r="E168" s="10" t="s">
        <v>709</v>
      </c>
      <c r="F168" s="10" t="s">
        <v>694</v>
      </c>
      <c r="G168" s="10" t="s">
        <v>698</v>
      </c>
      <c r="H168" s="11">
        <v>0</v>
      </c>
      <c r="I168" s="11">
        <v>0</v>
      </c>
      <c r="J168" s="11">
        <f t="shared" si="7"/>
        <v>0</v>
      </c>
      <c r="K168" s="11">
        <v>0</v>
      </c>
      <c r="L168" s="12">
        <f t="shared" si="8"/>
        <v>0</v>
      </c>
    </row>
    <row r="169" spans="1:12" x14ac:dyDescent="0.3">
      <c r="A169" s="9" t="s">
        <v>275</v>
      </c>
      <c r="B169" s="10" t="s">
        <v>630</v>
      </c>
      <c r="C169" s="10" t="s">
        <v>22</v>
      </c>
      <c r="D169" s="10" t="s">
        <v>28</v>
      </c>
      <c r="E169" s="10" t="s">
        <v>709</v>
      </c>
      <c r="F169" s="10" t="s">
        <v>694</v>
      </c>
      <c r="G169" s="10" t="s">
        <v>695</v>
      </c>
      <c r="H169" s="11">
        <v>0</v>
      </c>
      <c r="I169" s="11">
        <v>0</v>
      </c>
      <c r="J169" s="11">
        <f t="shared" si="7"/>
        <v>0</v>
      </c>
      <c r="K169" s="11">
        <v>0</v>
      </c>
      <c r="L169" s="12">
        <f t="shared" si="8"/>
        <v>0</v>
      </c>
    </row>
    <row r="170" spans="1:12" x14ac:dyDescent="0.3">
      <c r="A170" s="9" t="s">
        <v>276</v>
      </c>
      <c r="B170" s="10" t="s">
        <v>631</v>
      </c>
      <c r="C170" s="10" t="s">
        <v>22</v>
      </c>
      <c r="D170" s="10" t="s">
        <v>48</v>
      </c>
      <c r="E170" s="10" t="s">
        <v>709</v>
      </c>
      <c r="F170" s="10" t="s">
        <v>694</v>
      </c>
      <c r="G170" s="10" t="s">
        <v>699</v>
      </c>
      <c r="H170" s="11">
        <v>0</v>
      </c>
      <c r="I170" s="11">
        <v>0</v>
      </c>
      <c r="J170" s="11">
        <f t="shared" si="7"/>
        <v>0</v>
      </c>
      <c r="K170" s="11">
        <v>0</v>
      </c>
      <c r="L170" s="12">
        <f t="shared" si="8"/>
        <v>0</v>
      </c>
    </row>
    <row r="171" spans="1:12" x14ac:dyDescent="0.3">
      <c r="A171" s="9" t="s">
        <v>277</v>
      </c>
      <c r="B171" s="10" t="s">
        <v>632</v>
      </c>
      <c r="C171" s="10" t="s">
        <v>22</v>
      </c>
      <c r="D171" s="10" t="s">
        <v>42</v>
      </c>
      <c r="E171" s="10" t="s">
        <v>709</v>
      </c>
      <c r="F171" s="10" t="s">
        <v>694</v>
      </c>
      <c r="G171" s="10" t="s">
        <v>699</v>
      </c>
      <c r="H171" s="11">
        <v>0</v>
      </c>
      <c r="I171" s="11">
        <v>0</v>
      </c>
      <c r="J171" s="11">
        <f t="shared" si="7"/>
        <v>0</v>
      </c>
      <c r="K171" s="11">
        <v>0</v>
      </c>
      <c r="L171" s="12">
        <f t="shared" si="8"/>
        <v>0</v>
      </c>
    </row>
    <row r="172" spans="1:12" x14ac:dyDescent="0.3">
      <c r="A172" s="9" t="s">
        <v>115</v>
      </c>
      <c r="B172" s="10" t="s">
        <v>484</v>
      </c>
      <c r="C172" s="10" t="s">
        <v>22</v>
      </c>
      <c r="D172" s="10" t="s">
        <v>40</v>
      </c>
      <c r="E172" s="10" t="s">
        <v>693</v>
      </c>
      <c r="F172" s="10" t="s">
        <v>694</v>
      </c>
      <c r="G172" s="10" t="s">
        <v>698</v>
      </c>
      <c r="H172" s="11">
        <v>0</v>
      </c>
      <c r="I172" s="11">
        <v>2</v>
      </c>
      <c r="J172" s="11">
        <f t="shared" si="7"/>
        <v>2.0689655172413794</v>
      </c>
      <c r="K172" s="11">
        <v>10</v>
      </c>
      <c r="L172" s="12">
        <f t="shared" si="8"/>
        <v>0</v>
      </c>
    </row>
    <row r="173" spans="1:12" x14ac:dyDescent="0.3">
      <c r="A173" s="9" t="s">
        <v>278</v>
      </c>
      <c r="B173" s="10" t="s">
        <v>633</v>
      </c>
      <c r="C173" s="10" t="s">
        <v>22</v>
      </c>
      <c r="D173" s="10" t="s">
        <v>40</v>
      </c>
      <c r="E173" s="10" t="s">
        <v>709</v>
      </c>
      <c r="F173" s="10" t="s">
        <v>694</v>
      </c>
      <c r="G173" s="10" t="s">
        <v>698</v>
      </c>
      <c r="H173" s="11">
        <v>0</v>
      </c>
      <c r="I173" s="11">
        <v>0</v>
      </c>
      <c r="J173" s="11">
        <f t="shared" si="7"/>
        <v>0</v>
      </c>
      <c r="K173" s="11">
        <v>0</v>
      </c>
      <c r="L173" s="12">
        <f t="shared" si="8"/>
        <v>0</v>
      </c>
    </row>
    <row r="174" spans="1:12" x14ac:dyDescent="0.3">
      <c r="A174" s="9" t="s">
        <v>279</v>
      </c>
      <c r="B174" s="10" t="s">
        <v>634</v>
      </c>
      <c r="C174" s="10" t="s">
        <v>22</v>
      </c>
      <c r="D174" s="10" t="s">
        <v>44</v>
      </c>
      <c r="E174" s="10" t="s">
        <v>709</v>
      </c>
      <c r="F174" s="10" t="s">
        <v>694</v>
      </c>
      <c r="G174" s="10" t="s">
        <v>698</v>
      </c>
      <c r="H174" s="11">
        <v>0</v>
      </c>
      <c r="I174" s="11">
        <v>0</v>
      </c>
      <c r="J174" s="11">
        <f t="shared" si="7"/>
        <v>0</v>
      </c>
      <c r="K174" s="11">
        <v>0</v>
      </c>
      <c r="L174" s="12">
        <f t="shared" si="8"/>
        <v>0</v>
      </c>
    </row>
    <row r="175" spans="1:12" x14ac:dyDescent="0.3">
      <c r="A175" s="9" t="s">
        <v>280</v>
      </c>
      <c r="B175" s="10" t="s">
        <v>635</v>
      </c>
      <c r="C175" s="10" t="s">
        <v>22</v>
      </c>
      <c r="D175" s="10" t="s">
        <v>40</v>
      </c>
      <c r="E175" s="10" t="s">
        <v>709</v>
      </c>
      <c r="F175" s="10" t="s">
        <v>694</v>
      </c>
      <c r="G175" s="10" t="s">
        <v>698</v>
      </c>
      <c r="H175" s="11">
        <v>0</v>
      </c>
      <c r="I175" s="11">
        <v>0</v>
      </c>
      <c r="J175" s="11">
        <f t="shared" si="7"/>
        <v>0</v>
      </c>
      <c r="K175" s="11">
        <v>0</v>
      </c>
      <c r="L175" s="12">
        <f t="shared" si="8"/>
        <v>0</v>
      </c>
    </row>
    <row r="176" spans="1:12" x14ac:dyDescent="0.3">
      <c r="A176" s="9" t="s">
        <v>281</v>
      </c>
      <c r="B176" s="10" t="s">
        <v>636</v>
      </c>
      <c r="C176" s="10" t="s">
        <v>22</v>
      </c>
      <c r="D176" s="10" t="s">
        <v>44</v>
      </c>
      <c r="E176" s="10" t="s">
        <v>709</v>
      </c>
      <c r="F176" s="10" t="s">
        <v>694</v>
      </c>
      <c r="G176" s="10" t="s">
        <v>698</v>
      </c>
      <c r="H176" s="11">
        <v>0</v>
      </c>
      <c r="I176" s="11">
        <v>0</v>
      </c>
      <c r="J176" s="11">
        <f t="shared" si="7"/>
        <v>0</v>
      </c>
      <c r="K176" s="11">
        <v>0</v>
      </c>
      <c r="L176" s="12">
        <f t="shared" si="8"/>
        <v>0</v>
      </c>
    </row>
    <row r="177" spans="1:12" x14ac:dyDescent="0.3">
      <c r="A177" s="9" t="s">
        <v>282</v>
      </c>
      <c r="B177" s="10" t="s">
        <v>637</v>
      </c>
      <c r="C177" s="10" t="s">
        <v>22</v>
      </c>
      <c r="D177" s="10" t="s">
        <v>42</v>
      </c>
      <c r="E177" s="10" t="s">
        <v>709</v>
      </c>
      <c r="F177" s="10" t="s">
        <v>694</v>
      </c>
      <c r="G177" s="10" t="s">
        <v>699</v>
      </c>
      <c r="H177" s="11">
        <v>0</v>
      </c>
      <c r="I177" s="11">
        <v>0</v>
      </c>
      <c r="J177" s="11">
        <f t="shared" si="7"/>
        <v>0</v>
      </c>
      <c r="K177" s="11">
        <v>0</v>
      </c>
      <c r="L177" s="12">
        <f t="shared" si="8"/>
        <v>0</v>
      </c>
    </row>
    <row r="178" spans="1:12" x14ac:dyDescent="0.3">
      <c r="A178" s="9" t="s">
        <v>192</v>
      </c>
      <c r="B178" s="10" t="s">
        <v>550</v>
      </c>
      <c r="C178" s="10" t="s">
        <v>118</v>
      </c>
      <c r="D178" s="10" t="s">
        <v>134</v>
      </c>
      <c r="E178" s="10" t="s">
        <v>704</v>
      </c>
      <c r="F178" s="10" t="s">
        <v>694</v>
      </c>
      <c r="G178" s="10" t="s">
        <v>699</v>
      </c>
      <c r="H178" s="11">
        <v>0</v>
      </c>
      <c r="I178" s="11">
        <v>0</v>
      </c>
      <c r="J178" s="11">
        <f t="shared" si="7"/>
        <v>0</v>
      </c>
      <c r="K178" s="11">
        <v>0</v>
      </c>
      <c r="L178" s="12">
        <f t="shared" si="8"/>
        <v>0</v>
      </c>
    </row>
    <row r="179" spans="1:12" x14ac:dyDescent="0.3">
      <c r="A179" s="9" t="s">
        <v>283</v>
      </c>
      <c r="B179" s="10" t="s">
        <v>638</v>
      </c>
      <c r="C179" s="10" t="s">
        <v>22</v>
      </c>
      <c r="D179" s="10" t="s">
        <v>40</v>
      </c>
      <c r="E179" s="10" t="s">
        <v>709</v>
      </c>
      <c r="F179" s="10" t="s">
        <v>694</v>
      </c>
      <c r="G179" s="10" t="s">
        <v>698</v>
      </c>
      <c r="H179" s="11">
        <v>0</v>
      </c>
      <c r="I179" s="11">
        <v>0</v>
      </c>
      <c r="J179" s="11">
        <f t="shared" si="7"/>
        <v>0</v>
      </c>
      <c r="K179" s="11">
        <v>0</v>
      </c>
      <c r="L179" s="12">
        <f t="shared" si="8"/>
        <v>0</v>
      </c>
    </row>
    <row r="180" spans="1:12" x14ac:dyDescent="0.3">
      <c r="A180" s="9" t="s">
        <v>284</v>
      </c>
      <c r="B180" s="10" t="s">
        <v>639</v>
      </c>
      <c r="C180" s="10" t="s">
        <v>22</v>
      </c>
      <c r="D180" s="10" t="s">
        <v>28</v>
      </c>
      <c r="E180" s="10" t="s">
        <v>709</v>
      </c>
      <c r="F180" s="10" t="s">
        <v>694</v>
      </c>
      <c r="G180" s="10" t="s">
        <v>695</v>
      </c>
      <c r="H180" s="11">
        <v>0</v>
      </c>
      <c r="I180" s="11">
        <v>0</v>
      </c>
      <c r="J180" s="11">
        <f t="shared" si="7"/>
        <v>0</v>
      </c>
      <c r="K180" s="11">
        <v>0</v>
      </c>
      <c r="L180" s="12">
        <f t="shared" si="8"/>
        <v>0</v>
      </c>
    </row>
    <row r="181" spans="1:12" x14ac:dyDescent="0.3">
      <c r="A181" s="9" t="s">
        <v>285</v>
      </c>
      <c r="B181" s="10" t="s">
        <v>640</v>
      </c>
      <c r="C181" s="10" t="s">
        <v>22</v>
      </c>
      <c r="D181" s="10" t="s">
        <v>40</v>
      </c>
      <c r="E181" s="10" t="s">
        <v>709</v>
      </c>
      <c r="F181" s="10" t="s">
        <v>694</v>
      </c>
      <c r="G181" s="10" t="s">
        <v>698</v>
      </c>
      <c r="H181" s="11">
        <v>0</v>
      </c>
      <c r="I181" s="11">
        <v>0</v>
      </c>
      <c r="J181" s="11">
        <f t="shared" si="7"/>
        <v>0</v>
      </c>
      <c r="K181" s="11">
        <v>0</v>
      </c>
      <c r="L181" s="12">
        <f t="shared" si="8"/>
        <v>0</v>
      </c>
    </row>
    <row r="182" spans="1:12" x14ac:dyDescent="0.3">
      <c r="A182" s="9" t="s">
        <v>61</v>
      </c>
      <c r="B182" s="10" t="s">
        <v>432</v>
      </c>
      <c r="C182" s="10" t="s">
        <v>22</v>
      </c>
      <c r="D182" s="10" t="s">
        <v>48</v>
      </c>
      <c r="E182" s="10" t="s">
        <v>693</v>
      </c>
      <c r="F182" s="10" t="s">
        <v>694</v>
      </c>
      <c r="G182" s="10" t="s">
        <v>699</v>
      </c>
      <c r="H182" s="11">
        <v>2</v>
      </c>
      <c r="I182" s="11">
        <v>2</v>
      </c>
      <c r="J182" s="11">
        <f t="shared" si="7"/>
        <v>2.0689655172413794</v>
      </c>
      <c r="K182" s="11">
        <v>7</v>
      </c>
      <c r="L182" s="12">
        <f t="shared" si="8"/>
        <v>3.4482758620689724E-2</v>
      </c>
    </row>
    <row r="183" spans="1:12" x14ac:dyDescent="0.3">
      <c r="A183" s="9" t="s">
        <v>286</v>
      </c>
      <c r="B183" s="10" t="s">
        <v>641</v>
      </c>
      <c r="C183" s="10" t="s">
        <v>22</v>
      </c>
      <c r="D183" s="10" t="s">
        <v>40</v>
      </c>
      <c r="E183" s="10" t="s">
        <v>709</v>
      </c>
      <c r="F183" s="10" t="s">
        <v>694</v>
      </c>
      <c r="G183" s="10" t="s">
        <v>698</v>
      </c>
      <c r="H183" s="11">
        <v>0</v>
      </c>
      <c r="I183" s="11">
        <v>0</v>
      </c>
      <c r="J183" s="11">
        <f t="shared" si="7"/>
        <v>0</v>
      </c>
      <c r="K183" s="11">
        <v>0</v>
      </c>
      <c r="L183" s="12">
        <f t="shared" si="8"/>
        <v>0</v>
      </c>
    </row>
    <row r="184" spans="1:12" x14ac:dyDescent="0.3">
      <c r="A184" s="9" t="s">
        <v>160</v>
      </c>
      <c r="B184" s="10" t="s">
        <v>518</v>
      </c>
      <c r="C184" s="10" t="s">
        <v>22</v>
      </c>
      <c r="D184" s="10" t="s">
        <v>40</v>
      </c>
      <c r="E184" s="10" t="s">
        <v>693</v>
      </c>
      <c r="F184" s="10" t="s">
        <v>694</v>
      </c>
      <c r="G184" s="10" t="s">
        <v>698</v>
      </c>
      <c r="H184" s="11">
        <v>1</v>
      </c>
      <c r="I184" s="11">
        <v>4</v>
      </c>
      <c r="J184" s="11">
        <f t="shared" si="7"/>
        <v>4.1379310344827589</v>
      </c>
      <c r="K184" s="11">
        <v>6</v>
      </c>
      <c r="L184" s="12">
        <f t="shared" si="8"/>
        <v>3.1379310344827589</v>
      </c>
    </row>
    <row r="185" spans="1:12" x14ac:dyDescent="0.3">
      <c r="A185" s="9" t="s">
        <v>287</v>
      </c>
      <c r="B185" s="10" t="s">
        <v>642</v>
      </c>
      <c r="C185" s="10" t="s">
        <v>20</v>
      </c>
      <c r="D185" s="10" t="s">
        <v>34</v>
      </c>
      <c r="E185" s="10" t="s">
        <v>708</v>
      </c>
      <c r="F185" s="10" t="s">
        <v>694</v>
      </c>
      <c r="G185" s="10" t="s">
        <v>697</v>
      </c>
      <c r="H185" s="11">
        <v>0</v>
      </c>
      <c r="I185" s="11">
        <v>0</v>
      </c>
      <c r="J185" s="11">
        <f t="shared" si="7"/>
        <v>0</v>
      </c>
      <c r="K185" s="11">
        <v>0</v>
      </c>
      <c r="L185" s="12">
        <f t="shared" si="8"/>
        <v>0</v>
      </c>
    </row>
    <row r="186" spans="1:12" x14ac:dyDescent="0.3">
      <c r="A186" s="9" t="s">
        <v>288</v>
      </c>
      <c r="B186" s="10" t="s">
        <v>643</v>
      </c>
      <c r="C186" s="10" t="s">
        <v>22</v>
      </c>
      <c r="D186" s="10" t="s">
        <v>40</v>
      </c>
      <c r="E186" s="10" t="s">
        <v>709</v>
      </c>
      <c r="F186" s="10" t="s">
        <v>694</v>
      </c>
      <c r="G186" s="10" t="s">
        <v>698</v>
      </c>
      <c r="H186" s="11">
        <v>0</v>
      </c>
      <c r="I186" s="11">
        <v>0</v>
      </c>
      <c r="J186" s="11">
        <f t="shared" si="7"/>
        <v>0</v>
      </c>
      <c r="K186" s="11">
        <v>0</v>
      </c>
      <c r="L186" s="12">
        <f t="shared" si="8"/>
        <v>0</v>
      </c>
    </row>
    <row r="187" spans="1:12" x14ac:dyDescent="0.3">
      <c r="A187" s="9" t="s">
        <v>159</v>
      </c>
      <c r="B187" s="10" t="s">
        <v>517</v>
      </c>
      <c r="C187" s="10" t="s">
        <v>20</v>
      </c>
      <c r="D187" s="10" t="s">
        <v>34</v>
      </c>
      <c r="E187" s="10" t="s">
        <v>693</v>
      </c>
      <c r="F187" s="10" t="s">
        <v>694</v>
      </c>
      <c r="G187" s="10" t="s">
        <v>697</v>
      </c>
      <c r="H187" s="11">
        <v>4</v>
      </c>
      <c r="I187" s="11">
        <v>2</v>
      </c>
      <c r="J187" s="11">
        <f t="shared" si="7"/>
        <v>2.0689655172413794</v>
      </c>
      <c r="K187" s="11">
        <v>9</v>
      </c>
      <c r="L187" s="12">
        <f t="shared" si="8"/>
        <v>-0.48275862068965514</v>
      </c>
    </row>
    <row r="188" spans="1:12" x14ac:dyDescent="0.3">
      <c r="A188" s="9" t="s">
        <v>29</v>
      </c>
      <c r="B188" s="10" t="s">
        <v>410</v>
      </c>
      <c r="C188" s="10" t="s">
        <v>20</v>
      </c>
      <c r="D188" s="10" t="s">
        <v>38</v>
      </c>
      <c r="E188" s="10" t="s">
        <v>693</v>
      </c>
      <c r="F188" s="10" t="s">
        <v>694</v>
      </c>
      <c r="G188" s="10" t="s">
        <v>696</v>
      </c>
      <c r="H188" s="11">
        <v>5</v>
      </c>
      <c r="I188" s="11">
        <v>4</v>
      </c>
      <c r="J188" s="11">
        <f t="shared" si="7"/>
        <v>4.1379310344827589</v>
      </c>
      <c r="K188" s="11">
        <v>15</v>
      </c>
      <c r="L188" s="12">
        <f t="shared" si="8"/>
        <v>-0.17241379310344823</v>
      </c>
    </row>
    <row r="189" spans="1:12" x14ac:dyDescent="0.3">
      <c r="A189" s="9" t="s">
        <v>55</v>
      </c>
      <c r="B189" s="10" t="s">
        <v>426</v>
      </c>
      <c r="C189" s="10" t="s">
        <v>20</v>
      </c>
      <c r="D189" s="10" t="s">
        <v>36</v>
      </c>
      <c r="E189" s="10" t="s">
        <v>693</v>
      </c>
      <c r="F189" s="10" t="s">
        <v>694</v>
      </c>
      <c r="G189" s="10" t="s">
        <v>697</v>
      </c>
      <c r="H189" s="11">
        <v>11</v>
      </c>
      <c r="I189" s="11">
        <v>8</v>
      </c>
      <c r="J189" s="11">
        <f t="shared" si="7"/>
        <v>8.2758620689655178</v>
      </c>
      <c r="K189" s="11">
        <v>22</v>
      </c>
      <c r="L189" s="12">
        <f t="shared" si="8"/>
        <v>-0.24764890282131657</v>
      </c>
    </row>
    <row r="190" spans="1:12" x14ac:dyDescent="0.3">
      <c r="A190" s="9" t="s">
        <v>193</v>
      </c>
      <c r="B190" s="10" t="s">
        <v>551</v>
      </c>
      <c r="C190" s="10" t="s">
        <v>22</v>
      </c>
      <c r="D190" s="10" t="s">
        <v>44</v>
      </c>
      <c r="E190" s="10" t="s">
        <v>693</v>
      </c>
      <c r="F190" s="10" t="s">
        <v>694</v>
      </c>
      <c r="G190" s="10" t="s">
        <v>698</v>
      </c>
      <c r="H190" s="11">
        <v>4</v>
      </c>
      <c r="I190" s="11">
        <v>5</v>
      </c>
      <c r="J190" s="11">
        <f t="shared" si="7"/>
        <v>5.1724137931034484</v>
      </c>
      <c r="K190" s="11">
        <v>11</v>
      </c>
      <c r="L190" s="12">
        <f t="shared" si="8"/>
        <v>0.2931034482758621</v>
      </c>
    </row>
    <row r="191" spans="1:12" x14ac:dyDescent="0.3">
      <c r="A191" s="9" t="s">
        <v>289</v>
      </c>
      <c r="B191" s="10" t="s">
        <v>644</v>
      </c>
      <c r="C191" s="10" t="s">
        <v>22</v>
      </c>
      <c r="D191" s="10" t="s">
        <v>40</v>
      </c>
      <c r="E191" s="10" t="s">
        <v>709</v>
      </c>
      <c r="F191" s="10" t="s">
        <v>694</v>
      </c>
      <c r="G191" s="10" t="s">
        <v>698</v>
      </c>
      <c r="H191" s="11">
        <v>0</v>
      </c>
      <c r="I191" s="11">
        <v>0</v>
      </c>
      <c r="J191" s="11">
        <f t="shared" si="7"/>
        <v>0</v>
      </c>
      <c r="K191" s="11">
        <v>0</v>
      </c>
      <c r="L191" s="12">
        <f t="shared" si="8"/>
        <v>0</v>
      </c>
    </row>
    <row r="192" spans="1:12" x14ac:dyDescent="0.3">
      <c r="A192" s="9" t="s">
        <v>290</v>
      </c>
      <c r="B192" s="10" t="s">
        <v>645</v>
      </c>
      <c r="C192" s="10" t="s">
        <v>22</v>
      </c>
      <c r="D192" s="10" t="s">
        <v>28</v>
      </c>
      <c r="E192" s="10" t="s">
        <v>709</v>
      </c>
      <c r="F192" s="10" t="s">
        <v>694</v>
      </c>
      <c r="G192" s="10" t="s">
        <v>695</v>
      </c>
      <c r="H192" s="11">
        <v>0</v>
      </c>
      <c r="I192" s="11">
        <v>0</v>
      </c>
      <c r="J192" s="11">
        <f t="shared" si="7"/>
        <v>0</v>
      </c>
      <c r="K192" s="11">
        <v>0</v>
      </c>
      <c r="L192" s="12">
        <f t="shared" si="8"/>
        <v>0</v>
      </c>
    </row>
    <row r="193" spans="1:12" x14ac:dyDescent="0.3">
      <c r="A193" s="9" t="s">
        <v>291</v>
      </c>
      <c r="B193" s="10" t="s">
        <v>646</v>
      </c>
      <c r="C193" s="10" t="s">
        <v>20</v>
      </c>
      <c r="D193" s="10" t="s">
        <v>38</v>
      </c>
      <c r="E193" s="10" t="s">
        <v>709</v>
      </c>
      <c r="F193" s="10" t="s">
        <v>694</v>
      </c>
      <c r="G193" s="10" t="s">
        <v>696</v>
      </c>
      <c r="H193" s="11">
        <v>0</v>
      </c>
      <c r="I193" s="11">
        <v>0</v>
      </c>
      <c r="J193" s="11">
        <f t="shared" si="7"/>
        <v>0</v>
      </c>
      <c r="K193" s="11">
        <v>0</v>
      </c>
      <c r="L193" s="12">
        <f t="shared" si="8"/>
        <v>0</v>
      </c>
    </row>
    <row r="194" spans="1:12" x14ac:dyDescent="0.3">
      <c r="A194" s="9" t="s">
        <v>292</v>
      </c>
      <c r="B194" s="10" t="s">
        <v>647</v>
      </c>
      <c r="C194" s="10" t="s">
        <v>22</v>
      </c>
      <c r="D194" s="10" t="s">
        <v>48</v>
      </c>
      <c r="E194" s="10" t="s">
        <v>709</v>
      </c>
      <c r="F194" s="10" t="s">
        <v>694</v>
      </c>
      <c r="G194" s="10" t="s">
        <v>699</v>
      </c>
      <c r="H194" s="11">
        <v>0</v>
      </c>
      <c r="I194" s="11">
        <v>0</v>
      </c>
      <c r="J194" s="11">
        <f t="shared" si="7"/>
        <v>0</v>
      </c>
      <c r="K194" s="11">
        <v>0</v>
      </c>
      <c r="L194" s="12">
        <f t="shared" si="8"/>
        <v>0</v>
      </c>
    </row>
    <row r="195" spans="1:12" x14ac:dyDescent="0.3">
      <c r="A195" s="9" t="s">
        <v>293</v>
      </c>
      <c r="B195" s="10" t="s">
        <v>648</v>
      </c>
      <c r="C195" s="10" t="s">
        <v>20</v>
      </c>
      <c r="D195" s="10" t="s">
        <v>30</v>
      </c>
      <c r="E195" s="10" t="s">
        <v>709</v>
      </c>
      <c r="F195" s="10" t="s">
        <v>694</v>
      </c>
      <c r="G195" s="10" t="s">
        <v>696</v>
      </c>
      <c r="H195" s="11">
        <v>0</v>
      </c>
      <c r="I195" s="11">
        <v>0</v>
      </c>
      <c r="J195" s="11">
        <f t="shared" si="7"/>
        <v>0</v>
      </c>
      <c r="K195" s="11">
        <v>0</v>
      </c>
      <c r="L195" s="12">
        <f t="shared" si="8"/>
        <v>0</v>
      </c>
    </row>
    <row r="196" spans="1:12" x14ac:dyDescent="0.3">
      <c r="A196" s="9" t="s">
        <v>294</v>
      </c>
      <c r="B196" s="10" t="s">
        <v>649</v>
      </c>
      <c r="C196" s="10" t="s">
        <v>22</v>
      </c>
      <c r="D196" s="10" t="s">
        <v>28</v>
      </c>
      <c r="E196" s="10" t="s">
        <v>709</v>
      </c>
      <c r="F196" s="10" t="s">
        <v>694</v>
      </c>
      <c r="G196" s="10" t="s">
        <v>695</v>
      </c>
      <c r="H196" s="11">
        <v>0</v>
      </c>
      <c r="I196" s="11">
        <v>0</v>
      </c>
      <c r="J196" s="11">
        <f t="shared" si="7"/>
        <v>0</v>
      </c>
      <c r="K196" s="11">
        <v>0</v>
      </c>
      <c r="L196" s="12">
        <f t="shared" si="8"/>
        <v>0</v>
      </c>
    </row>
    <row r="197" spans="1:12" x14ac:dyDescent="0.3">
      <c r="A197" s="9" t="s">
        <v>228</v>
      </c>
      <c r="B197" s="10" t="s">
        <v>586</v>
      </c>
      <c r="C197" s="10" t="s">
        <v>118</v>
      </c>
      <c r="D197" s="10" t="s">
        <v>134</v>
      </c>
      <c r="E197" s="10" t="s">
        <v>704</v>
      </c>
      <c r="F197" s="10" t="s">
        <v>694</v>
      </c>
      <c r="G197" s="10" t="s">
        <v>698</v>
      </c>
      <c r="H197" s="11">
        <v>0</v>
      </c>
      <c r="I197" s="11">
        <v>0</v>
      </c>
      <c r="J197" s="11">
        <f t="shared" ref="J197:J239" si="9">IFERROR((I197/$A$1*$B$1),0)</f>
        <v>0</v>
      </c>
      <c r="K197" s="11">
        <v>0</v>
      </c>
      <c r="L197" s="12">
        <f t="shared" si="8"/>
        <v>0</v>
      </c>
    </row>
    <row r="198" spans="1:12" x14ac:dyDescent="0.3">
      <c r="A198" s="9" t="s">
        <v>220</v>
      </c>
      <c r="B198" s="10" t="s">
        <v>578</v>
      </c>
      <c r="C198" s="10" t="s">
        <v>20</v>
      </c>
      <c r="D198" s="10" t="s">
        <v>30</v>
      </c>
      <c r="E198" s="10" t="s">
        <v>693</v>
      </c>
      <c r="F198" s="10" t="s">
        <v>694</v>
      </c>
      <c r="G198" s="10" t="s">
        <v>696</v>
      </c>
      <c r="H198" s="11">
        <v>2</v>
      </c>
      <c r="I198" s="11">
        <v>2</v>
      </c>
      <c r="J198" s="11">
        <f t="shared" si="9"/>
        <v>2.0689655172413794</v>
      </c>
      <c r="K198" s="11">
        <v>13</v>
      </c>
      <c r="L198" s="12">
        <f t="shared" ref="L198:L263" si="10">IFERROR((J198-H198)/H198,0)</f>
        <v>3.4482758620689724E-2</v>
      </c>
    </row>
    <row r="199" spans="1:12" x14ac:dyDescent="0.3">
      <c r="A199" s="9" t="s">
        <v>295</v>
      </c>
      <c r="B199" s="10" t="s">
        <v>650</v>
      </c>
      <c r="C199" s="10" t="s">
        <v>22</v>
      </c>
      <c r="D199" s="10" t="s">
        <v>40</v>
      </c>
      <c r="E199" s="10" t="s">
        <v>709</v>
      </c>
      <c r="F199" s="10" t="s">
        <v>694</v>
      </c>
      <c r="G199" s="10" t="s">
        <v>698</v>
      </c>
      <c r="H199" s="11">
        <v>0</v>
      </c>
      <c r="I199" s="11">
        <v>0</v>
      </c>
      <c r="J199" s="11">
        <f t="shared" si="9"/>
        <v>0</v>
      </c>
      <c r="K199" s="11">
        <v>0</v>
      </c>
      <c r="L199" s="12">
        <f t="shared" si="10"/>
        <v>0</v>
      </c>
    </row>
    <row r="200" spans="1:12" x14ac:dyDescent="0.3">
      <c r="A200" s="9" t="s">
        <v>222</v>
      </c>
      <c r="B200" s="10" t="s">
        <v>580</v>
      </c>
      <c r="C200" s="10" t="s">
        <v>20</v>
      </c>
      <c r="D200" s="10" t="s">
        <v>36</v>
      </c>
      <c r="E200" s="10" t="s">
        <v>693</v>
      </c>
      <c r="F200" s="10" t="s">
        <v>694</v>
      </c>
      <c r="G200" s="10" t="s">
        <v>697</v>
      </c>
      <c r="H200" s="11">
        <v>3</v>
      </c>
      <c r="I200" s="11">
        <v>2</v>
      </c>
      <c r="J200" s="11">
        <f t="shared" si="9"/>
        <v>2.0689655172413794</v>
      </c>
      <c r="K200" s="11">
        <v>20</v>
      </c>
      <c r="L200" s="12">
        <f t="shared" si="10"/>
        <v>-0.31034482758620685</v>
      </c>
    </row>
    <row r="201" spans="1:12" x14ac:dyDescent="0.3">
      <c r="A201" s="9" t="s">
        <v>226</v>
      </c>
      <c r="B201" s="10" t="s">
        <v>584</v>
      </c>
      <c r="C201" s="10" t="s">
        <v>118</v>
      </c>
      <c r="D201" s="10" t="s">
        <v>136</v>
      </c>
      <c r="E201" s="10" t="s">
        <v>704</v>
      </c>
      <c r="F201" s="10" t="s">
        <v>694</v>
      </c>
      <c r="G201" s="10" t="s">
        <v>697</v>
      </c>
      <c r="H201" s="11">
        <v>0</v>
      </c>
      <c r="I201" s="11">
        <v>0</v>
      </c>
      <c r="J201" s="11">
        <f t="shared" si="9"/>
        <v>0</v>
      </c>
      <c r="K201" s="11">
        <v>0</v>
      </c>
      <c r="L201" s="12">
        <f t="shared" si="10"/>
        <v>0</v>
      </c>
    </row>
    <row r="202" spans="1:12" x14ac:dyDescent="0.3">
      <c r="A202" s="9" t="s">
        <v>224</v>
      </c>
      <c r="B202" s="10" t="s">
        <v>582</v>
      </c>
      <c r="C202" s="10" t="s">
        <v>118</v>
      </c>
      <c r="D202" s="10" t="s">
        <v>123</v>
      </c>
      <c r="E202" s="10" t="s">
        <v>703</v>
      </c>
      <c r="F202" s="10" t="s">
        <v>694</v>
      </c>
      <c r="G202" s="10" t="s">
        <v>697</v>
      </c>
      <c r="H202" s="11">
        <v>7</v>
      </c>
      <c r="I202" s="11">
        <v>5</v>
      </c>
      <c r="J202" s="11">
        <f t="shared" si="9"/>
        <v>5.1724137931034484</v>
      </c>
      <c r="K202" s="11">
        <v>27</v>
      </c>
      <c r="L202" s="12">
        <f t="shared" si="10"/>
        <v>-0.26108374384236449</v>
      </c>
    </row>
    <row r="203" spans="1:12" x14ac:dyDescent="0.3">
      <c r="A203" s="9" t="s">
        <v>223</v>
      </c>
      <c r="B203" s="10" t="s">
        <v>581</v>
      </c>
      <c r="C203" s="10" t="s">
        <v>118</v>
      </c>
      <c r="D203" s="10" t="s">
        <v>136</v>
      </c>
      <c r="E203" s="10" t="s">
        <v>704</v>
      </c>
      <c r="F203" s="10" t="s">
        <v>694</v>
      </c>
      <c r="G203" s="10" t="s">
        <v>697</v>
      </c>
      <c r="H203" s="11">
        <v>0</v>
      </c>
      <c r="I203" s="11">
        <v>0</v>
      </c>
      <c r="J203" s="11">
        <f t="shared" si="9"/>
        <v>0</v>
      </c>
      <c r="K203" s="11">
        <v>0</v>
      </c>
      <c r="L203" s="12">
        <f t="shared" si="10"/>
        <v>0</v>
      </c>
    </row>
    <row r="204" spans="1:12" x14ac:dyDescent="0.3">
      <c r="A204" s="9" t="s">
        <v>296</v>
      </c>
      <c r="B204" s="10" t="s">
        <v>651</v>
      </c>
      <c r="C204" s="10" t="s">
        <v>22</v>
      </c>
      <c r="D204" s="10" t="s">
        <v>48</v>
      </c>
      <c r="E204" s="10" t="s">
        <v>709</v>
      </c>
      <c r="F204" s="10" t="s">
        <v>694</v>
      </c>
      <c r="G204" s="10" t="s">
        <v>699</v>
      </c>
      <c r="H204" s="11">
        <v>0</v>
      </c>
      <c r="I204" s="11">
        <v>0</v>
      </c>
      <c r="J204" s="11">
        <f t="shared" si="9"/>
        <v>0</v>
      </c>
      <c r="K204" s="11">
        <v>0</v>
      </c>
      <c r="L204" s="12">
        <f t="shared" si="10"/>
        <v>0</v>
      </c>
    </row>
    <row r="205" spans="1:12" x14ac:dyDescent="0.3">
      <c r="A205" s="9" t="s">
        <v>297</v>
      </c>
      <c r="B205" s="10" t="s">
        <v>652</v>
      </c>
      <c r="C205" s="10" t="s">
        <v>20</v>
      </c>
      <c r="D205" s="10" t="s">
        <v>32</v>
      </c>
      <c r="E205" s="10" t="s">
        <v>709</v>
      </c>
      <c r="F205" s="10" t="s">
        <v>694</v>
      </c>
      <c r="G205" s="10" t="s">
        <v>696</v>
      </c>
      <c r="H205" s="11">
        <v>0</v>
      </c>
      <c r="I205" s="11">
        <v>0</v>
      </c>
      <c r="J205" s="11">
        <f t="shared" si="9"/>
        <v>0</v>
      </c>
      <c r="K205" s="11">
        <v>0</v>
      </c>
      <c r="L205" s="12">
        <f t="shared" si="10"/>
        <v>0</v>
      </c>
    </row>
    <row r="206" spans="1:12" x14ac:dyDescent="0.3">
      <c r="A206" s="9" t="s">
        <v>229</v>
      </c>
      <c r="B206" s="10" t="s">
        <v>587</v>
      </c>
      <c r="C206" s="10" t="s">
        <v>118</v>
      </c>
      <c r="D206" s="10" t="s">
        <v>123</v>
      </c>
      <c r="E206" s="10" t="s">
        <v>703</v>
      </c>
      <c r="F206" s="10" t="s">
        <v>694</v>
      </c>
      <c r="G206" s="10" t="s">
        <v>696</v>
      </c>
      <c r="H206" s="11">
        <v>3</v>
      </c>
      <c r="I206" s="11">
        <v>3</v>
      </c>
      <c r="J206" s="11">
        <f t="shared" si="9"/>
        <v>3.103448275862069</v>
      </c>
      <c r="K206" s="11">
        <v>23</v>
      </c>
      <c r="L206" s="12">
        <f t="shared" si="10"/>
        <v>3.4482758620689648E-2</v>
      </c>
    </row>
    <row r="207" spans="1:12" x14ac:dyDescent="0.3">
      <c r="A207" s="9" t="s">
        <v>298</v>
      </c>
      <c r="B207" s="10" t="s">
        <v>653</v>
      </c>
      <c r="C207" s="10" t="s">
        <v>22</v>
      </c>
      <c r="D207" s="10" t="s">
        <v>46</v>
      </c>
      <c r="E207" s="10" t="s">
        <v>709</v>
      </c>
      <c r="F207" s="10" t="s">
        <v>694</v>
      </c>
      <c r="G207" s="10" t="s">
        <v>700</v>
      </c>
      <c r="H207" s="11">
        <v>0</v>
      </c>
      <c r="I207" s="11">
        <v>0</v>
      </c>
      <c r="J207" s="11">
        <f t="shared" si="9"/>
        <v>0</v>
      </c>
      <c r="K207" s="11">
        <v>0</v>
      </c>
      <c r="L207" s="12">
        <f t="shared" si="10"/>
        <v>0</v>
      </c>
    </row>
    <row r="208" spans="1:12" x14ac:dyDescent="0.3">
      <c r="A208" s="9" t="s">
        <v>230</v>
      </c>
      <c r="B208" s="10" t="s">
        <v>588</v>
      </c>
      <c r="C208" s="10" t="s">
        <v>118</v>
      </c>
      <c r="D208" s="10" t="s">
        <v>138</v>
      </c>
      <c r="E208" s="10" t="s">
        <v>703</v>
      </c>
      <c r="F208" s="10" t="s">
        <v>694</v>
      </c>
      <c r="G208" s="10" t="s">
        <v>699</v>
      </c>
      <c r="H208" s="11">
        <v>7</v>
      </c>
      <c r="I208" s="11">
        <v>12</v>
      </c>
      <c r="J208" s="11">
        <f t="shared" si="9"/>
        <v>12.413793103448276</v>
      </c>
      <c r="K208" s="11">
        <v>26</v>
      </c>
      <c r="L208" s="12">
        <f t="shared" si="10"/>
        <v>0.77339901477832507</v>
      </c>
    </row>
    <row r="209" spans="1:12" x14ac:dyDescent="0.3">
      <c r="A209" s="9" t="s">
        <v>235</v>
      </c>
      <c r="B209" s="10" t="s">
        <v>593</v>
      </c>
      <c r="C209" s="10" t="s">
        <v>118</v>
      </c>
      <c r="D209" s="10" t="s">
        <v>136</v>
      </c>
      <c r="E209" s="10" t="s">
        <v>704</v>
      </c>
      <c r="F209" s="10" t="s">
        <v>694</v>
      </c>
      <c r="G209" s="10" t="s">
        <v>696</v>
      </c>
      <c r="H209" s="11">
        <v>0</v>
      </c>
      <c r="I209" s="11">
        <v>0</v>
      </c>
      <c r="J209" s="11">
        <f t="shared" si="9"/>
        <v>0</v>
      </c>
      <c r="K209" s="11">
        <v>0</v>
      </c>
      <c r="L209" s="12">
        <f t="shared" si="10"/>
        <v>0</v>
      </c>
    </row>
    <row r="210" spans="1:12" x14ac:dyDescent="0.3">
      <c r="A210" s="9" t="s">
        <v>232</v>
      </c>
      <c r="B210" s="10" t="s">
        <v>590</v>
      </c>
      <c r="C210" s="10" t="s">
        <v>118</v>
      </c>
      <c r="D210" s="10" t="s">
        <v>136</v>
      </c>
      <c r="E210" s="10" t="s">
        <v>704</v>
      </c>
      <c r="F210" s="10" t="s">
        <v>694</v>
      </c>
      <c r="G210" s="10" t="s">
        <v>696</v>
      </c>
      <c r="H210" s="11">
        <v>0</v>
      </c>
      <c r="I210" s="11">
        <v>0</v>
      </c>
      <c r="J210" s="11">
        <f t="shared" si="9"/>
        <v>0</v>
      </c>
      <c r="K210" s="11">
        <v>0</v>
      </c>
      <c r="L210" s="12">
        <f t="shared" si="10"/>
        <v>0</v>
      </c>
    </row>
    <row r="211" spans="1:12" x14ac:dyDescent="0.3">
      <c r="A211" s="9" t="s">
        <v>231</v>
      </c>
      <c r="B211" s="10" t="s">
        <v>589</v>
      </c>
      <c r="C211" s="10" t="s">
        <v>118</v>
      </c>
      <c r="D211" s="10" t="s">
        <v>136</v>
      </c>
      <c r="E211" s="10" t="s">
        <v>704</v>
      </c>
      <c r="F211" s="10" t="s">
        <v>694</v>
      </c>
      <c r="G211" s="10" t="s">
        <v>697</v>
      </c>
      <c r="H211" s="11">
        <v>0</v>
      </c>
      <c r="I211" s="11">
        <v>0</v>
      </c>
      <c r="J211" s="11">
        <f t="shared" si="9"/>
        <v>0</v>
      </c>
      <c r="K211" s="11">
        <v>0</v>
      </c>
      <c r="L211" s="12">
        <f t="shared" si="10"/>
        <v>0</v>
      </c>
    </row>
    <row r="212" spans="1:12" x14ac:dyDescent="0.3">
      <c r="A212" s="9" t="s">
        <v>299</v>
      </c>
      <c r="B212" s="10" t="s">
        <v>654</v>
      </c>
      <c r="C212" s="10" t="s">
        <v>22</v>
      </c>
      <c r="D212" s="10" t="s">
        <v>46</v>
      </c>
      <c r="E212" s="10" t="s">
        <v>709</v>
      </c>
      <c r="F212" s="10" t="s">
        <v>694</v>
      </c>
      <c r="G212" s="10" t="s">
        <v>700</v>
      </c>
      <c r="H212" s="11">
        <v>0</v>
      </c>
      <c r="I212" s="11">
        <v>0</v>
      </c>
      <c r="J212" s="11">
        <f t="shared" si="9"/>
        <v>0</v>
      </c>
      <c r="K212" s="11">
        <v>0</v>
      </c>
      <c r="L212" s="12">
        <f t="shared" si="10"/>
        <v>0</v>
      </c>
    </row>
    <row r="213" spans="1:12" x14ac:dyDescent="0.3">
      <c r="A213" s="9" t="s">
        <v>234</v>
      </c>
      <c r="B213" s="10" t="s">
        <v>592</v>
      </c>
      <c r="C213" s="10" t="s">
        <v>118</v>
      </c>
      <c r="D213" s="10" t="s">
        <v>136</v>
      </c>
      <c r="E213" s="10" t="s">
        <v>704</v>
      </c>
      <c r="F213" s="10" t="s">
        <v>694</v>
      </c>
      <c r="G213" s="10" t="s">
        <v>697</v>
      </c>
      <c r="H213" s="11">
        <v>126</v>
      </c>
      <c r="I213" s="11">
        <v>9</v>
      </c>
      <c r="J213" s="11">
        <f t="shared" si="9"/>
        <v>9.3103448275862064</v>
      </c>
      <c r="K213" s="11">
        <v>0</v>
      </c>
      <c r="L213" s="12">
        <f t="shared" si="10"/>
        <v>-0.92610837438423643</v>
      </c>
    </row>
    <row r="214" spans="1:12" x14ac:dyDescent="0.3">
      <c r="A214" s="9" t="s">
        <v>300</v>
      </c>
      <c r="B214" s="10" t="s">
        <v>655</v>
      </c>
      <c r="C214" s="10" t="s">
        <v>22</v>
      </c>
      <c r="D214" s="10" t="s">
        <v>28</v>
      </c>
      <c r="E214" s="10" t="s">
        <v>709</v>
      </c>
      <c r="F214" s="10" t="s">
        <v>694</v>
      </c>
      <c r="G214" s="10" t="s">
        <v>695</v>
      </c>
      <c r="H214" s="11">
        <v>0</v>
      </c>
      <c r="I214" s="11">
        <v>0</v>
      </c>
      <c r="J214" s="11">
        <f t="shared" si="9"/>
        <v>0</v>
      </c>
      <c r="K214" s="11">
        <v>0</v>
      </c>
      <c r="L214" s="12">
        <f t="shared" si="10"/>
        <v>0</v>
      </c>
    </row>
    <row r="215" spans="1:12" x14ac:dyDescent="0.3">
      <c r="A215" s="9" t="s">
        <v>301</v>
      </c>
      <c r="B215" s="10" t="s">
        <v>656</v>
      </c>
      <c r="C215" s="10" t="s">
        <v>22</v>
      </c>
      <c r="D215" s="10" t="s">
        <v>46</v>
      </c>
      <c r="E215" s="10" t="s">
        <v>709</v>
      </c>
      <c r="F215" s="10" t="s">
        <v>694</v>
      </c>
      <c r="G215" s="10" t="s">
        <v>700</v>
      </c>
      <c r="H215" s="11">
        <v>0</v>
      </c>
      <c r="I215" s="11">
        <v>0</v>
      </c>
      <c r="J215" s="11">
        <f t="shared" si="9"/>
        <v>0</v>
      </c>
      <c r="K215" s="11">
        <v>0</v>
      </c>
      <c r="L215" s="12">
        <f t="shared" si="10"/>
        <v>0</v>
      </c>
    </row>
    <row r="216" spans="1:12" x14ac:dyDescent="0.3">
      <c r="A216" s="9" t="s">
        <v>302</v>
      </c>
      <c r="B216" s="10" t="s">
        <v>657</v>
      </c>
      <c r="C216" s="10" t="s">
        <v>22</v>
      </c>
      <c r="D216" s="10" t="s">
        <v>46</v>
      </c>
      <c r="E216" s="10" t="s">
        <v>709</v>
      </c>
      <c r="F216" s="10" t="s">
        <v>694</v>
      </c>
      <c r="G216" s="10" t="s">
        <v>700</v>
      </c>
      <c r="H216" s="11">
        <v>0</v>
      </c>
      <c r="I216" s="11">
        <v>0</v>
      </c>
      <c r="J216" s="11">
        <f t="shared" si="9"/>
        <v>0</v>
      </c>
      <c r="K216" s="11">
        <v>0</v>
      </c>
      <c r="L216" s="12">
        <f t="shared" si="10"/>
        <v>0</v>
      </c>
    </row>
    <row r="217" spans="1:12" x14ac:dyDescent="0.3">
      <c r="A217" s="9" t="s">
        <v>237</v>
      </c>
      <c r="B217" s="10" t="s">
        <v>595</v>
      </c>
      <c r="C217" s="10" t="s">
        <v>118</v>
      </c>
      <c r="D217" s="10" t="s">
        <v>123</v>
      </c>
      <c r="E217" s="10" t="s">
        <v>703</v>
      </c>
      <c r="F217" s="10" t="s">
        <v>694</v>
      </c>
      <c r="G217" s="10" t="s">
        <v>697</v>
      </c>
      <c r="H217" s="11">
        <v>12</v>
      </c>
      <c r="I217" s="11">
        <v>11</v>
      </c>
      <c r="J217" s="11">
        <f t="shared" si="9"/>
        <v>11.379310344827585</v>
      </c>
      <c r="K217" s="11">
        <v>23</v>
      </c>
      <c r="L217" s="12">
        <f t="shared" si="10"/>
        <v>-5.1724137931034551E-2</v>
      </c>
    </row>
    <row r="218" spans="1:12" x14ac:dyDescent="0.3">
      <c r="A218" s="9" t="s">
        <v>303</v>
      </c>
      <c r="B218" s="10" t="s">
        <v>658</v>
      </c>
      <c r="C218" s="10" t="s">
        <v>22</v>
      </c>
      <c r="D218" s="10" t="s">
        <v>46</v>
      </c>
      <c r="E218" s="10" t="s">
        <v>709</v>
      </c>
      <c r="F218" s="10" t="s">
        <v>694</v>
      </c>
      <c r="G218" s="10" t="s">
        <v>700</v>
      </c>
      <c r="H218" s="11">
        <v>0</v>
      </c>
      <c r="I218" s="11">
        <v>0</v>
      </c>
      <c r="J218" s="11">
        <f t="shared" si="9"/>
        <v>0</v>
      </c>
      <c r="K218" s="11">
        <v>0</v>
      </c>
      <c r="L218" s="12">
        <f t="shared" si="10"/>
        <v>0</v>
      </c>
    </row>
    <row r="219" spans="1:12" x14ac:dyDescent="0.3">
      <c r="A219" s="9" t="s">
        <v>304</v>
      </c>
      <c r="B219" s="10" t="s">
        <v>659</v>
      </c>
      <c r="C219" s="10" t="s">
        <v>22</v>
      </c>
      <c r="D219" s="10" t="s">
        <v>46</v>
      </c>
      <c r="E219" s="10" t="s">
        <v>709</v>
      </c>
      <c r="F219" s="10" t="s">
        <v>694</v>
      </c>
      <c r="G219" s="10" t="s">
        <v>700</v>
      </c>
      <c r="H219" s="11">
        <v>0</v>
      </c>
      <c r="I219" s="11">
        <v>0</v>
      </c>
      <c r="J219" s="11">
        <f t="shared" si="9"/>
        <v>0</v>
      </c>
      <c r="K219" s="11">
        <v>0</v>
      </c>
      <c r="L219" s="12">
        <f t="shared" si="10"/>
        <v>0</v>
      </c>
    </row>
    <row r="220" spans="1:12" x14ac:dyDescent="0.3">
      <c r="A220" s="9" t="s">
        <v>305</v>
      </c>
      <c r="B220" s="10" t="s">
        <v>660</v>
      </c>
      <c r="C220" s="10" t="s">
        <v>20</v>
      </c>
      <c r="D220" s="10" t="s">
        <v>36</v>
      </c>
      <c r="E220" s="10" t="s">
        <v>709</v>
      </c>
      <c r="F220" s="10" t="s">
        <v>694</v>
      </c>
      <c r="G220" s="10" t="s">
        <v>697</v>
      </c>
      <c r="H220" s="11">
        <v>0</v>
      </c>
      <c r="I220" s="11">
        <v>0</v>
      </c>
      <c r="J220" s="11">
        <f t="shared" si="9"/>
        <v>0</v>
      </c>
      <c r="K220" s="11">
        <v>0</v>
      </c>
      <c r="L220" s="12">
        <f t="shared" si="10"/>
        <v>0</v>
      </c>
    </row>
    <row r="221" spans="1:12" x14ac:dyDescent="0.3">
      <c r="A221" s="9" t="s">
        <v>242</v>
      </c>
      <c r="B221" s="10" t="s">
        <v>598</v>
      </c>
      <c r="C221" s="10" t="s">
        <v>118</v>
      </c>
      <c r="D221" s="10" t="s">
        <v>123</v>
      </c>
      <c r="E221" s="10" t="s">
        <v>703</v>
      </c>
      <c r="F221" s="10" t="s">
        <v>694</v>
      </c>
      <c r="G221" s="10" t="s">
        <v>696</v>
      </c>
      <c r="H221" s="11">
        <v>7</v>
      </c>
      <c r="I221" s="11">
        <v>13</v>
      </c>
      <c r="J221" s="11">
        <f t="shared" si="9"/>
        <v>13.448275862068966</v>
      </c>
      <c r="K221" s="11">
        <v>20</v>
      </c>
      <c r="L221" s="12">
        <f t="shared" si="10"/>
        <v>0.92118226600985231</v>
      </c>
    </row>
    <row r="222" spans="1:12" x14ac:dyDescent="0.3">
      <c r="A222" s="9" t="s">
        <v>236</v>
      </c>
      <c r="B222" s="10" t="s">
        <v>594</v>
      </c>
      <c r="C222" s="10" t="s">
        <v>118</v>
      </c>
      <c r="D222" s="10" t="s">
        <v>138</v>
      </c>
      <c r="E222" s="10" t="s">
        <v>703</v>
      </c>
      <c r="F222" s="10" t="s">
        <v>694</v>
      </c>
      <c r="G222" s="10" t="s">
        <v>698</v>
      </c>
      <c r="H222" s="11">
        <v>6</v>
      </c>
      <c r="I222" s="11">
        <v>7</v>
      </c>
      <c r="J222" s="11">
        <f t="shared" si="9"/>
        <v>7.2413793103448283</v>
      </c>
      <c r="K222" s="11">
        <v>25</v>
      </c>
      <c r="L222" s="12">
        <f t="shared" si="10"/>
        <v>0.20689655172413804</v>
      </c>
    </row>
    <row r="223" spans="1:12" x14ac:dyDescent="0.3">
      <c r="A223" s="9" t="s">
        <v>306</v>
      </c>
      <c r="B223" s="10" t="s">
        <v>661</v>
      </c>
      <c r="C223" s="10" t="s">
        <v>22</v>
      </c>
      <c r="D223" s="10" t="s">
        <v>40</v>
      </c>
      <c r="E223" s="10" t="s">
        <v>709</v>
      </c>
      <c r="F223" s="10" t="s">
        <v>694</v>
      </c>
      <c r="G223" s="10" t="s">
        <v>700</v>
      </c>
      <c r="H223" s="11">
        <v>0</v>
      </c>
      <c r="I223" s="11">
        <v>0</v>
      </c>
      <c r="J223" s="11">
        <f t="shared" si="9"/>
        <v>0</v>
      </c>
      <c r="K223" s="11">
        <v>0</v>
      </c>
      <c r="L223" s="12">
        <f t="shared" si="10"/>
        <v>0</v>
      </c>
    </row>
    <row r="224" spans="1:12" x14ac:dyDescent="0.3">
      <c r="A224" s="9" t="s">
        <v>307</v>
      </c>
      <c r="B224" s="10" t="s">
        <v>662</v>
      </c>
      <c r="C224" s="10" t="s">
        <v>22</v>
      </c>
      <c r="D224" s="10" t="s">
        <v>46</v>
      </c>
      <c r="E224" s="10" t="s">
        <v>709</v>
      </c>
      <c r="F224" s="10" t="s">
        <v>694</v>
      </c>
      <c r="G224" s="10" t="s">
        <v>700</v>
      </c>
      <c r="H224" s="11">
        <v>0</v>
      </c>
      <c r="I224" s="11">
        <v>0</v>
      </c>
      <c r="J224" s="11">
        <f t="shared" si="9"/>
        <v>0</v>
      </c>
      <c r="K224" s="11">
        <v>0</v>
      </c>
      <c r="L224" s="12">
        <f t="shared" si="10"/>
        <v>0</v>
      </c>
    </row>
    <row r="225" spans="1:20" x14ac:dyDescent="0.3">
      <c r="A225" s="9" t="s">
        <v>308</v>
      </c>
      <c r="B225" s="10" t="s">
        <v>663</v>
      </c>
      <c r="C225" s="10" t="s">
        <v>22</v>
      </c>
      <c r="D225" s="10" t="s">
        <v>44</v>
      </c>
      <c r="E225" s="10" t="s">
        <v>709</v>
      </c>
      <c r="F225" s="10" t="s">
        <v>694</v>
      </c>
      <c r="G225" s="10" t="s">
        <v>700</v>
      </c>
      <c r="H225" s="11">
        <v>0</v>
      </c>
      <c r="I225" s="11">
        <v>0</v>
      </c>
      <c r="J225" s="11">
        <f t="shared" si="9"/>
        <v>0</v>
      </c>
      <c r="K225" s="11">
        <v>0</v>
      </c>
      <c r="L225" s="12">
        <f t="shared" si="10"/>
        <v>0</v>
      </c>
    </row>
    <row r="226" spans="1:20" x14ac:dyDescent="0.3">
      <c r="A226" s="9" t="s">
        <v>309</v>
      </c>
      <c r="B226" s="10" t="s">
        <v>664</v>
      </c>
      <c r="C226" s="10" t="s">
        <v>22</v>
      </c>
      <c r="D226" s="10" t="s">
        <v>46</v>
      </c>
      <c r="E226" s="10" t="s">
        <v>709</v>
      </c>
      <c r="F226" s="10" t="s">
        <v>694</v>
      </c>
      <c r="G226" s="10" t="s">
        <v>700</v>
      </c>
      <c r="H226" s="11">
        <v>0</v>
      </c>
      <c r="I226" s="11">
        <v>0</v>
      </c>
      <c r="J226" s="11">
        <f t="shared" si="9"/>
        <v>0</v>
      </c>
      <c r="K226" s="11">
        <v>0</v>
      </c>
      <c r="L226" s="12">
        <f t="shared" si="10"/>
        <v>0</v>
      </c>
    </row>
    <row r="227" spans="1:20" x14ac:dyDescent="0.3">
      <c r="A227" s="9" t="s">
        <v>310</v>
      </c>
      <c r="B227" s="10" t="s">
        <v>665</v>
      </c>
      <c r="C227" s="10" t="s">
        <v>22</v>
      </c>
      <c r="D227" s="10" t="s">
        <v>48</v>
      </c>
      <c r="E227" s="10" t="s">
        <v>709</v>
      </c>
      <c r="F227" s="10" t="s">
        <v>694</v>
      </c>
      <c r="G227" s="10" t="s">
        <v>700</v>
      </c>
      <c r="H227" s="11">
        <v>0</v>
      </c>
      <c r="I227" s="11">
        <v>0</v>
      </c>
      <c r="J227" s="11">
        <f t="shared" si="9"/>
        <v>0</v>
      </c>
      <c r="K227" s="11">
        <v>0</v>
      </c>
      <c r="L227" s="12">
        <f t="shared" si="10"/>
        <v>0</v>
      </c>
    </row>
    <row r="228" spans="1:20" x14ac:dyDescent="0.3">
      <c r="A228" s="9" t="s">
        <v>241</v>
      </c>
      <c r="B228" s="10" t="s">
        <v>597</v>
      </c>
      <c r="C228" s="10" t="s">
        <v>118</v>
      </c>
      <c r="D228" s="10" t="s">
        <v>138</v>
      </c>
      <c r="E228" s="10" t="s">
        <v>703</v>
      </c>
      <c r="F228" s="10" t="s">
        <v>694</v>
      </c>
      <c r="G228" s="10" t="s">
        <v>698</v>
      </c>
      <c r="H228" s="11">
        <v>7</v>
      </c>
      <c r="I228" s="11">
        <v>6</v>
      </c>
      <c r="J228" s="11">
        <f t="shared" si="9"/>
        <v>6.2068965517241379</v>
      </c>
      <c r="K228" s="11">
        <v>17</v>
      </c>
      <c r="L228" s="12">
        <f t="shared" si="10"/>
        <v>-0.11330049261083744</v>
      </c>
    </row>
    <row r="229" spans="1:20" x14ac:dyDescent="0.3">
      <c r="A229" s="9" t="s">
        <v>245</v>
      </c>
      <c r="B229" s="10" t="s">
        <v>601</v>
      </c>
      <c r="C229" s="10" t="s">
        <v>118</v>
      </c>
      <c r="D229" s="10" t="s">
        <v>138</v>
      </c>
      <c r="E229" s="10" t="s">
        <v>703</v>
      </c>
      <c r="F229" s="10" t="s">
        <v>694</v>
      </c>
      <c r="G229" s="10" t="s">
        <v>695</v>
      </c>
      <c r="H229" s="11">
        <v>4</v>
      </c>
      <c r="I229" s="11">
        <v>2</v>
      </c>
      <c r="J229" s="11">
        <f t="shared" si="9"/>
        <v>2.0689655172413794</v>
      </c>
      <c r="K229" s="11">
        <v>26</v>
      </c>
      <c r="L229" s="12">
        <f t="shared" si="10"/>
        <v>-0.48275862068965514</v>
      </c>
    </row>
    <row r="230" spans="1:20" x14ac:dyDescent="0.3">
      <c r="A230" s="9" t="s">
        <v>244</v>
      </c>
      <c r="B230" s="10" t="s">
        <v>600</v>
      </c>
      <c r="C230" s="10" t="s">
        <v>118</v>
      </c>
      <c r="D230" s="10" t="s">
        <v>138</v>
      </c>
      <c r="E230" s="10" t="s">
        <v>703</v>
      </c>
      <c r="F230" s="10" t="s">
        <v>694</v>
      </c>
      <c r="G230" s="10" t="s">
        <v>699</v>
      </c>
      <c r="H230" s="11">
        <v>4</v>
      </c>
      <c r="I230" s="11">
        <v>4</v>
      </c>
      <c r="J230" s="11">
        <f t="shared" si="9"/>
        <v>4.1379310344827589</v>
      </c>
      <c r="K230" s="11">
        <v>17</v>
      </c>
      <c r="L230" s="12">
        <f t="shared" si="10"/>
        <v>3.4482758620689724E-2</v>
      </c>
    </row>
    <row r="231" spans="1:20" x14ac:dyDescent="0.3">
      <c r="A231" s="9" t="s">
        <v>311</v>
      </c>
      <c r="B231" s="10" t="s">
        <v>666</v>
      </c>
      <c r="C231" s="10" t="s">
        <v>22</v>
      </c>
      <c r="D231" s="10" t="s">
        <v>28</v>
      </c>
      <c r="E231" s="10" t="s">
        <v>709</v>
      </c>
      <c r="F231" s="10" t="s">
        <v>694</v>
      </c>
      <c r="G231" s="10" t="s">
        <v>695</v>
      </c>
      <c r="H231" s="11">
        <v>0</v>
      </c>
      <c r="I231" s="11">
        <v>0</v>
      </c>
      <c r="J231" s="11">
        <f t="shared" si="9"/>
        <v>0</v>
      </c>
      <c r="K231" s="11">
        <v>0</v>
      </c>
      <c r="L231" s="12">
        <f t="shared" si="10"/>
        <v>0</v>
      </c>
    </row>
    <row r="232" spans="1:20" x14ac:dyDescent="0.3">
      <c r="A232" s="9" t="s">
        <v>312</v>
      </c>
      <c r="B232" s="10" t="s">
        <v>667</v>
      </c>
      <c r="C232" s="10" t="s">
        <v>20</v>
      </c>
      <c r="D232" s="10" t="s">
        <v>30</v>
      </c>
      <c r="E232" s="10" t="s">
        <v>709</v>
      </c>
      <c r="F232" s="10" t="s">
        <v>694</v>
      </c>
      <c r="G232" s="10" t="s">
        <v>696</v>
      </c>
      <c r="H232" s="11">
        <v>0</v>
      </c>
      <c r="I232" s="11">
        <v>0</v>
      </c>
      <c r="J232" s="11">
        <f t="shared" si="9"/>
        <v>0</v>
      </c>
      <c r="K232" s="11">
        <v>0</v>
      </c>
      <c r="L232" s="12">
        <f t="shared" si="10"/>
        <v>0</v>
      </c>
    </row>
    <row r="233" spans="1:20" x14ac:dyDescent="0.3">
      <c r="A233" s="9" t="s">
        <v>313</v>
      </c>
      <c r="B233" s="10" t="s">
        <v>668</v>
      </c>
      <c r="C233" s="10" t="s">
        <v>22</v>
      </c>
      <c r="D233" s="10" t="s">
        <v>46</v>
      </c>
      <c r="E233" s="10" t="s">
        <v>709</v>
      </c>
      <c r="F233" s="10" t="s">
        <v>694</v>
      </c>
      <c r="G233" s="10" t="s">
        <v>700</v>
      </c>
      <c r="H233" s="11">
        <v>0</v>
      </c>
      <c r="I233" s="11">
        <v>0</v>
      </c>
      <c r="J233" s="11">
        <f t="shared" si="9"/>
        <v>0</v>
      </c>
      <c r="K233" s="11">
        <v>0</v>
      </c>
      <c r="L233" s="12">
        <f t="shared" si="10"/>
        <v>0</v>
      </c>
    </row>
    <row r="234" spans="1:20" x14ac:dyDescent="0.3">
      <c r="A234" s="9" t="s">
        <v>314</v>
      </c>
      <c r="B234" s="10" t="s">
        <v>669</v>
      </c>
      <c r="C234" s="10" t="s">
        <v>22</v>
      </c>
      <c r="D234" s="10" t="s">
        <v>46</v>
      </c>
      <c r="E234" s="10" t="s">
        <v>709</v>
      </c>
      <c r="F234" s="10" t="s">
        <v>694</v>
      </c>
      <c r="G234" s="10" t="s">
        <v>700</v>
      </c>
      <c r="H234" s="11">
        <v>0</v>
      </c>
      <c r="I234" s="11">
        <v>0</v>
      </c>
      <c r="J234" s="11">
        <f t="shared" si="9"/>
        <v>0</v>
      </c>
      <c r="K234" s="11">
        <v>0</v>
      </c>
      <c r="L234" s="12">
        <f t="shared" si="10"/>
        <v>0</v>
      </c>
    </row>
    <row r="235" spans="1:20" x14ac:dyDescent="0.3">
      <c r="A235" s="9" t="s">
        <v>315</v>
      </c>
      <c r="B235" s="10" t="s">
        <v>670</v>
      </c>
      <c r="C235" s="10" t="s">
        <v>20</v>
      </c>
      <c r="D235" s="10" t="s">
        <v>36</v>
      </c>
      <c r="E235" s="10" t="s">
        <v>709</v>
      </c>
      <c r="F235" s="10" t="s">
        <v>694</v>
      </c>
      <c r="G235" s="10" t="s">
        <v>697</v>
      </c>
      <c r="H235" s="11">
        <v>0</v>
      </c>
      <c r="I235" s="11">
        <v>0</v>
      </c>
      <c r="J235" s="11">
        <f t="shared" si="9"/>
        <v>0</v>
      </c>
      <c r="K235" s="11">
        <v>0</v>
      </c>
      <c r="L235" s="12">
        <f t="shared" si="10"/>
        <v>0</v>
      </c>
    </row>
    <row r="236" spans="1:20" x14ac:dyDescent="0.3">
      <c r="A236" s="9" t="s">
        <v>243</v>
      </c>
      <c r="B236" s="10" t="s">
        <v>599</v>
      </c>
      <c r="C236" s="10" t="s">
        <v>118</v>
      </c>
      <c r="D236" s="10" t="s">
        <v>138</v>
      </c>
      <c r="E236" s="10" t="s">
        <v>703</v>
      </c>
      <c r="F236" s="10" t="s">
        <v>694</v>
      </c>
      <c r="G236" s="10" t="s">
        <v>695</v>
      </c>
      <c r="H236" s="11">
        <v>1</v>
      </c>
      <c r="I236" s="11">
        <v>0</v>
      </c>
      <c r="J236" s="11">
        <f t="shared" si="9"/>
        <v>0</v>
      </c>
      <c r="K236" s="11">
        <v>26</v>
      </c>
      <c r="L236" s="12">
        <f t="shared" si="10"/>
        <v>-1</v>
      </c>
    </row>
    <row r="237" spans="1:20" x14ac:dyDescent="0.3">
      <c r="A237" s="9" t="s">
        <v>316</v>
      </c>
      <c r="B237" s="10" t="s">
        <v>671</v>
      </c>
      <c r="C237" s="10" t="s">
        <v>22</v>
      </c>
      <c r="D237" s="10" t="s">
        <v>42</v>
      </c>
      <c r="E237" s="10" t="s">
        <v>709</v>
      </c>
      <c r="F237" s="10" t="s">
        <v>694</v>
      </c>
      <c r="G237" s="10" t="s">
        <v>699</v>
      </c>
      <c r="H237" s="11">
        <v>0</v>
      </c>
      <c r="I237" s="11">
        <v>0</v>
      </c>
      <c r="J237" s="11">
        <f t="shared" si="9"/>
        <v>0</v>
      </c>
      <c r="K237" s="11">
        <v>0</v>
      </c>
      <c r="L237" s="12">
        <f t="shared" si="10"/>
        <v>0</v>
      </c>
    </row>
    <row r="238" spans="1:20" x14ac:dyDescent="0.3">
      <c r="A238" s="9" t="s">
        <v>317</v>
      </c>
      <c r="B238" s="10" t="s">
        <v>672</v>
      </c>
      <c r="C238" s="10" t="s">
        <v>20</v>
      </c>
      <c r="D238" s="10" t="s">
        <v>38</v>
      </c>
      <c r="E238" s="10" t="s">
        <v>709</v>
      </c>
      <c r="F238" s="10" t="s">
        <v>694</v>
      </c>
      <c r="G238" s="10" t="s">
        <v>696</v>
      </c>
      <c r="H238" s="11">
        <v>0</v>
      </c>
      <c r="I238" s="11">
        <v>0</v>
      </c>
      <c r="J238" s="11">
        <f t="shared" si="9"/>
        <v>0</v>
      </c>
      <c r="K238" s="11">
        <v>0</v>
      </c>
      <c r="L238" s="12">
        <f t="shared" si="10"/>
        <v>0</v>
      </c>
    </row>
    <row r="239" spans="1:20" x14ac:dyDescent="0.3">
      <c r="A239" s="9" t="s">
        <v>318</v>
      </c>
      <c r="B239" s="10" t="s">
        <v>673</v>
      </c>
      <c r="C239" s="10" t="s">
        <v>22</v>
      </c>
      <c r="D239" s="10" t="s">
        <v>44</v>
      </c>
      <c r="E239" s="10" t="s">
        <v>709</v>
      </c>
      <c r="F239" s="10" t="s">
        <v>694</v>
      </c>
      <c r="G239" s="10" t="s">
        <v>695</v>
      </c>
      <c r="H239" s="11">
        <v>0</v>
      </c>
      <c r="I239" s="11">
        <v>0</v>
      </c>
      <c r="J239" s="11">
        <f t="shared" si="9"/>
        <v>0</v>
      </c>
      <c r="K239" s="11">
        <v>0</v>
      </c>
      <c r="L239" s="12">
        <f t="shared" si="10"/>
        <v>0</v>
      </c>
    </row>
    <row r="240" spans="1:20" s="16" customFormat="1" ht="15.05" customHeight="1" x14ac:dyDescent="0.3">
      <c r="A240" s="5" t="s">
        <v>24</v>
      </c>
      <c r="B240" s="8"/>
      <c r="C240" s="8"/>
      <c r="D240" s="8"/>
      <c r="E240" s="8"/>
      <c r="F240" s="8"/>
      <c r="G240" s="8"/>
      <c r="H240" s="13">
        <f>SUM(H5:H239)</f>
        <v>847</v>
      </c>
      <c r="I240" s="13">
        <f>SUM(I5:I239)</f>
        <v>602</v>
      </c>
      <c r="J240" s="13">
        <f>SUM(J5:J239)</f>
        <v>622.7586206896558</v>
      </c>
      <c r="K240" s="13">
        <f>SUM(K5:K239)</f>
        <v>2094</v>
      </c>
      <c r="L240" s="15">
        <f t="shared" si="10"/>
        <v>-0.2647477913935587</v>
      </c>
      <c r="O240"/>
      <c r="P240"/>
      <c r="Q240"/>
      <c r="R240"/>
      <c r="S240"/>
      <c r="T240"/>
    </row>
    <row r="241" ht="15.05" customHeight="1" x14ac:dyDescent="0.3"/>
  </sheetData>
  <autoFilter ref="A4:L240" xr:uid="{263873B6-52D9-40A1-87F7-EAE51C61C9B1}"/>
  <mergeCells count="2">
    <mergeCell ref="A3:L3"/>
    <mergeCell ref="O3:T3"/>
  </mergeCells>
  <conditionalFormatting sqref="A5:A239">
    <cfRule type="duplicateValues" dxfId="4" priority="2"/>
  </conditionalFormatting>
  <conditionalFormatting sqref="T5:T8 L5:L240 T11:T27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1C03-CCCE-4AE4-A9C6-63209BC8BF74}">
  <dimension ref="A1:V207"/>
  <sheetViews>
    <sheetView showGridLines="0" zoomScale="68" zoomScaleNormal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8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5.6640625" customWidth="1"/>
    <col min="12" max="13" width="15.6640625" hidden="1" customWidth="1"/>
    <col min="14" max="15" width="0" hidden="1" customWidth="1"/>
    <col min="16" max="16" width="23" hidden="1" customWidth="1"/>
    <col min="17" max="19" width="16.44140625" hidden="1" customWidth="1"/>
    <col min="20" max="22" width="16.4414062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2" x14ac:dyDescent="0.3">
      <c r="A1" s="1">
        <v>29</v>
      </c>
      <c r="B1" s="1">
        <v>30</v>
      </c>
      <c r="G1" s="16"/>
      <c r="H1" s="16"/>
      <c r="I1" s="16"/>
      <c r="J1" s="16"/>
      <c r="K1" s="16"/>
    </row>
    <row r="2" spans="1:22" x14ac:dyDescent="0.3">
      <c r="A2" s="17"/>
      <c r="B2" s="17"/>
    </row>
    <row r="3" spans="1:22" s="4" customFormat="1" ht="23.5" customHeight="1" x14ac:dyDescent="0.3">
      <c r="A3" s="2" t="str">
        <f>"BOLTECH (01 - "&amp;A1&amp;" SEPTEMBER 2026)"</f>
        <v>BOLTECH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2" t="str">
        <f>A3</f>
        <v>BOLTECH (01 - 29 SEPTEMBER 2026)</v>
      </c>
      <c r="Q3" s="2"/>
      <c r="R3" s="2"/>
      <c r="S3" s="2"/>
      <c r="T3" s="2"/>
      <c r="U3" s="2"/>
      <c r="V3" s="2"/>
    </row>
    <row r="4" spans="1:22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P4" s="8" t="s">
        <v>2</v>
      </c>
      <c r="Q4" s="8" t="s">
        <v>7</v>
      </c>
      <c r="R4" s="8" t="s">
        <v>8</v>
      </c>
      <c r="S4" s="8" t="s">
        <v>9</v>
      </c>
      <c r="T4" s="8" t="s">
        <v>10</v>
      </c>
      <c r="U4" s="8" t="s">
        <v>11</v>
      </c>
      <c r="V4" s="8" t="s">
        <v>12</v>
      </c>
    </row>
    <row r="5" spans="1:22" x14ac:dyDescent="0.3">
      <c r="A5" s="9" t="s">
        <v>57</v>
      </c>
      <c r="B5" s="10" t="s">
        <v>428</v>
      </c>
      <c r="C5" s="10" t="s">
        <v>22</v>
      </c>
      <c r="D5" s="10" t="s">
        <v>46</v>
      </c>
      <c r="E5" s="10" t="s">
        <v>693</v>
      </c>
      <c r="F5" s="10" t="s">
        <v>694</v>
      </c>
      <c r="G5" s="10" t="s">
        <v>700</v>
      </c>
      <c r="H5" s="11">
        <v>41683785</v>
      </c>
      <c r="I5" s="11">
        <v>67856700</v>
      </c>
      <c r="J5" s="11">
        <v>37829732</v>
      </c>
      <c r="K5" s="11">
        <f>IFERROR(J5/$A$1*$B$1,0)</f>
        <v>39134205.517241374</v>
      </c>
      <c r="L5" s="18">
        <f t="shared" ref="L5:L68" si="0">IFERROR((K5/I5),0)</f>
        <v>0.57671837146871829</v>
      </c>
      <c r="M5" s="18">
        <f t="shared" ref="M5:M68" si="1">IFERROR((K5-H5)/H5,0)</f>
        <v>-6.1164778648547066E-2</v>
      </c>
      <c r="P5" s="10" t="s">
        <v>116</v>
      </c>
      <c r="Q5" s="11">
        <f t="shared" ref="Q5:T8" si="2">SUMIF($C:$C,$P5,H:H)</f>
        <v>2875902695</v>
      </c>
      <c r="R5" s="11">
        <f t="shared" si="2"/>
        <v>4800000000</v>
      </c>
      <c r="S5" s="11">
        <f t="shared" si="2"/>
        <v>2713552224</v>
      </c>
      <c r="T5" s="11">
        <f t="shared" si="2"/>
        <v>2807122990.3448286</v>
      </c>
      <c r="U5" s="18">
        <f>IFERROR((T5/R5),0)</f>
        <v>0.58481728965517266</v>
      </c>
      <c r="V5" s="18">
        <f>IFERROR((T5-Q5)/Q5,0)</f>
        <v>-2.3915866407702432E-2</v>
      </c>
    </row>
    <row r="6" spans="1:22" x14ac:dyDescent="0.3">
      <c r="A6" s="9" t="s">
        <v>25</v>
      </c>
      <c r="B6" s="10" t="s">
        <v>407</v>
      </c>
      <c r="C6" s="10" t="s">
        <v>20</v>
      </c>
      <c r="D6" s="10" t="s">
        <v>32</v>
      </c>
      <c r="E6" s="10" t="s">
        <v>693</v>
      </c>
      <c r="F6" s="10" t="s">
        <v>694</v>
      </c>
      <c r="G6" s="10" t="s">
        <v>696</v>
      </c>
      <c r="H6" s="11">
        <v>48438729</v>
      </c>
      <c r="I6" s="11">
        <v>56915700</v>
      </c>
      <c r="J6" s="11">
        <v>20896385</v>
      </c>
      <c r="K6" s="11">
        <f t="shared" ref="K6:K69" si="3">IFERROR(J6/$A$1*$B$1,0)</f>
        <v>21616950</v>
      </c>
      <c r="L6" s="18">
        <f t="shared" si="0"/>
        <v>0.37980645059271873</v>
      </c>
      <c r="M6" s="18">
        <f t="shared" si="1"/>
        <v>-0.5537259039146134</v>
      </c>
      <c r="P6" s="10" t="s">
        <v>20</v>
      </c>
      <c r="Q6" s="11">
        <f t="shared" si="2"/>
        <v>822874650</v>
      </c>
      <c r="R6" s="11">
        <f t="shared" si="2"/>
        <v>1400000000</v>
      </c>
      <c r="S6" s="11">
        <f t="shared" si="2"/>
        <v>661805283</v>
      </c>
      <c r="T6" s="11">
        <f t="shared" si="2"/>
        <v>684626154.82758605</v>
      </c>
      <c r="U6" s="18">
        <f>IFERROR((T6/R6),0)</f>
        <v>0.48901868201970433</v>
      </c>
      <c r="V6" s="18">
        <f>IFERROR((T6-Q6)/Q6,0)</f>
        <v>-0.16800674947565095</v>
      </c>
    </row>
    <row r="7" spans="1:22" x14ac:dyDescent="0.3">
      <c r="A7" s="9" t="s">
        <v>126</v>
      </c>
      <c r="B7" s="10" t="s">
        <v>492</v>
      </c>
      <c r="C7" s="10" t="s">
        <v>20</v>
      </c>
      <c r="D7" s="10" t="s">
        <v>34</v>
      </c>
      <c r="E7" s="10" t="s">
        <v>693</v>
      </c>
      <c r="F7" s="10" t="s">
        <v>694</v>
      </c>
      <c r="G7" s="10" t="s">
        <v>697</v>
      </c>
      <c r="H7" s="11">
        <v>5411712</v>
      </c>
      <c r="I7" s="11">
        <v>13020500</v>
      </c>
      <c r="J7" s="11">
        <v>7190990</v>
      </c>
      <c r="K7" s="11">
        <f t="shared" si="3"/>
        <v>7438955.1724137934</v>
      </c>
      <c r="L7" s="18">
        <f t="shared" si="0"/>
        <v>0.57132638319678919</v>
      </c>
      <c r="M7" s="18">
        <f t="shared" si="1"/>
        <v>0.37460293016586865</v>
      </c>
      <c r="P7" s="10" t="s">
        <v>118</v>
      </c>
      <c r="Q7" s="11">
        <f t="shared" si="2"/>
        <v>1265962907</v>
      </c>
      <c r="R7" s="11">
        <f t="shared" si="2"/>
        <v>1400000000</v>
      </c>
      <c r="S7" s="11">
        <f t="shared" si="2"/>
        <v>607169268</v>
      </c>
      <c r="T7" s="11">
        <f t="shared" si="2"/>
        <v>628106139.31034482</v>
      </c>
      <c r="U7" s="18">
        <f>IFERROR((T7/R7),0)</f>
        <v>0.44864724236453202</v>
      </c>
      <c r="V7" s="18">
        <f>IFERROR((T7-Q7)/Q7,0)</f>
        <v>-0.50385107190953038</v>
      </c>
    </row>
    <row r="8" spans="1:22" x14ac:dyDescent="0.3">
      <c r="A8" s="9" t="s">
        <v>117</v>
      </c>
      <c r="B8" s="10" t="s">
        <v>485</v>
      </c>
      <c r="C8" s="10" t="s">
        <v>20</v>
      </c>
      <c r="D8" s="10" t="s">
        <v>38</v>
      </c>
      <c r="E8" s="10" t="s">
        <v>693</v>
      </c>
      <c r="F8" s="10" t="s">
        <v>694</v>
      </c>
      <c r="G8" s="10" t="s">
        <v>696</v>
      </c>
      <c r="H8" s="11">
        <v>39417108</v>
      </c>
      <c r="I8" s="11">
        <v>56042300</v>
      </c>
      <c r="J8" s="11">
        <v>25665759</v>
      </c>
      <c r="K8" s="11">
        <f t="shared" si="3"/>
        <v>26550785.172413796</v>
      </c>
      <c r="L8" s="18">
        <f t="shared" si="0"/>
        <v>0.47376330329793381</v>
      </c>
      <c r="M8" s="18">
        <f t="shared" si="1"/>
        <v>-0.32641468338027751</v>
      </c>
      <c r="P8" s="10" t="s">
        <v>22</v>
      </c>
      <c r="Q8" s="11">
        <f t="shared" si="2"/>
        <v>1327000723</v>
      </c>
      <c r="R8" s="11">
        <f t="shared" si="2"/>
        <v>2400000000</v>
      </c>
      <c r="S8" s="11">
        <f t="shared" si="2"/>
        <v>1097242177</v>
      </c>
      <c r="T8" s="11">
        <f t="shared" si="2"/>
        <v>1135078114.1379311</v>
      </c>
      <c r="U8" s="18">
        <f>IFERROR((T8/R8),0)</f>
        <v>0.47294921422413794</v>
      </c>
      <c r="V8" s="18">
        <f>IFERROR((T8-Q8)/Q8,0)</f>
        <v>-0.14462886533187586</v>
      </c>
    </row>
    <row r="9" spans="1:22" x14ac:dyDescent="0.3">
      <c r="A9" s="9" t="s">
        <v>47</v>
      </c>
      <c r="B9" s="10" t="s">
        <v>419</v>
      </c>
      <c r="C9" s="10" t="s">
        <v>20</v>
      </c>
      <c r="D9" s="10" t="s">
        <v>38</v>
      </c>
      <c r="E9" s="10" t="s">
        <v>693</v>
      </c>
      <c r="F9" s="10" t="s">
        <v>694</v>
      </c>
      <c r="G9" s="10" t="s">
        <v>696</v>
      </c>
      <c r="H9" s="11">
        <v>40037834</v>
      </c>
      <c r="I9" s="11">
        <v>89159200</v>
      </c>
      <c r="J9" s="11">
        <v>23977473</v>
      </c>
      <c r="K9" s="11">
        <f t="shared" si="3"/>
        <v>24804282.413793102</v>
      </c>
      <c r="L9" s="18">
        <f t="shared" si="0"/>
        <v>0.27820216437331313</v>
      </c>
      <c r="M9" s="18">
        <f t="shared" si="1"/>
        <v>-0.38047891367467324</v>
      </c>
      <c r="P9" s="5" t="s">
        <v>67</v>
      </c>
      <c r="Q9" s="13">
        <f>SUM(Q5:Q8)</f>
        <v>6291740975</v>
      </c>
      <c r="R9" s="13">
        <f>SUM(R5:R8)</f>
        <v>10000000000</v>
      </c>
      <c r="S9" s="13">
        <f>SUM(S5:S8)</f>
        <v>5079768952</v>
      </c>
      <c r="T9" s="13">
        <f>SUM(T5:T8)</f>
        <v>5254933398.6206903</v>
      </c>
      <c r="U9" s="14">
        <f>IFERROR((T9/R9),0)</f>
        <v>0.52549333986206903</v>
      </c>
      <c r="V9" s="19">
        <f>IFERROR((T9-Q9)/Q9,0)</f>
        <v>-0.16478866191393229</v>
      </c>
    </row>
    <row r="10" spans="1:22" x14ac:dyDescent="0.3">
      <c r="A10" s="9" t="s">
        <v>33</v>
      </c>
      <c r="B10" s="10" t="s">
        <v>412</v>
      </c>
      <c r="C10" s="10" t="s">
        <v>20</v>
      </c>
      <c r="D10" s="10" t="s">
        <v>30</v>
      </c>
      <c r="E10" s="10" t="s">
        <v>693</v>
      </c>
      <c r="F10" s="10" t="s">
        <v>694</v>
      </c>
      <c r="G10" s="10" t="s">
        <v>696</v>
      </c>
      <c r="H10" s="11">
        <v>11098195</v>
      </c>
      <c r="I10" s="11">
        <v>21616000</v>
      </c>
      <c r="J10" s="11">
        <v>8481982</v>
      </c>
      <c r="K10" s="11">
        <f t="shared" si="3"/>
        <v>8774464.137931034</v>
      </c>
      <c r="L10" s="18">
        <f t="shared" si="0"/>
        <v>0.40592450675106562</v>
      </c>
      <c r="M10" s="18">
        <f t="shared" si="1"/>
        <v>-0.20937917040284174</v>
      </c>
    </row>
    <row r="11" spans="1:22" x14ac:dyDescent="0.3">
      <c r="A11" s="9" t="s">
        <v>21</v>
      </c>
      <c r="B11" s="10" t="s">
        <v>405</v>
      </c>
      <c r="C11" s="10" t="s">
        <v>20</v>
      </c>
      <c r="D11" s="10" t="s">
        <v>30</v>
      </c>
      <c r="E11" s="10" t="s">
        <v>693</v>
      </c>
      <c r="F11" s="10" t="s">
        <v>694</v>
      </c>
      <c r="G11" s="10" t="s">
        <v>696</v>
      </c>
      <c r="H11" s="11">
        <v>46561257</v>
      </c>
      <c r="I11" s="11">
        <v>52871600</v>
      </c>
      <c r="J11" s="11">
        <v>23947747</v>
      </c>
      <c r="K11" s="11">
        <f t="shared" si="3"/>
        <v>24773531.379310343</v>
      </c>
      <c r="L11" s="18">
        <f t="shared" si="0"/>
        <v>0.46856027393364952</v>
      </c>
      <c r="M11" s="18">
        <f t="shared" si="1"/>
        <v>-0.46793680034646951</v>
      </c>
      <c r="P11" s="8" t="s">
        <v>3</v>
      </c>
      <c r="Q11" s="8" t="s">
        <v>7</v>
      </c>
      <c r="R11" s="8" t="s">
        <v>8</v>
      </c>
      <c r="S11" s="8" t="s">
        <v>9</v>
      </c>
      <c r="T11" s="8" t="s">
        <v>10</v>
      </c>
      <c r="U11" s="8" t="s">
        <v>11</v>
      </c>
      <c r="V11" s="8" t="s">
        <v>12</v>
      </c>
    </row>
    <row r="12" spans="1:22" x14ac:dyDescent="0.3">
      <c r="A12" s="9" t="s">
        <v>119</v>
      </c>
      <c r="B12" s="10" t="s">
        <v>486</v>
      </c>
      <c r="C12" s="10" t="s">
        <v>20</v>
      </c>
      <c r="D12" s="10" t="s">
        <v>34</v>
      </c>
      <c r="E12" s="10" t="s">
        <v>693</v>
      </c>
      <c r="F12" s="10" t="s">
        <v>694</v>
      </c>
      <c r="G12" s="10" t="s">
        <v>697</v>
      </c>
      <c r="H12" s="11">
        <v>13103599</v>
      </c>
      <c r="I12" s="11">
        <v>30818300</v>
      </c>
      <c r="J12" s="11">
        <v>14236933</v>
      </c>
      <c r="K12" s="11">
        <f t="shared" si="3"/>
        <v>14727861.72413793</v>
      </c>
      <c r="L12" s="18">
        <f t="shared" si="0"/>
        <v>0.47789338555786431</v>
      </c>
      <c r="M12" s="18">
        <f t="shared" si="1"/>
        <v>0.12395546629120215</v>
      </c>
      <c r="P12" s="10" t="s">
        <v>28</v>
      </c>
      <c r="Q12" s="11">
        <f t="shared" ref="Q12:T31" si="4">SUMIF($D:$D,$P12,H:H)</f>
        <v>208236884</v>
      </c>
      <c r="R12" s="11">
        <f t="shared" si="4"/>
        <v>450000000</v>
      </c>
      <c r="S12" s="11">
        <f t="shared" si="4"/>
        <v>124003556</v>
      </c>
      <c r="T12" s="11">
        <f t="shared" si="4"/>
        <v>128279540.68965515</v>
      </c>
      <c r="U12" s="18">
        <f t="shared" ref="U12:U32" si="5">IFERROR((T12/R12),0)</f>
        <v>0.28506564597701145</v>
      </c>
      <c r="V12" s="18">
        <f t="shared" ref="V12:V32" si="6">IFERROR((T12-Q12)/Q12,0)</f>
        <v>-0.38397301080602436</v>
      </c>
    </row>
    <row r="13" spans="1:22" x14ac:dyDescent="0.3">
      <c r="A13" s="9" t="s">
        <v>120</v>
      </c>
      <c r="B13" s="10" t="s">
        <v>487</v>
      </c>
      <c r="C13" s="10" t="s">
        <v>20</v>
      </c>
      <c r="D13" s="10" t="s">
        <v>36</v>
      </c>
      <c r="E13" s="10" t="s">
        <v>693</v>
      </c>
      <c r="F13" s="10" t="s">
        <v>694</v>
      </c>
      <c r="G13" s="10" t="s">
        <v>697</v>
      </c>
      <c r="H13" s="11">
        <v>10489188</v>
      </c>
      <c r="I13" s="11">
        <v>21156700</v>
      </c>
      <c r="J13" s="11">
        <v>3775676</v>
      </c>
      <c r="K13" s="11">
        <f t="shared" si="3"/>
        <v>3905871.7241379307</v>
      </c>
      <c r="L13" s="18">
        <f t="shared" si="0"/>
        <v>0.18461630235991108</v>
      </c>
      <c r="M13" s="18">
        <f t="shared" si="1"/>
        <v>-0.62762878078475381</v>
      </c>
      <c r="P13" s="10" t="s">
        <v>48</v>
      </c>
      <c r="Q13" s="11">
        <f t="shared" si="4"/>
        <v>328600881</v>
      </c>
      <c r="R13" s="11">
        <f t="shared" si="4"/>
        <v>440000000</v>
      </c>
      <c r="S13" s="11">
        <f t="shared" si="4"/>
        <v>281379242</v>
      </c>
      <c r="T13" s="11">
        <f t="shared" si="4"/>
        <v>291081974.48275858</v>
      </c>
      <c r="U13" s="18">
        <f t="shared" si="5"/>
        <v>0.66154994200626949</v>
      </c>
      <c r="V13" s="18">
        <f t="shared" si="6"/>
        <v>-0.11417774171226711</v>
      </c>
    </row>
    <row r="14" spans="1:22" x14ac:dyDescent="0.3">
      <c r="A14" s="9" t="s">
        <v>64</v>
      </c>
      <c r="B14" s="10" t="s">
        <v>435</v>
      </c>
      <c r="C14" s="10" t="s">
        <v>20</v>
      </c>
      <c r="D14" s="10" t="s">
        <v>34</v>
      </c>
      <c r="E14" s="10" t="s">
        <v>693</v>
      </c>
      <c r="F14" s="10" t="s">
        <v>694</v>
      </c>
      <c r="G14" s="10" t="s">
        <v>697</v>
      </c>
      <c r="H14" s="11">
        <v>18481976</v>
      </c>
      <c r="I14" s="11">
        <v>58648600</v>
      </c>
      <c r="J14" s="11">
        <v>33818012</v>
      </c>
      <c r="K14" s="11">
        <f t="shared" si="3"/>
        <v>34984150.344827592</v>
      </c>
      <c r="L14" s="18">
        <f t="shared" si="0"/>
        <v>0.596504440768025</v>
      </c>
      <c r="M14" s="18">
        <f t="shared" si="1"/>
        <v>0.8928793298307276</v>
      </c>
      <c r="P14" s="10" t="s">
        <v>123</v>
      </c>
      <c r="Q14" s="11">
        <f t="shared" si="4"/>
        <v>138369364</v>
      </c>
      <c r="R14" s="11">
        <f t="shared" si="4"/>
        <v>220000000</v>
      </c>
      <c r="S14" s="11">
        <f t="shared" si="4"/>
        <v>88995487</v>
      </c>
      <c r="T14" s="11">
        <f t="shared" si="4"/>
        <v>92064296.896551728</v>
      </c>
      <c r="U14" s="18">
        <f t="shared" si="5"/>
        <v>0.41847407680250787</v>
      </c>
      <c r="V14" s="18">
        <f t="shared" si="6"/>
        <v>-0.33464826147100213</v>
      </c>
    </row>
    <row r="15" spans="1:22" x14ac:dyDescent="0.3">
      <c r="A15" s="9" t="s">
        <v>59</v>
      </c>
      <c r="B15" s="10" t="s">
        <v>430</v>
      </c>
      <c r="C15" s="10" t="s">
        <v>20</v>
      </c>
      <c r="D15" s="10" t="s">
        <v>36</v>
      </c>
      <c r="E15" s="10" t="s">
        <v>693</v>
      </c>
      <c r="F15" s="10" t="s">
        <v>694</v>
      </c>
      <c r="G15" s="10" t="s">
        <v>697</v>
      </c>
      <c r="H15" s="11">
        <v>26074774</v>
      </c>
      <c r="I15" s="11">
        <v>38679700</v>
      </c>
      <c r="J15" s="11">
        <v>20522522</v>
      </c>
      <c r="K15" s="11">
        <f t="shared" si="3"/>
        <v>21230195.172413796</v>
      </c>
      <c r="L15" s="18">
        <f t="shared" si="0"/>
        <v>0.5488717640626426</v>
      </c>
      <c r="M15" s="18">
        <f t="shared" si="1"/>
        <v>-0.18579562099315622</v>
      </c>
      <c r="P15" s="10" t="s">
        <v>42</v>
      </c>
      <c r="Q15" s="11">
        <f t="shared" si="4"/>
        <v>141261254</v>
      </c>
      <c r="R15" s="11">
        <f t="shared" si="4"/>
        <v>300000000</v>
      </c>
      <c r="S15" s="11">
        <f t="shared" si="4"/>
        <v>140318900</v>
      </c>
      <c r="T15" s="11">
        <f t="shared" si="4"/>
        <v>145157482.75862071</v>
      </c>
      <c r="U15" s="18">
        <f t="shared" si="5"/>
        <v>0.48385827586206903</v>
      </c>
      <c r="V15" s="18">
        <f t="shared" si="6"/>
        <v>2.7581722859551489E-2</v>
      </c>
    </row>
    <row r="16" spans="1:22" x14ac:dyDescent="0.3">
      <c r="A16" s="9" t="s">
        <v>56</v>
      </c>
      <c r="B16" s="10" t="s">
        <v>427</v>
      </c>
      <c r="C16" s="10" t="s">
        <v>22</v>
      </c>
      <c r="D16" s="10" t="s">
        <v>48</v>
      </c>
      <c r="E16" s="10" t="s">
        <v>693</v>
      </c>
      <c r="F16" s="10" t="s">
        <v>694</v>
      </c>
      <c r="G16" s="10" t="s">
        <v>699</v>
      </c>
      <c r="H16" s="11">
        <v>44051348</v>
      </c>
      <c r="I16" s="11">
        <v>57541300</v>
      </c>
      <c r="J16" s="11">
        <v>30112609</v>
      </c>
      <c r="K16" s="11">
        <f t="shared" si="3"/>
        <v>31150974.827586204</v>
      </c>
      <c r="L16" s="18">
        <f t="shared" si="0"/>
        <v>0.54136724105270828</v>
      </c>
      <c r="M16" s="18">
        <f t="shared" si="1"/>
        <v>-0.29284854512088476</v>
      </c>
      <c r="P16" s="10" t="s">
        <v>38</v>
      </c>
      <c r="Q16" s="11">
        <f t="shared" si="4"/>
        <v>177611673</v>
      </c>
      <c r="R16" s="11">
        <f t="shared" si="4"/>
        <v>320000000</v>
      </c>
      <c r="S16" s="11">
        <f t="shared" si="4"/>
        <v>185142311</v>
      </c>
      <c r="T16" s="11">
        <f t="shared" si="4"/>
        <v>191526528.62068966</v>
      </c>
      <c r="U16" s="18">
        <f t="shared" si="5"/>
        <v>0.59852040193965517</v>
      </c>
      <c r="V16" s="18">
        <f t="shared" si="6"/>
        <v>7.8344262996101949E-2</v>
      </c>
    </row>
    <row r="17" spans="1:22" x14ac:dyDescent="0.3">
      <c r="A17" s="9" t="s">
        <v>121</v>
      </c>
      <c r="B17" s="10" t="s">
        <v>488</v>
      </c>
      <c r="C17" s="10" t="s">
        <v>20</v>
      </c>
      <c r="D17" s="10" t="s">
        <v>36</v>
      </c>
      <c r="E17" s="10" t="s">
        <v>693</v>
      </c>
      <c r="F17" s="10" t="s">
        <v>694</v>
      </c>
      <c r="G17" s="10" t="s">
        <v>697</v>
      </c>
      <c r="H17" s="11">
        <v>9671172</v>
      </c>
      <c r="I17" s="11">
        <v>17948300</v>
      </c>
      <c r="J17" s="11">
        <v>6441441</v>
      </c>
      <c r="K17" s="11">
        <f t="shared" si="3"/>
        <v>6663559.6551724141</v>
      </c>
      <c r="L17" s="18">
        <f t="shared" si="0"/>
        <v>0.37126411165249157</v>
      </c>
      <c r="M17" s="18">
        <f t="shared" si="1"/>
        <v>-0.31098736997207638</v>
      </c>
      <c r="P17" s="10" t="s">
        <v>32</v>
      </c>
      <c r="Q17" s="11">
        <f t="shared" si="4"/>
        <v>156383757</v>
      </c>
      <c r="R17" s="11">
        <f t="shared" si="4"/>
        <v>250000000</v>
      </c>
      <c r="S17" s="11">
        <f t="shared" si="4"/>
        <v>104681953</v>
      </c>
      <c r="T17" s="11">
        <f t="shared" si="4"/>
        <v>108291675.51724139</v>
      </c>
      <c r="U17" s="18">
        <f t="shared" si="5"/>
        <v>0.43316670206896557</v>
      </c>
      <c r="V17" s="18">
        <f t="shared" si="6"/>
        <v>-0.30752606540050453</v>
      </c>
    </row>
    <row r="18" spans="1:22" x14ac:dyDescent="0.3">
      <c r="A18" s="9" t="s">
        <v>60</v>
      </c>
      <c r="B18" s="10" t="s">
        <v>431</v>
      </c>
      <c r="C18" s="10" t="s">
        <v>22</v>
      </c>
      <c r="D18" s="10" t="s">
        <v>46</v>
      </c>
      <c r="E18" s="10" t="s">
        <v>693</v>
      </c>
      <c r="F18" s="10" t="s">
        <v>694</v>
      </c>
      <c r="G18" s="10" t="s">
        <v>700</v>
      </c>
      <c r="H18" s="11">
        <v>41780172</v>
      </c>
      <c r="I18" s="11">
        <v>59960600</v>
      </c>
      <c r="J18" s="11">
        <v>37018918</v>
      </c>
      <c r="K18" s="11">
        <f t="shared" si="3"/>
        <v>38295432.413793109</v>
      </c>
      <c r="L18" s="18">
        <f t="shared" si="0"/>
        <v>0.63867660453352881</v>
      </c>
      <c r="M18" s="18">
        <f t="shared" si="1"/>
        <v>-8.3406539978028105E-2</v>
      </c>
      <c r="P18" s="10" t="s">
        <v>36</v>
      </c>
      <c r="Q18" s="11">
        <f t="shared" si="4"/>
        <v>154190979</v>
      </c>
      <c r="R18" s="11">
        <f t="shared" si="4"/>
        <v>260000000</v>
      </c>
      <c r="S18" s="11">
        <f t="shared" si="4"/>
        <v>99845024</v>
      </c>
      <c r="T18" s="11">
        <f t="shared" si="4"/>
        <v>103287955.86206898</v>
      </c>
      <c r="U18" s="18">
        <f t="shared" si="5"/>
        <v>0.39726136870026529</v>
      </c>
      <c r="V18" s="18">
        <f t="shared" si="6"/>
        <v>-0.330129709714931</v>
      </c>
    </row>
    <row r="19" spans="1:22" x14ac:dyDescent="0.3">
      <c r="A19" s="9" t="s">
        <v>63</v>
      </c>
      <c r="B19" s="10" t="s">
        <v>434</v>
      </c>
      <c r="C19" s="10" t="s">
        <v>22</v>
      </c>
      <c r="D19" s="10" t="s">
        <v>42</v>
      </c>
      <c r="E19" s="10" t="s">
        <v>693</v>
      </c>
      <c r="F19" s="10" t="s">
        <v>694</v>
      </c>
      <c r="G19" s="10" t="s">
        <v>699</v>
      </c>
      <c r="H19" s="11">
        <v>11618917</v>
      </c>
      <c r="I19" s="11">
        <v>39516300</v>
      </c>
      <c r="J19" s="11">
        <v>10254054</v>
      </c>
      <c r="K19" s="11">
        <f t="shared" si="3"/>
        <v>10607642.068965517</v>
      </c>
      <c r="L19" s="18">
        <f t="shared" si="0"/>
        <v>0.26843712769073819</v>
      </c>
      <c r="M19" s="18">
        <f t="shared" si="1"/>
        <v>-8.7036935631305656E-2</v>
      </c>
      <c r="P19" s="10" t="s">
        <v>34</v>
      </c>
      <c r="Q19" s="11">
        <f t="shared" si="4"/>
        <v>101746829</v>
      </c>
      <c r="R19" s="11">
        <f t="shared" si="4"/>
        <v>220000000</v>
      </c>
      <c r="S19" s="11">
        <f t="shared" si="4"/>
        <v>101370252</v>
      </c>
      <c r="T19" s="11">
        <f t="shared" si="4"/>
        <v>104865777.93103448</v>
      </c>
      <c r="U19" s="18">
        <f t="shared" si="5"/>
        <v>0.4766626269592476</v>
      </c>
      <c r="V19" s="18">
        <f t="shared" si="6"/>
        <v>3.0654016068004199E-2</v>
      </c>
    </row>
    <row r="20" spans="1:22" x14ac:dyDescent="0.3">
      <c r="A20" s="9" t="s">
        <v>122</v>
      </c>
      <c r="B20" s="10" t="s">
        <v>489</v>
      </c>
      <c r="C20" s="10" t="s">
        <v>22</v>
      </c>
      <c r="D20" s="10" t="s">
        <v>44</v>
      </c>
      <c r="E20" s="10" t="s">
        <v>693</v>
      </c>
      <c r="F20" s="10" t="s">
        <v>694</v>
      </c>
      <c r="G20" s="10" t="s">
        <v>698</v>
      </c>
      <c r="H20" s="11">
        <v>24779278</v>
      </c>
      <c r="I20" s="11">
        <v>67193700</v>
      </c>
      <c r="J20" s="11">
        <v>18899094</v>
      </c>
      <c r="K20" s="11">
        <f t="shared" si="3"/>
        <v>19550786.896551725</v>
      </c>
      <c r="L20" s="18">
        <f t="shared" si="0"/>
        <v>0.29096160646834041</v>
      </c>
      <c r="M20" s="18">
        <f t="shared" si="1"/>
        <v>-0.21100256042360377</v>
      </c>
      <c r="P20" s="10" t="s">
        <v>46</v>
      </c>
      <c r="Q20" s="11">
        <f t="shared" si="4"/>
        <v>405728791</v>
      </c>
      <c r="R20" s="11">
        <f t="shared" si="4"/>
        <v>500000000</v>
      </c>
      <c r="S20" s="11">
        <f t="shared" si="4"/>
        <v>338631511</v>
      </c>
      <c r="T20" s="11">
        <f t="shared" si="4"/>
        <v>350308459.65517241</v>
      </c>
      <c r="U20" s="18">
        <f t="shared" si="5"/>
        <v>0.70061691931034487</v>
      </c>
      <c r="V20" s="18">
        <f t="shared" si="6"/>
        <v>-0.13659452465336036</v>
      </c>
    </row>
    <row r="21" spans="1:22" x14ac:dyDescent="0.3">
      <c r="A21" s="9" t="s">
        <v>124</v>
      </c>
      <c r="B21" s="10" t="s">
        <v>490</v>
      </c>
      <c r="C21" s="10" t="s">
        <v>22</v>
      </c>
      <c r="D21" s="10" t="s">
        <v>42</v>
      </c>
      <c r="E21" s="10" t="s">
        <v>693</v>
      </c>
      <c r="F21" s="10" t="s">
        <v>694</v>
      </c>
      <c r="G21" s="10" t="s">
        <v>699</v>
      </c>
      <c r="H21" s="11">
        <v>18617116</v>
      </c>
      <c r="I21" s="11">
        <v>33044700</v>
      </c>
      <c r="J21" s="11">
        <v>3037837</v>
      </c>
      <c r="K21" s="11">
        <f t="shared" si="3"/>
        <v>3142590</v>
      </c>
      <c r="L21" s="18">
        <f t="shared" si="0"/>
        <v>9.5101181127382001E-2</v>
      </c>
      <c r="M21" s="18">
        <f t="shared" si="1"/>
        <v>-0.83119888171723266</v>
      </c>
      <c r="P21" s="10" t="s">
        <v>40</v>
      </c>
      <c r="Q21" s="11">
        <f t="shared" si="4"/>
        <v>125772934</v>
      </c>
      <c r="R21" s="11">
        <f t="shared" si="4"/>
        <v>280000000</v>
      </c>
      <c r="S21" s="11">
        <f t="shared" si="4"/>
        <v>111338717</v>
      </c>
      <c r="T21" s="11">
        <f t="shared" si="4"/>
        <v>115177983.10344829</v>
      </c>
      <c r="U21" s="18">
        <f t="shared" si="5"/>
        <v>0.41134993965517247</v>
      </c>
      <c r="V21" s="18">
        <f t="shared" si="6"/>
        <v>-8.4238719409628418E-2</v>
      </c>
    </row>
    <row r="22" spans="1:22" x14ac:dyDescent="0.3">
      <c r="A22" s="9" t="s">
        <v>125</v>
      </c>
      <c r="B22" s="10" t="s">
        <v>491</v>
      </c>
      <c r="C22" s="10" t="s">
        <v>22</v>
      </c>
      <c r="D22" s="10" t="s">
        <v>42</v>
      </c>
      <c r="E22" s="10" t="s">
        <v>693</v>
      </c>
      <c r="F22" s="10" t="s">
        <v>694</v>
      </c>
      <c r="G22" s="10" t="s">
        <v>698</v>
      </c>
      <c r="H22" s="11">
        <v>13071174</v>
      </c>
      <c r="I22" s="11">
        <v>69029500</v>
      </c>
      <c r="J22" s="11">
        <v>35220716</v>
      </c>
      <c r="K22" s="11">
        <f t="shared" si="3"/>
        <v>36435223.448275864</v>
      </c>
      <c r="L22" s="18">
        <f t="shared" si="0"/>
        <v>0.52782105401713564</v>
      </c>
      <c r="M22" s="18">
        <f t="shared" si="1"/>
        <v>1.7874484302845226</v>
      </c>
      <c r="P22" s="10" t="s">
        <v>30</v>
      </c>
      <c r="Q22" s="11">
        <f t="shared" si="4"/>
        <v>232941412</v>
      </c>
      <c r="R22" s="11">
        <f t="shared" si="4"/>
        <v>350000000</v>
      </c>
      <c r="S22" s="11">
        <f t="shared" si="4"/>
        <v>170765743</v>
      </c>
      <c r="T22" s="11">
        <f t="shared" si="4"/>
        <v>176654216.89655173</v>
      </c>
      <c r="U22" s="18">
        <f t="shared" si="5"/>
        <v>0.50472633399014777</v>
      </c>
      <c r="V22" s="18">
        <f t="shared" si="6"/>
        <v>-0.24163670435486273</v>
      </c>
    </row>
    <row r="23" spans="1:22" x14ac:dyDescent="0.3">
      <c r="A23" s="9" t="s">
        <v>127</v>
      </c>
      <c r="B23" s="10" t="s">
        <v>493</v>
      </c>
      <c r="C23" s="10" t="s">
        <v>22</v>
      </c>
      <c r="D23" s="10" t="s">
        <v>28</v>
      </c>
      <c r="E23" s="10" t="s">
        <v>693</v>
      </c>
      <c r="F23" s="10" t="s">
        <v>694</v>
      </c>
      <c r="G23" s="10" t="s">
        <v>695</v>
      </c>
      <c r="H23" s="11">
        <v>99783768</v>
      </c>
      <c r="I23" s="11">
        <v>100557300</v>
      </c>
      <c r="J23" s="11">
        <v>59878366</v>
      </c>
      <c r="K23" s="11">
        <f t="shared" si="3"/>
        <v>61943137.241379313</v>
      </c>
      <c r="L23" s="18">
        <f t="shared" si="0"/>
        <v>0.61599841325671345</v>
      </c>
      <c r="M23" s="18">
        <f t="shared" si="1"/>
        <v>-0.37922631623432668</v>
      </c>
      <c r="P23" s="10" t="s">
        <v>44</v>
      </c>
      <c r="Q23" s="11">
        <f t="shared" si="4"/>
        <v>117399979</v>
      </c>
      <c r="R23" s="11">
        <f t="shared" si="4"/>
        <v>430000000</v>
      </c>
      <c r="S23" s="11">
        <f t="shared" si="4"/>
        <v>101570251</v>
      </c>
      <c r="T23" s="11">
        <f t="shared" si="4"/>
        <v>105072673.44827583</v>
      </c>
      <c r="U23" s="18">
        <f t="shared" si="5"/>
        <v>0.24435505453087403</v>
      </c>
      <c r="V23" s="18">
        <f t="shared" si="6"/>
        <v>-0.10500262143764238</v>
      </c>
    </row>
    <row r="24" spans="1:22" x14ac:dyDescent="0.3">
      <c r="A24" s="9" t="s">
        <v>54</v>
      </c>
      <c r="B24" s="10" t="s">
        <v>425</v>
      </c>
      <c r="C24" s="10" t="s">
        <v>22</v>
      </c>
      <c r="D24" s="10" t="s">
        <v>48</v>
      </c>
      <c r="E24" s="10" t="s">
        <v>693</v>
      </c>
      <c r="F24" s="10" t="s">
        <v>694</v>
      </c>
      <c r="G24" s="10" t="s">
        <v>699</v>
      </c>
      <c r="H24" s="11">
        <v>16772069</v>
      </c>
      <c r="I24" s="11">
        <v>37709500</v>
      </c>
      <c r="J24" s="11">
        <v>17309910</v>
      </c>
      <c r="K24" s="11">
        <f t="shared" si="3"/>
        <v>17906803.44827586</v>
      </c>
      <c r="L24" s="18">
        <f t="shared" si="0"/>
        <v>0.47486186367562178</v>
      </c>
      <c r="M24" s="18">
        <f t="shared" si="1"/>
        <v>6.7656199618297566E-2</v>
      </c>
      <c r="P24" s="10" t="s">
        <v>128</v>
      </c>
      <c r="Q24" s="11">
        <f t="shared" si="4"/>
        <v>16324323</v>
      </c>
      <c r="R24" s="11">
        <f t="shared" si="4"/>
        <v>60000000</v>
      </c>
      <c r="S24" s="11">
        <f t="shared" si="4"/>
        <v>14227026</v>
      </c>
      <c r="T24" s="11">
        <f t="shared" si="4"/>
        <v>14717613.103448277</v>
      </c>
      <c r="U24" s="18">
        <f t="shared" si="5"/>
        <v>0.24529355172413794</v>
      </c>
      <c r="V24" s="18">
        <f t="shared" si="6"/>
        <v>-9.8424289727158831E-2</v>
      </c>
    </row>
    <row r="25" spans="1:22" x14ac:dyDescent="0.3">
      <c r="A25" s="9" t="s">
        <v>45</v>
      </c>
      <c r="B25" s="10" t="s">
        <v>418</v>
      </c>
      <c r="C25" s="10" t="s">
        <v>22</v>
      </c>
      <c r="D25" s="10" t="s">
        <v>44</v>
      </c>
      <c r="E25" s="10" t="s">
        <v>693</v>
      </c>
      <c r="F25" s="10" t="s">
        <v>694</v>
      </c>
      <c r="G25" s="10" t="s">
        <v>698</v>
      </c>
      <c r="H25" s="11">
        <v>28662161</v>
      </c>
      <c r="I25" s="11">
        <v>90932400</v>
      </c>
      <c r="J25" s="11">
        <v>19448645</v>
      </c>
      <c r="K25" s="11">
        <f t="shared" si="3"/>
        <v>20119287.931034483</v>
      </c>
      <c r="L25" s="18">
        <f t="shared" si="0"/>
        <v>0.22125543734724348</v>
      </c>
      <c r="M25" s="18">
        <f t="shared" si="1"/>
        <v>-0.298054046551672</v>
      </c>
      <c r="P25" s="10" t="s">
        <v>129</v>
      </c>
      <c r="Q25" s="11">
        <f t="shared" si="4"/>
        <v>881118045</v>
      </c>
      <c r="R25" s="11">
        <f t="shared" si="4"/>
        <v>1350000000</v>
      </c>
      <c r="S25" s="11">
        <f t="shared" si="4"/>
        <v>907060388</v>
      </c>
      <c r="T25" s="11">
        <f t="shared" si="4"/>
        <v>938338332.41379309</v>
      </c>
      <c r="U25" s="18">
        <f t="shared" si="5"/>
        <v>0.69506543141762456</v>
      </c>
      <c r="V25" s="18">
        <f t="shared" si="6"/>
        <v>6.4940546545943334E-2</v>
      </c>
    </row>
    <row r="26" spans="1:22" x14ac:dyDescent="0.3">
      <c r="A26" s="9" t="s">
        <v>161</v>
      </c>
      <c r="B26" s="10" t="s">
        <v>519</v>
      </c>
      <c r="C26" s="10" t="s">
        <v>22</v>
      </c>
      <c r="D26" s="10" t="s">
        <v>48</v>
      </c>
      <c r="E26" s="10" t="s">
        <v>693</v>
      </c>
      <c r="F26" s="10" t="s">
        <v>694</v>
      </c>
      <c r="G26" s="10" t="s">
        <v>699</v>
      </c>
      <c r="H26" s="11">
        <v>139818014</v>
      </c>
      <c r="I26" s="11">
        <v>153454200</v>
      </c>
      <c r="J26" s="11">
        <v>119413491</v>
      </c>
      <c r="K26" s="11">
        <f t="shared" si="3"/>
        <v>123531197.5862069</v>
      </c>
      <c r="L26" s="18">
        <f t="shared" si="0"/>
        <v>0.80500369221700607</v>
      </c>
      <c r="M26" s="18">
        <f t="shared" si="1"/>
        <v>-0.11648582287682259</v>
      </c>
      <c r="P26" s="10" t="s">
        <v>131</v>
      </c>
      <c r="Q26" s="11">
        <f t="shared" si="4"/>
        <v>606888291</v>
      </c>
      <c r="R26" s="11">
        <f t="shared" si="4"/>
        <v>1250000000</v>
      </c>
      <c r="S26" s="11">
        <f t="shared" si="4"/>
        <v>611134224</v>
      </c>
      <c r="T26" s="11">
        <f t="shared" si="4"/>
        <v>632207817.93103445</v>
      </c>
      <c r="U26" s="18">
        <f t="shared" si="5"/>
        <v>0.50576625434482758</v>
      </c>
      <c r="V26" s="18">
        <f t="shared" si="6"/>
        <v>4.1720242928586088E-2</v>
      </c>
    </row>
    <row r="27" spans="1:22" x14ac:dyDescent="0.3">
      <c r="A27" s="9" t="s">
        <v>43</v>
      </c>
      <c r="B27" s="10" t="s">
        <v>417</v>
      </c>
      <c r="C27" s="10" t="s">
        <v>22</v>
      </c>
      <c r="D27" s="10" t="s">
        <v>44</v>
      </c>
      <c r="E27" s="10" t="s">
        <v>693</v>
      </c>
      <c r="F27" s="10" t="s">
        <v>694</v>
      </c>
      <c r="G27" s="10" t="s">
        <v>698</v>
      </c>
      <c r="H27" s="11">
        <v>41400895</v>
      </c>
      <c r="I27" s="11">
        <v>142679500</v>
      </c>
      <c r="J27" s="11">
        <v>33892793</v>
      </c>
      <c r="K27" s="11">
        <f t="shared" si="3"/>
        <v>35061510</v>
      </c>
      <c r="L27" s="18">
        <f t="shared" si="0"/>
        <v>0.24573614289368831</v>
      </c>
      <c r="M27" s="18">
        <f t="shared" si="1"/>
        <v>-0.1531219313012436</v>
      </c>
      <c r="P27" s="10" t="s">
        <v>132</v>
      </c>
      <c r="Q27" s="11">
        <f t="shared" si="4"/>
        <v>596940545</v>
      </c>
      <c r="R27" s="11">
        <f t="shared" si="4"/>
        <v>1100000000</v>
      </c>
      <c r="S27" s="11">
        <f t="shared" si="4"/>
        <v>537517109</v>
      </c>
      <c r="T27" s="11">
        <f t="shared" si="4"/>
        <v>556052181.7241379</v>
      </c>
      <c r="U27" s="18">
        <f t="shared" si="5"/>
        <v>0.50550198338557994</v>
      </c>
      <c r="V27" s="18">
        <f t="shared" si="6"/>
        <v>-6.8496542274343417E-2</v>
      </c>
    </row>
    <row r="28" spans="1:22" x14ac:dyDescent="0.3">
      <c r="A28" s="9" t="s">
        <v>19</v>
      </c>
      <c r="B28" s="10" t="s">
        <v>404</v>
      </c>
      <c r="C28" s="10" t="s">
        <v>22</v>
      </c>
      <c r="D28" s="10" t="s">
        <v>28</v>
      </c>
      <c r="E28" s="10" t="s">
        <v>693</v>
      </c>
      <c r="F28" s="10" t="s">
        <v>694</v>
      </c>
      <c r="G28" s="10" t="s">
        <v>695</v>
      </c>
      <c r="H28" s="11">
        <v>30436034</v>
      </c>
      <c r="I28" s="11">
        <v>98091000</v>
      </c>
      <c r="J28" s="11">
        <v>13096388</v>
      </c>
      <c r="K28" s="11">
        <f t="shared" si="3"/>
        <v>13547987.586206898</v>
      </c>
      <c r="L28" s="18">
        <f t="shared" si="0"/>
        <v>0.13811652023332313</v>
      </c>
      <c r="M28" s="18">
        <f t="shared" si="1"/>
        <v>-0.55487013892128989</v>
      </c>
      <c r="P28" s="10" t="s">
        <v>133</v>
      </c>
      <c r="Q28" s="11">
        <f t="shared" si="4"/>
        <v>790955814</v>
      </c>
      <c r="R28" s="11">
        <f t="shared" si="4"/>
        <v>1100000000</v>
      </c>
      <c r="S28" s="11">
        <f t="shared" si="4"/>
        <v>657840503</v>
      </c>
      <c r="T28" s="11">
        <f t="shared" si="4"/>
        <v>680524658.2758621</v>
      </c>
      <c r="U28" s="18">
        <f t="shared" si="5"/>
        <v>0.61865878025078369</v>
      </c>
      <c r="V28" s="18">
        <f t="shared" si="6"/>
        <v>-0.13961735127234035</v>
      </c>
    </row>
    <row r="29" spans="1:22" x14ac:dyDescent="0.3">
      <c r="A29" s="9" t="s">
        <v>66</v>
      </c>
      <c r="B29" s="10" t="s">
        <v>436</v>
      </c>
      <c r="C29" s="10" t="s">
        <v>22</v>
      </c>
      <c r="D29" s="10" t="s">
        <v>42</v>
      </c>
      <c r="E29" s="10" t="s">
        <v>693</v>
      </c>
      <c r="F29" s="10" t="s">
        <v>694</v>
      </c>
      <c r="G29" s="10" t="s">
        <v>699</v>
      </c>
      <c r="H29" s="11">
        <v>24403603</v>
      </c>
      <c r="I29" s="11">
        <v>28992300</v>
      </c>
      <c r="J29" s="11">
        <v>18239637</v>
      </c>
      <c r="K29" s="11">
        <f t="shared" si="3"/>
        <v>18868590</v>
      </c>
      <c r="L29" s="18">
        <f t="shared" si="0"/>
        <v>0.65081383677735127</v>
      </c>
      <c r="M29" s="18">
        <f t="shared" si="1"/>
        <v>-0.22681130323255955</v>
      </c>
      <c r="P29" s="10" t="s">
        <v>134</v>
      </c>
      <c r="Q29" s="11">
        <f t="shared" si="4"/>
        <v>433801735</v>
      </c>
      <c r="R29" s="11">
        <f t="shared" si="4"/>
        <v>360000000</v>
      </c>
      <c r="S29" s="11">
        <f t="shared" si="4"/>
        <v>159438692</v>
      </c>
      <c r="T29" s="11">
        <f t="shared" si="4"/>
        <v>164936577.93103451</v>
      </c>
      <c r="U29" s="18">
        <f t="shared" si="5"/>
        <v>0.45815716091954028</v>
      </c>
      <c r="V29" s="18">
        <f t="shared" si="6"/>
        <v>-0.61978810912078419</v>
      </c>
    </row>
    <row r="30" spans="1:22" x14ac:dyDescent="0.3">
      <c r="A30" s="9" t="s">
        <v>181</v>
      </c>
      <c r="B30" s="10" t="s">
        <v>539</v>
      </c>
      <c r="C30" s="10" t="s">
        <v>118</v>
      </c>
      <c r="D30" s="10" t="s">
        <v>136</v>
      </c>
      <c r="E30" s="10" t="s">
        <v>704</v>
      </c>
      <c r="F30" s="10" t="s">
        <v>694</v>
      </c>
      <c r="G30" s="10" t="s">
        <v>697</v>
      </c>
      <c r="H30" s="11">
        <v>11271164</v>
      </c>
      <c r="I30" s="11">
        <v>10709200</v>
      </c>
      <c r="J30" s="11">
        <v>5027921</v>
      </c>
      <c r="K30" s="11">
        <f t="shared" si="3"/>
        <v>5201297.5862068962</v>
      </c>
      <c r="L30" s="18">
        <f t="shared" si="0"/>
        <v>0.48568497984974568</v>
      </c>
      <c r="M30" s="18">
        <f t="shared" si="1"/>
        <v>-0.5385305735763497</v>
      </c>
      <c r="P30" s="10" t="s">
        <v>136</v>
      </c>
      <c r="Q30" s="11">
        <f t="shared" si="4"/>
        <v>490266592</v>
      </c>
      <c r="R30" s="11">
        <f t="shared" si="4"/>
        <v>350000000</v>
      </c>
      <c r="S30" s="11">
        <f t="shared" si="4"/>
        <v>213550406</v>
      </c>
      <c r="T30" s="11">
        <f t="shared" si="4"/>
        <v>220914213.10344824</v>
      </c>
      <c r="U30" s="18">
        <f t="shared" si="5"/>
        <v>0.63118346600985209</v>
      </c>
      <c r="V30" s="18">
        <f t="shared" si="6"/>
        <v>-0.54939982305902613</v>
      </c>
    </row>
    <row r="31" spans="1:22" x14ac:dyDescent="0.3">
      <c r="A31" s="9" t="s">
        <v>185</v>
      </c>
      <c r="B31" s="10" t="s">
        <v>543</v>
      </c>
      <c r="C31" s="10" t="s">
        <v>118</v>
      </c>
      <c r="D31" s="10" t="s">
        <v>134</v>
      </c>
      <c r="E31" s="10" t="s">
        <v>704</v>
      </c>
      <c r="F31" s="10" t="s">
        <v>694</v>
      </c>
      <c r="G31" s="10" t="s">
        <v>700</v>
      </c>
      <c r="H31" s="11">
        <v>44151343</v>
      </c>
      <c r="I31" s="11">
        <v>42300800</v>
      </c>
      <c r="J31" s="11">
        <v>14505399</v>
      </c>
      <c r="K31" s="11">
        <f t="shared" si="3"/>
        <v>15005585.172413792</v>
      </c>
      <c r="L31" s="18">
        <f t="shared" si="0"/>
        <v>0.35473525730988048</v>
      </c>
      <c r="M31" s="18">
        <f t="shared" si="1"/>
        <v>-0.66013298457503788</v>
      </c>
      <c r="P31" s="10" t="s">
        <v>138</v>
      </c>
      <c r="Q31" s="11">
        <f t="shared" si="4"/>
        <v>187200893</v>
      </c>
      <c r="R31" s="11">
        <f t="shared" si="4"/>
        <v>410000000</v>
      </c>
      <c r="S31" s="11">
        <f t="shared" si="4"/>
        <v>130957657</v>
      </c>
      <c r="T31" s="11">
        <f t="shared" si="4"/>
        <v>135473438.27586207</v>
      </c>
      <c r="U31" s="18">
        <f t="shared" si="5"/>
        <v>0.33042302018502945</v>
      </c>
      <c r="V31" s="18">
        <f t="shared" si="6"/>
        <v>-0.2763205553946686</v>
      </c>
    </row>
    <row r="32" spans="1:22" x14ac:dyDescent="0.3">
      <c r="A32" s="9" t="s">
        <v>180</v>
      </c>
      <c r="B32" s="10" t="s">
        <v>538</v>
      </c>
      <c r="C32" s="10" t="s">
        <v>118</v>
      </c>
      <c r="D32" s="10" t="s">
        <v>136</v>
      </c>
      <c r="E32" s="10" t="s">
        <v>704</v>
      </c>
      <c r="F32" s="10" t="s">
        <v>694</v>
      </c>
      <c r="G32" s="10" t="s">
        <v>697</v>
      </c>
      <c r="H32" s="11">
        <v>12437830</v>
      </c>
      <c r="I32" s="11">
        <v>29845700</v>
      </c>
      <c r="J32" s="11">
        <v>14725222</v>
      </c>
      <c r="K32" s="11">
        <f t="shared" si="3"/>
        <v>15232988.27586207</v>
      </c>
      <c r="L32" s="18">
        <f t="shared" si="0"/>
        <v>0.51039138890567382</v>
      </c>
      <c r="M32" s="18">
        <f t="shared" si="1"/>
        <v>0.22473038109236657</v>
      </c>
      <c r="P32" s="5" t="s">
        <v>67</v>
      </c>
      <c r="Q32" s="13">
        <f>SUM(Q12:Q31)</f>
        <v>6291740975</v>
      </c>
      <c r="R32" s="13">
        <f>SUM(R12:R31)</f>
        <v>10000000000</v>
      </c>
      <c r="S32" s="13">
        <f>SUM(S12:S31)</f>
        <v>5079768952</v>
      </c>
      <c r="T32" s="13">
        <f>SUM(T12:T31)</f>
        <v>5254933398.6206884</v>
      </c>
      <c r="U32" s="14">
        <f t="shared" si="5"/>
        <v>0.52549333986206881</v>
      </c>
      <c r="V32" s="19">
        <f t="shared" si="6"/>
        <v>-0.16478866191393257</v>
      </c>
    </row>
    <row r="33" spans="1:13" x14ac:dyDescent="0.3">
      <c r="A33" s="9" t="s">
        <v>175</v>
      </c>
      <c r="B33" s="10" t="s">
        <v>533</v>
      </c>
      <c r="C33" s="10" t="s">
        <v>118</v>
      </c>
      <c r="D33" s="10" t="s">
        <v>136</v>
      </c>
      <c r="E33" s="10" t="s">
        <v>704</v>
      </c>
      <c r="F33" s="10" t="s">
        <v>694</v>
      </c>
      <c r="G33" s="10" t="s">
        <v>696</v>
      </c>
      <c r="H33" s="11">
        <v>58799089</v>
      </c>
      <c r="I33" s="11">
        <v>42701600</v>
      </c>
      <c r="J33" s="11">
        <v>23582878</v>
      </c>
      <c r="K33" s="11">
        <f t="shared" si="3"/>
        <v>24396080.689655174</v>
      </c>
      <c r="L33" s="18">
        <f t="shared" si="0"/>
        <v>0.57131537669912069</v>
      </c>
      <c r="M33" s="18">
        <f t="shared" si="1"/>
        <v>-0.5850942403264926</v>
      </c>
    </row>
    <row r="34" spans="1:13" x14ac:dyDescent="0.3">
      <c r="A34" s="9" t="s">
        <v>184</v>
      </c>
      <c r="B34" s="10" t="s">
        <v>542</v>
      </c>
      <c r="C34" s="10" t="s">
        <v>118</v>
      </c>
      <c r="D34" s="10" t="s">
        <v>136</v>
      </c>
      <c r="E34" s="10" t="s">
        <v>704</v>
      </c>
      <c r="F34" s="10" t="s">
        <v>694</v>
      </c>
      <c r="G34" s="10" t="s">
        <v>697</v>
      </c>
      <c r="H34" s="11">
        <v>27243236</v>
      </c>
      <c r="I34" s="11">
        <v>29193700</v>
      </c>
      <c r="J34" s="11">
        <v>5762158</v>
      </c>
      <c r="K34" s="11">
        <f t="shared" si="3"/>
        <v>5960853.1034482755</v>
      </c>
      <c r="L34" s="18">
        <f t="shared" si="0"/>
        <v>0.20418285806349573</v>
      </c>
      <c r="M34" s="18">
        <f t="shared" si="1"/>
        <v>-0.78119878624373862</v>
      </c>
    </row>
    <row r="35" spans="1:13" x14ac:dyDescent="0.3">
      <c r="A35" s="9" t="s">
        <v>176</v>
      </c>
      <c r="B35" s="10" t="s">
        <v>534</v>
      </c>
      <c r="C35" s="10" t="s">
        <v>118</v>
      </c>
      <c r="D35" s="10" t="s">
        <v>136</v>
      </c>
      <c r="E35" s="10" t="s">
        <v>704</v>
      </c>
      <c r="F35" s="10" t="s">
        <v>694</v>
      </c>
      <c r="G35" s="10" t="s">
        <v>697</v>
      </c>
      <c r="H35" s="11">
        <v>33421616</v>
      </c>
      <c r="I35" s="11">
        <v>29389000</v>
      </c>
      <c r="J35" s="11">
        <v>22023423</v>
      </c>
      <c r="K35" s="11">
        <f t="shared" si="3"/>
        <v>22782851.379310343</v>
      </c>
      <c r="L35" s="18">
        <f t="shared" si="0"/>
        <v>0.77521696482732805</v>
      </c>
      <c r="M35" s="18">
        <f t="shared" si="1"/>
        <v>-0.3183198747986829</v>
      </c>
    </row>
    <row r="36" spans="1:13" x14ac:dyDescent="0.3">
      <c r="A36" s="9" t="s">
        <v>182</v>
      </c>
      <c r="B36" s="10" t="s">
        <v>540</v>
      </c>
      <c r="C36" s="10" t="s">
        <v>118</v>
      </c>
      <c r="D36" s="10" t="s">
        <v>136</v>
      </c>
      <c r="E36" s="10" t="s">
        <v>704</v>
      </c>
      <c r="F36" s="10" t="s">
        <v>694</v>
      </c>
      <c r="G36" s="10" t="s">
        <v>697</v>
      </c>
      <c r="H36" s="11">
        <v>37884680</v>
      </c>
      <c r="I36" s="11">
        <v>27646300</v>
      </c>
      <c r="J36" s="11">
        <v>19145041</v>
      </c>
      <c r="K36" s="11">
        <f t="shared" si="3"/>
        <v>19805214.827586204</v>
      </c>
      <c r="L36" s="18">
        <f t="shared" si="0"/>
        <v>0.71637849649270258</v>
      </c>
      <c r="M36" s="18">
        <f t="shared" si="1"/>
        <v>-0.47722364745891471</v>
      </c>
    </row>
    <row r="37" spans="1:13" x14ac:dyDescent="0.3">
      <c r="A37" s="9" t="s">
        <v>177</v>
      </c>
      <c r="B37" s="10" t="s">
        <v>535</v>
      </c>
      <c r="C37" s="10" t="s">
        <v>118</v>
      </c>
      <c r="D37" s="10" t="s">
        <v>134</v>
      </c>
      <c r="E37" s="10" t="s">
        <v>704</v>
      </c>
      <c r="F37" s="10" t="s">
        <v>694</v>
      </c>
      <c r="G37" s="10" t="s">
        <v>695</v>
      </c>
      <c r="H37" s="11">
        <v>21073867</v>
      </c>
      <c r="I37" s="11">
        <v>27953200</v>
      </c>
      <c r="J37" s="11">
        <v>6720717</v>
      </c>
      <c r="K37" s="11">
        <f t="shared" si="3"/>
        <v>6952465.8620689651</v>
      </c>
      <c r="L37" s="18">
        <f t="shared" si="0"/>
        <v>0.24871806669966104</v>
      </c>
      <c r="M37" s="18">
        <f t="shared" si="1"/>
        <v>-0.67009064534435159</v>
      </c>
    </row>
    <row r="38" spans="1:13" x14ac:dyDescent="0.3">
      <c r="A38" s="9" t="s">
        <v>178</v>
      </c>
      <c r="B38" s="10" t="s">
        <v>536</v>
      </c>
      <c r="C38" s="10" t="s">
        <v>118</v>
      </c>
      <c r="D38" s="10" t="s">
        <v>134</v>
      </c>
      <c r="E38" s="10" t="s">
        <v>704</v>
      </c>
      <c r="F38" s="10" t="s">
        <v>694</v>
      </c>
      <c r="G38" s="10" t="s">
        <v>699</v>
      </c>
      <c r="H38" s="11">
        <v>74304486</v>
      </c>
      <c r="I38" s="11">
        <v>60155700</v>
      </c>
      <c r="J38" s="11">
        <v>24325218</v>
      </c>
      <c r="K38" s="11">
        <f t="shared" si="3"/>
        <v>25164018.620689657</v>
      </c>
      <c r="L38" s="18">
        <f t="shared" si="0"/>
        <v>0.4183147834816926</v>
      </c>
      <c r="M38" s="18">
        <f t="shared" si="1"/>
        <v>-0.66133917377896057</v>
      </c>
    </row>
    <row r="39" spans="1:13" x14ac:dyDescent="0.3">
      <c r="A39" s="9" t="s">
        <v>179</v>
      </c>
      <c r="B39" s="10" t="s">
        <v>537</v>
      </c>
      <c r="C39" s="10" t="s">
        <v>118</v>
      </c>
      <c r="D39" s="10" t="s">
        <v>134</v>
      </c>
      <c r="E39" s="10" t="s">
        <v>704</v>
      </c>
      <c r="F39" s="10" t="s">
        <v>694</v>
      </c>
      <c r="G39" s="10" t="s">
        <v>698</v>
      </c>
      <c r="H39" s="11">
        <v>68745937</v>
      </c>
      <c r="I39" s="11">
        <v>52448000</v>
      </c>
      <c r="J39" s="11">
        <v>42927919</v>
      </c>
      <c r="K39" s="11">
        <f t="shared" si="3"/>
        <v>44408192.068965517</v>
      </c>
      <c r="L39" s="18">
        <f t="shared" si="0"/>
        <v>0.84670897019839686</v>
      </c>
      <c r="M39" s="18">
        <f t="shared" si="1"/>
        <v>-0.35402448483660182</v>
      </c>
    </row>
    <row r="40" spans="1:13" x14ac:dyDescent="0.3">
      <c r="A40" s="9" t="s">
        <v>183</v>
      </c>
      <c r="B40" s="10" t="s">
        <v>541</v>
      </c>
      <c r="C40" s="10" t="s">
        <v>118</v>
      </c>
      <c r="D40" s="10" t="s">
        <v>134</v>
      </c>
      <c r="E40" s="10" t="s">
        <v>704</v>
      </c>
      <c r="F40" s="10" t="s">
        <v>694</v>
      </c>
      <c r="G40" s="10" t="s">
        <v>698</v>
      </c>
      <c r="H40" s="11">
        <v>132455852</v>
      </c>
      <c r="I40" s="11">
        <v>83684300</v>
      </c>
      <c r="J40" s="11">
        <v>42467564</v>
      </c>
      <c r="K40" s="11">
        <f t="shared" si="3"/>
        <v>43931962.758620687</v>
      </c>
      <c r="L40" s="18">
        <f t="shared" si="0"/>
        <v>0.52497257859145252</v>
      </c>
      <c r="M40" s="18">
        <f t="shared" si="1"/>
        <v>-0.66832750614430625</v>
      </c>
    </row>
    <row r="41" spans="1:13" x14ac:dyDescent="0.3">
      <c r="A41" s="9" t="s">
        <v>250</v>
      </c>
      <c r="B41" s="10" t="s">
        <v>605</v>
      </c>
      <c r="C41" s="10" t="s">
        <v>20</v>
      </c>
      <c r="D41" s="10" t="s">
        <v>36</v>
      </c>
      <c r="E41" s="10" t="s">
        <v>708</v>
      </c>
      <c r="F41" s="10" t="s">
        <v>694</v>
      </c>
      <c r="G41" s="10" t="s">
        <v>697</v>
      </c>
      <c r="H41" s="11">
        <v>1709010</v>
      </c>
      <c r="I41" s="11">
        <v>4100200</v>
      </c>
      <c r="J41" s="11">
        <v>359459</v>
      </c>
      <c r="K41" s="11">
        <f t="shared" si="3"/>
        <v>371854.13793103443</v>
      </c>
      <c r="L41" s="18">
        <f t="shared" si="0"/>
        <v>9.0691707216973422E-2</v>
      </c>
      <c r="M41" s="18">
        <f t="shared" si="1"/>
        <v>-0.78241546981525301</v>
      </c>
    </row>
    <row r="42" spans="1:13" x14ac:dyDescent="0.3">
      <c r="A42" s="9" t="s">
        <v>217</v>
      </c>
      <c r="B42" s="10" t="s">
        <v>575</v>
      </c>
      <c r="C42" s="10" t="s">
        <v>116</v>
      </c>
      <c r="D42" s="10" t="s">
        <v>129</v>
      </c>
      <c r="E42" s="10" t="s">
        <v>705</v>
      </c>
      <c r="F42" s="10" t="s">
        <v>694</v>
      </c>
      <c r="G42" s="10" t="s">
        <v>697</v>
      </c>
      <c r="H42" s="11">
        <v>15036037</v>
      </c>
      <c r="I42" s="11">
        <v>21217600</v>
      </c>
      <c r="J42" s="11">
        <v>9137838</v>
      </c>
      <c r="K42" s="11">
        <f t="shared" si="3"/>
        <v>9452935.862068966</v>
      </c>
      <c r="L42" s="18">
        <f t="shared" si="0"/>
        <v>0.44552333261391325</v>
      </c>
      <c r="M42" s="18">
        <f t="shared" si="1"/>
        <v>-0.37131467140783397</v>
      </c>
    </row>
    <row r="43" spans="1:13" x14ac:dyDescent="0.3">
      <c r="A43" s="9" t="s">
        <v>203</v>
      </c>
      <c r="B43" s="10" t="s">
        <v>561</v>
      </c>
      <c r="C43" s="10" t="s">
        <v>116</v>
      </c>
      <c r="D43" s="10" t="s">
        <v>133</v>
      </c>
      <c r="E43" s="10" t="s">
        <v>705</v>
      </c>
      <c r="F43" s="10" t="s">
        <v>694</v>
      </c>
      <c r="G43" s="10" t="s">
        <v>700</v>
      </c>
      <c r="H43" s="11">
        <v>85491881</v>
      </c>
      <c r="I43" s="11">
        <v>136557300</v>
      </c>
      <c r="J43" s="11">
        <v>88783776</v>
      </c>
      <c r="K43" s="11">
        <f t="shared" si="3"/>
        <v>91845285.517241374</v>
      </c>
      <c r="L43" s="18">
        <f t="shared" si="0"/>
        <v>0.67257690007961035</v>
      </c>
      <c r="M43" s="18">
        <f t="shared" si="1"/>
        <v>7.4315881729650715E-2</v>
      </c>
    </row>
    <row r="44" spans="1:13" x14ac:dyDescent="0.3">
      <c r="A44" s="9" t="s">
        <v>194</v>
      </c>
      <c r="B44" s="10" t="s">
        <v>552</v>
      </c>
      <c r="C44" s="10" t="s">
        <v>116</v>
      </c>
      <c r="D44" s="10" t="s">
        <v>131</v>
      </c>
      <c r="E44" s="10" t="s">
        <v>705</v>
      </c>
      <c r="F44" s="10" t="s">
        <v>694</v>
      </c>
      <c r="G44" s="10" t="s">
        <v>696</v>
      </c>
      <c r="H44" s="11">
        <v>189641451</v>
      </c>
      <c r="I44" s="11">
        <v>391401500</v>
      </c>
      <c r="J44" s="11">
        <v>193731527</v>
      </c>
      <c r="K44" s="11">
        <f t="shared" si="3"/>
        <v>200411924.48275861</v>
      </c>
      <c r="L44" s="18">
        <f t="shared" si="0"/>
        <v>0.51203667968252198</v>
      </c>
      <c r="M44" s="18">
        <f t="shared" si="1"/>
        <v>5.6793878268515313E-2</v>
      </c>
    </row>
    <row r="45" spans="1:13" x14ac:dyDescent="0.3">
      <c r="A45" s="9" t="s">
        <v>195</v>
      </c>
      <c r="B45" s="10" t="s">
        <v>553</v>
      </c>
      <c r="C45" s="10" t="s">
        <v>116</v>
      </c>
      <c r="D45" s="10" t="s">
        <v>131</v>
      </c>
      <c r="E45" s="10" t="s">
        <v>705</v>
      </c>
      <c r="F45" s="10" t="s">
        <v>694</v>
      </c>
      <c r="G45" s="10" t="s">
        <v>696</v>
      </c>
      <c r="H45" s="11">
        <v>301845946</v>
      </c>
      <c r="I45" s="11">
        <v>546208800</v>
      </c>
      <c r="J45" s="11">
        <v>311772068</v>
      </c>
      <c r="K45" s="11">
        <f t="shared" si="3"/>
        <v>322522828.96551722</v>
      </c>
      <c r="L45" s="18">
        <f t="shared" si="0"/>
        <v>0.59047534379804434</v>
      </c>
      <c r="M45" s="18">
        <f t="shared" si="1"/>
        <v>6.8501443334001988E-2</v>
      </c>
    </row>
    <row r="46" spans="1:13" x14ac:dyDescent="0.3">
      <c r="A46" s="9" t="s">
        <v>216</v>
      </c>
      <c r="B46" s="10" t="s">
        <v>574</v>
      </c>
      <c r="C46" s="10" t="s">
        <v>116</v>
      </c>
      <c r="D46" s="10" t="s">
        <v>129</v>
      </c>
      <c r="E46" s="10" t="s">
        <v>705</v>
      </c>
      <c r="F46" s="10" t="s">
        <v>694</v>
      </c>
      <c r="G46" s="10" t="s">
        <v>697</v>
      </c>
      <c r="H46" s="11">
        <v>6726126</v>
      </c>
      <c r="I46" s="11">
        <v>56320700</v>
      </c>
      <c r="J46" s="11">
        <v>5852253</v>
      </c>
      <c r="K46" s="11">
        <f t="shared" si="3"/>
        <v>6054054.8275862066</v>
      </c>
      <c r="L46" s="18">
        <f t="shared" si="0"/>
        <v>0.10749253520617121</v>
      </c>
      <c r="M46" s="18">
        <f t="shared" si="1"/>
        <v>-9.991950379963048E-2</v>
      </c>
    </row>
    <row r="47" spans="1:13" x14ac:dyDescent="0.3">
      <c r="A47" s="9" t="s">
        <v>196</v>
      </c>
      <c r="B47" s="10" t="s">
        <v>554</v>
      </c>
      <c r="C47" s="10" t="s">
        <v>116</v>
      </c>
      <c r="D47" s="10" t="s">
        <v>129</v>
      </c>
      <c r="E47" s="10" t="s">
        <v>705</v>
      </c>
      <c r="F47" s="10" t="s">
        <v>694</v>
      </c>
      <c r="G47" s="10" t="s">
        <v>697</v>
      </c>
      <c r="H47" s="11">
        <v>260625237</v>
      </c>
      <c r="I47" s="11">
        <v>430342000</v>
      </c>
      <c r="J47" s="11">
        <v>264442353</v>
      </c>
      <c r="K47" s="11">
        <f t="shared" si="3"/>
        <v>273561054.82758623</v>
      </c>
      <c r="L47" s="18">
        <f t="shared" si="0"/>
        <v>0.63568290993578647</v>
      </c>
      <c r="M47" s="18">
        <f t="shared" si="1"/>
        <v>4.9633788256607837E-2</v>
      </c>
    </row>
    <row r="48" spans="1:13" x14ac:dyDescent="0.3">
      <c r="A48" s="9" t="s">
        <v>202</v>
      </c>
      <c r="B48" s="10" t="s">
        <v>560</v>
      </c>
      <c r="C48" s="10" t="s">
        <v>116</v>
      </c>
      <c r="D48" s="10" t="s">
        <v>131</v>
      </c>
      <c r="E48" s="10" t="s">
        <v>705</v>
      </c>
      <c r="F48" s="10" t="s">
        <v>694</v>
      </c>
      <c r="G48" s="10" t="s">
        <v>697</v>
      </c>
      <c r="H48" s="11">
        <v>57851347</v>
      </c>
      <c r="I48" s="11">
        <v>148880400</v>
      </c>
      <c r="J48" s="11">
        <v>39162165</v>
      </c>
      <c r="K48" s="11">
        <f t="shared" si="3"/>
        <v>40512584.482758626</v>
      </c>
      <c r="L48" s="18">
        <f t="shared" si="0"/>
        <v>0.27211496263281554</v>
      </c>
      <c r="M48" s="18">
        <f t="shared" si="1"/>
        <v>-0.29971233888886589</v>
      </c>
    </row>
    <row r="49" spans="1:13" x14ac:dyDescent="0.3">
      <c r="A49" s="9" t="s">
        <v>197</v>
      </c>
      <c r="B49" s="10" t="s">
        <v>555</v>
      </c>
      <c r="C49" s="10" t="s">
        <v>116</v>
      </c>
      <c r="D49" s="10" t="s">
        <v>129</v>
      </c>
      <c r="E49" s="10" t="s">
        <v>705</v>
      </c>
      <c r="F49" s="10" t="s">
        <v>694</v>
      </c>
      <c r="G49" s="10" t="s">
        <v>697</v>
      </c>
      <c r="H49" s="11">
        <v>92853151</v>
      </c>
      <c r="I49" s="11">
        <v>129854400</v>
      </c>
      <c r="J49" s="11">
        <v>68442342</v>
      </c>
      <c r="K49" s="11">
        <f t="shared" si="3"/>
        <v>70802422.758620694</v>
      </c>
      <c r="L49" s="18">
        <f t="shared" si="0"/>
        <v>0.54524469527887154</v>
      </c>
      <c r="M49" s="18">
        <f t="shared" si="1"/>
        <v>-0.2374795901259108</v>
      </c>
    </row>
    <row r="50" spans="1:13" x14ac:dyDescent="0.3">
      <c r="A50" s="9" t="s">
        <v>198</v>
      </c>
      <c r="B50" s="10" t="s">
        <v>556</v>
      </c>
      <c r="C50" s="10" t="s">
        <v>116</v>
      </c>
      <c r="D50" s="10" t="s">
        <v>129</v>
      </c>
      <c r="E50" s="10" t="s">
        <v>705</v>
      </c>
      <c r="F50" s="10" t="s">
        <v>694</v>
      </c>
      <c r="G50" s="10" t="s">
        <v>697</v>
      </c>
      <c r="H50" s="11">
        <v>441437857</v>
      </c>
      <c r="I50" s="11">
        <v>566443200</v>
      </c>
      <c r="J50" s="11">
        <v>493215335</v>
      </c>
      <c r="K50" s="11">
        <f t="shared" si="3"/>
        <v>510222760.34482753</v>
      </c>
      <c r="L50" s="18">
        <f t="shared" si="0"/>
        <v>0.90074831923982412</v>
      </c>
      <c r="M50" s="18">
        <f t="shared" si="1"/>
        <v>0.15582012791627778</v>
      </c>
    </row>
    <row r="51" spans="1:13" x14ac:dyDescent="0.3">
      <c r="A51" s="9" t="s">
        <v>199</v>
      </c>
      <c r="B51" s="10" t="s">
        <v>557</v>
      </c>
      <c r="C51" s="10" t="s">
        <v>116</v>
      </c>
      <c r="D51" s="10" t="s">
        <v>132</v>
      </c>
      <c r="E51" s="10" t="s">
        <v>705</v>
      </c>
      <c r="F51" s="10" t="s">
        <v>694</v>
      </c>
      <c r="G51" s="10" t="s">
        <v>699</v>
      </c>
      <c r="H51" s="11">
        <v>35024322</v>
      </c>
      <c r="I51" s="11">
        <v>77551000</v>
      </c>
      <c r="J51" s="11">
        <v>25758556</v>
      </c>
      <c r="K51" s="11">
        <f t="shared" si="3"/>
        <v>26646782.068965517</v>
      </c>
      <c r="L51" s="18">
        <f t="shared" si="0"/>
        <v>0.34360333289016926</v>
      </c>
      <c r="M51" s="18">
        <f t="shared" si="1"/>
        <v>-0.23919206576031601</v>
      </c>
    </row>
    <row r="52" spans="1:13" x14ac:dyDescent="0.3">
      <c r="A52" s="9" t="s">
        <v>200</v>
      </c>
      <c r="B52" s="10" t="s">
        <v>558</v>
      </c>
      <c r="C52" s="10" t="s">
        <v>116</v>
      </c>
      <c r="D52" s="10" t="s">
        <v>132</v>
      </c>
      <c r="E52" s="10" t="s">
        <v>705</v>
      </c>
      <c r="F52" s="10" t="s">
        <v>694</v>
      </c>
      <c r="G52" s="10" t="s">
        <v>698</v>
      </c>
      <c r="H52" s="11">
        <v>4726127</v>
      </c>
      <c r="I52" s="11">
        <v>16640600</v>
      </c>
      <c r="J52" s="11">
        <v>2700901</v>
      </c>
      <c r="K52" s="11">
        <f t="shared" si="3"/>
        <v>2794035.5172413792</v>
      </c>
      <c r="L52" s="18">
        <f t="shared" si="0"/>
        <v>0.16790473403851899</v>
      </c>
      <c r="M52" s="18">
        <f t="shared" si="1"/>
        <v>-0.40881074138689477</v>
      </c>
    </row>
    <row r="53" spans="1:13" x14ac:dyDescent="0.3">
      <c r="A53" s="9" t="s">
        <v>201</v>
      </c>
      <c r="B53" s="10" t="s">
        <v>559</v>
      </c>
      <c r="C53" s="10" t="s">
        <v>116</v>
      </c>
      <c r="D53" s="10" t="s">
        <v>132</v>
      </c>
      <c r="E53" s="10" t="s">
        <v>705</v>
      </c>
      <c r="F53" s="10" t="s">
        <v>694</v>
      </c>
      <c r="G53" s="10" t="s">
        <v>698</v>
      </c>
      <c r="H53" s="11">
        <v>307015335</v>
      </c>
      <c r="I53" s="11">
        <v>560406300</v>
      </c>
      <c r="J53" s="11">
        <v>304781987</v>
      </c>
      <c r="K53" s="11">
        <f t="shared" si="3"/>
        <v>315291710.68965513</v>
      </c>
      <c r="L53" s="18">
        <f t="shared" si="0"/>
        <v>0.56261271632680632</v>
      </c>
      <c r="M53" s="18">
        <f t="shared" si="1"/>
        <v>2.6957531908479833E-2</v>
      </c>
    </row>
    <row r="54" spans="1:13" x14ac:dyDescent="0.3">
      <c r="A54" s="9" t="s">
        <v>173</v>
      </c>
      <c r="B54" s="10" t="s">
        <v>531</v>
      </c>
      <c r="C54" s="10" t="s">
        <v>118</v>
      </c>
      <c r="D54" s="10" t="s">
        <v>138</v>
      </c>
      <c r="E54" s="10" t="s">
        <v>703</v>
      </c>
      <c r="F54" s="10" t="s">
        <v>694</v>
      </c>
      <c r="G54" s="10" t="s">
        <v>698</v>
      </c>
      <c r="H54" s="11">
        <v>14128828</v>
      </c>
      <c r="I54" s="11">
        <v>54214500</v>
      </c>
      <c r="J54" s="11">
        <v>11863962</v>
      </c>
      <c r="K54" s="11">
        <f t="shared" si="3"/>
        <v>12273064.137931034</v>
      </c>
      <c r="L54" s="18">
        <f t="shared" si="0"/>
        <v>0.22637973490359653</v>
      </c>
      <c r="M54" s="18">
        <f t="shared" si="1"/>
        <v>-0.1313459164531528</v>
      </c>
    </row>
    <row r="55" spans="1:13" x14ac:dyDescent="0.3">
      <c r="A55" s="9" t="s">
        <v>165</v>
      </c>
      <c r="B55" s="10" t="s">
        <v>523</v>
      </c>
      <c r="C55" s="10" t="s">
        <v>118</v>
      </c>
      <c r="D55" s="10" t="s">
        <v>138</v>
      </c>
      <c r="E55" s="10" t="s">
        <v>703</v>
      </c>
      <c r="F55" s="10" t="s">
        <v>694</v>
      </c>
      <c r="G55" s="10" t="s">
        <v>698</v>
      </c>
      <c r="H55" s="11">
        <v>10783783</v>
      </c>
      <c r="I55" s="11">
        <v>30597500</v>
      </c>
      <c r="J55" s="11">
        <v>9913514</v>
      </c>
      <c r="K55" s="11">
        <f t="shared" si="3"/>
        <v>10255359.310344828</v>
      </c>
      <c r="L55" s="18">
        <f t="shared" si="0"/>
        <v>0.3351698442795924</v>
      </c>
      <c r="M55" s="18">
        <f t="shared" si="1"/>
        <v>-4.9001699093460215E-2</v>
      </c>
    </row>
    <row r="56" spans="1:13" x14ac:dyDescent="0.3">
      <c r="A56" s="9" t="s">
        <v>167</v>
      </c>
      <c r="B56" s="10" t="s">
        <v>525</v>
      </c>
      <c r="C56" s="10" t="s">
        <v>118</v>
      </c>
      <c r="D56" s="10" t="s">
        <v>138</v>
      </c>
      <c r="E56" s="10" t="s">
        <v>703</v>
      </c>
      <c r="F56" s="10" t="s">
        <v>694</v>
      </c>
      <c r="G56" s="10" t="s">
        <v>700</v>
      </c>
      <c r="H56" s="11">
        <v>14572074</v>
      </c>
      <c r="I56" s="11">
        <v>37180800</v>
      </c>
      <c r="J56" s="11">
        <v>4098196</v>
      </c>
      <c r="K56" s="11">
        <f t="shared" si="3"/>
        <v>4239513.1034482755</v>
      </c>
      <c r="L56" s="18">
        <f t="shared" si="0"/>
        <v>0.11402425723621534</v>
      </c>
      <c r="M56" s="18">
        <f t="shared" si="1"/>
        <v>-0.70906590898122834</v>
      </c>
    </row>
    <row r="57" spans="1:13" x14ac:dyDescent="0.3">
      <c r="A57" s="9" t="s">
        <v>168</v>
      </c>
      <c r="B57" s="10" t="s">
        <v>526</v>
      </c>
      <c r="C57" s="10" t="s">
        <v>118</v>
      </c>
      <c r="D57" s="10" t="s">
        <v>123</v>
      </c>
      <c r="E57" s="10" t="s">
        <v>703</v>
      </c>
      <c r="F57" s="10" t="s">
        <v>694</v>
      </c>
      <c r="G57" s="10" t="s">
        <v>696</v>
      </c>
      <c r="H57" s="11">
        <v>11317117</v>
      </c>
      <c r="I57" s="11">
        <v>32034600</v>
      </c>
      <c r="J57" s="11">
        <v>9065764</v>
      </c>
      <c r="K57" s="11">
        <f t="shared" si="3"/>
        <v>9378376.5517241377</v>
      </c>
      <c r="L57" s="18">
        <f t="shared" si="0"/>
        <v>0.29275772295343588</v>
      </c>
      <c r="M57" s="18">
        <f t="shared" si="1"/>
        <v>-0.17131045373798487</v>
      </c>
    </row>
    <row r="58" spans="1:13" x14ac:dyDescent="0.3">
      <c r="A58" s="9" t="s">
        <v>166</v>
      </c>
      <c r="B58" s="10" t="s">
        <v>524</v>
      </c>
      <c r="C58" s="10" t="s">
        <v>118</v>
      </c>
      <c r="D58" s="10" t="s">
        <v>138</v>
      </c>
      <c r="E58" s="10" t="s">
        <v>703</v>
      </c>
      <c r="F58" s="10" t="s">
        <v>694</v>
      </c>
      <c r="G58" s="10" t="s">
        <v>698</v>
      </c>
      <c r="H58" s="11">
        <v>12663062</v>
      </c>
      <c r="I58" s="11">
        <v>47846600</v>
      </c>
      <c r="J58" s="11">
        <v>12260360</v>
      </c>
      <c r="K58" s="11">
        <f t="shared" si="3"/>
        <v>12683131.034482758</v>
      </c>
      <c r="L58" s="18">
        <f t="shared" si="0"/>
        <v>0.26507904499970236</v>
      </c>
      <c r="M58" s="18">
        <f t="shared" si="1"/>
        <v>1.5848484736755211E-3</v>
      </c>
    </row>
    <row r="59" spans="1:13" x14ac:dyDescent="0.3">
      <c r="A59" s="9" t="s">
        <v>35</v>
      </c>
      <c r="B59" s="10" t="s">
        <v>413</v>
      </c>
      <c r="C59" s="10" t="s">
        <v>22</v>
      </c>
      <c r="D59" s="10" t="s">
        <v>40</v>
      </c>
      <c r="E59" s="10" t="s">
        <v>693</v>
      </c>
      <c r="F59" s="10" t="s">
        <v>694</v>
      </c>
      <c r="G59" s="10" t="s">
        <v>698</v>
      </c>
      <c r="H59" s="11">
        <v>24079273</v>
      </c>
      <c r="I59" s="11">
        <v>23989500</v>
      </c>
      <c r="J59" s="11">
        <v>16505398</v>
      </c>
      <c r="K59" s="11">
        <f t="shared" si="3"/>
        <v>17074549.655172415</v>
      </c>
      <c r="L59" s="18">
        <f t="shared" si="0"/>
        <v>0.71175096001052185</v>
      </c>
      <c r="M59" s="18">
        <f t="shared" si="1"/>
        <v>-0.29090260926181555</v>
      </c>
    </row>
    <row r="60" spans="1:13" x14ac:dyDescent="0.3">
      <c r="A60" s="9" t="s">
        <v>163</v>
      </c>
      <c r="B60" s="10" t="s">
        <v>521</v>
      </c>
      <c r="C60" s="10" t="s">
        <v>118</v>
      </c>
      <c r="D60" s="10" t="s">
        <v>123</v>
      </c>
      <c r="E60" s="10" t="s">
        <v>702</v>
      </c>
      <c r="F60" s="10" t="s">
        <v>694</v>
      </c>
      <c r="G60" s="10" t="s">
        <v>696</v>
      </c>
      <c r="H60" s="11">
        <v>18432431</v>
      </c>
      <c r="I60" s="11">
        <v>28201700</v>
      </c>
      <c r="J60" s="11">
        <v>7216215</v>
      </c>
      <c r="K60" s="11">
        <f t="shared" si="3"/>
        <v>7465050</v>
      </c>
      <c r="L60" s="18">
        <f t="shared" si="0"/>
        <v>0.26470212788590758</v>
      </c>
      <c r="M60" s="18">
        <f t="shared" si="1"/>
        <v>-0.59500458729507788</v>
      </c>
    </row>
    <row r="61" spans="1:13" x14ac:dyDescent="0.3">
      <c r="A61" s="9" t="s">
        <v>204</v>
      </c>
      <c r="B61" s="10" t="s">
        <v>562</v>
      </c>
      <c r="C61" s="10" t="s">
        <v>116</v>
      </c>
      <c r="D61" s="10" t="s">
        <v>131</v>
      </c>
      <c r="E61" s="10" t="s">
        <v>705</v>
      </c>
      <c r="F61" s="10" t="s">
        <v>694</v>
      </c>
      <c r="G61" s="10" t="s">
        <v>696</v>
      </c>
      <c r="H61" s="11">
        <v>29711710</v>
      </c>
      <c r="I61" s="11">
        <v>94057000</v>
      </c>
      <c r="J61" s="11">
        <v>23227927</v>
      </c>
      <c r="K61" s="11">
        <f t="shared" si="3"/>
        <v>24028890</v>
      </c>
      <c r="L61" s="18">
        <f t="shared" si="0"/>
        <v>0.25547157574662172</v>
      </c>
      <c r="M61" s="18">
        <f t="shared" si="1"/>
        <v>-0.19126532939369698</v>
      </c>
    </row>
    <row r="62" spans="1:13" x14ac:dyDescent="0.3">
      <c r="A62" s="9" t="s">
        <v>23</v>
      </c>
      <c r="B62" s="10" t="s">
        <v>406</v>
      </c>
      <c r="C62" s="10" t="s">
        <v>20</v>
      </c>
      <c r="D62" s="10" t="s">
        <v>30</v>
      </c>
      <c r="E62" s="10" t="s">
        <v>693</v>
      </c>
      <c r="F62" s="10" t="s">
        <v>694</v>
      </c>
      <c r="G62" s="10" t="s">
        <v>696</v>
      </c>
      <c r="H62" s="11">
        <v>32746844</v>
      </c>
      <c r="I62" s="11">
        <v>52324200</v>
      </c>
      <c r="J62" s="11">
        <v>30936030</v>
      </c>
      <c r="K62" s="11">
        <f t="shared" si="3"/>
        <v>32002789.655172411</v>
      </c>
      <c r="L62" s="18">
        <f t="shared" si="0"/>
        <v>0.61162501586593609</v>
      </c>
      <c r="M62" s="18">
        <f t="shared" si="1"/>
        <v>-2.2721406216354427E-2</v>
      </c>
    </row>
    <row r="63" spans="1:13" x14ac:dyDescent="0.3">
      <c r="A63" s="9" t="s">
        <v>53</v>
      </c>
      <c r="B63" s="10" t="s">
        <v>424</v>
      </c>
      <c r="C63" s="10" t="s">
        <v>22</v>
      </c>
      <c r="D63" s="10" t="s">
        <v>28</v>
      </c>
      <c r="E63" s="10" t="s">
        <v>693</v>
      </c>
      <c r="F63" s="10" t="s">
        <v>694</v>
      </c>
      <c r="G63" s="10" t="s">
        <v>695</v>
      </c>
      <c r="H63" s="11">
        <v>19908098</v>
      </c>
      <c r="I63" s="11">
        <v>46622500</v>
      </c>
      <c r="J63" s="11">
        <v>15233326</v>
      </c>
      <c r="K63" s="11">
        <f t="shared" si="3"/>
        <v>15758613.103448275</v>
      </c>
      <c r="L63" s="18">
        <f t="shared" si="0"/>
        <v>0.33800446358406938</v>
      </c>
      <c r="M63" s="18">
        <f t="shared" si="1"/>
        <v>-0.20843201076023057</v>
      </c>
    </row>
    <row r="64" spans="1:13" x14ac:dyDescent="0.3">
      <c r="A64" s="9" t="s">
        <v>31</v>
      </c>
      <c r="B64" s="10" t="s">
        <v>411</v>
      </c>
      <c r="C64" s="10" t="s">
        <v>20</v>
      </c>
      <c r="D64" s="10" t="s">
        <v>32</v>
      </c>
      <c r="E64" s="10" t="s">
        <v>693</v>
      </c>
      <c r="F64" s="10" t="s">
        <v>694</v>
      </c>
      <c r="G64" s="10" t="s">
        <v>696</v>
      </c>
      <c r="H64" s="11">
        <v>20381075</v>
      </c>
      <c r="I64" s="11">
        <v>27011200</v>
      </c>
      <c r="J64" s="11">
        <v>11318014</v>
      </c>
      <c r="K64" s="11">
        <f t="shared" si="3"/>
        <v>11708290.344827587</v>
      </c>
      <c r="L64" s="18">
        <f t="shared" si="0"/>
        <v>0.43346057727267157</v>
      </c>
      <c r="M64" s="18">
        <f t="shared" si="1"/>
        <v>-0.42553126639161148</v>
      </c>
    </row>
    <row r="65" spans="1:13" x14ac:dyDescent="0.3">
      <c r="A65" s="9" t="s">
        <v>130</v>
      </c>
      <c r="B65" s="10" t="s">
        <v>494</v>
      </c>
      <c r="C65" s="10" t="s">
        <v>22</v>
      </c>
      <c r="D65" s="10" t="s">
        <v>42</v>
      </c>
      <c r="E65" s="10" t="s">
        <v>693</v>
      </c>
      <c r="F65" s="10" t="s">
        <v>694</v>
      </c>
      <c r="G65" s="10" t="s">
        <v>699</v>
      </c>
      <c r="H65" s="11">
        <v>27613513</v>
      </c>
      <c r="I65" s="11">
        <v>32022600</v>
      </c>
      <c r="J65" s="11">
        <v>25242338</v>
      </c>
      <c r="K65" s="11">
        <f t="shared" si="3"/>
        <v>26112763.44827586</v>
      </c>
      <c r="L65" s="18">
        <f t="shared" si="0"/>
        <v>0.81544794764559592</v>
      </c>
      <c r="M65" s="18">
        <f t="shared" si="1"/>
        <v>-5.4348374715094731E-2</v>
      </c>
    </row>
    <row r="66" spans="1:13" x14ac:dyDescent="0.3">
      <c r="A66" s="9" t="s">
        <v>52</v>
      </c>
      <c r="B66" s="10" t="s">
        <v>423</v>
      </c>
      <c r="C66" s="10" t="s">
        <v>22</v>
      </c>
      <c r="D66" s="10" t="s">
        <v>46</v>
      </c>
      <c r="E66" s="10" t="s">
        <v>693</v>
      </c>
      <c r="F66" s="10" t="s">
        <v>694</v>
      </c>
      <c r="G66" s="10" t="s">
        <v>700</v>
      </c>
      <c r="H66" s="11">
        <v>58828822</v>
      </c>
      <c r="I66" s="11">
        <v>60024100</v>
      </c>
      <c r="J66" s="11">
        <v>38903602</v>
      </c>
      <c r="K66" s="11">
        <f t="shared" si="3"/>
        <v>40245105.517241374</v>
      </c>
      <c r="L66" s="18">
        <f t="shared" si="0"/>
        <v>0.67048244817067437</v>
      </c>
      <c r="M66" s="18">
        <f t="shared" si="1"/>
        <v>-0.3158947578919501</v>
      </c>
    </row>
    <row r="67" spans="1:13" x14ac:dyDescent="0.3">
      <c r="A67" s="9" t="s">
        <v>205</v>
      </c>
      <c r="B67" s="10" t="s">
        <v>563</v>
      </c>
      <c r="C67" s="10" t="s">
        <v>116</v>
      </c>
      <c r="D67" s="10" t="s">
        <v>132</v>
      </c>
      <c r="E67" s="10" t="s">
        <v>705</v>
      </c>
      <c r="F67" s="10" t="s">
        <v>694</v>
      </c>
      <c r="G67" s="10" t="s">
        <v>695</v>
      </c>
      <c r="H67" s="11">
        <v>163057645</v>
      </c>
      <c r="I67" s="11">
        <v>255435700</v>
      </c>
      <c r="J67" s="11">
        <v>116379268</v>
      </c>
      <c r="K67" s="11">
        <f t="shared" si="3"/>
        <v>120392346.20689656</v>
      </c>
      <c r="L67" s="18">
        <f t="shared" si="0"/>
        <v>0.47132153495731632</v>
      </c>
      <c r="M67" s="18">
        <f t="shared" si="1"/>
        <v>-0.26165776399569268</v>
      </c>
    </row>
    <row r="68" spans="1:13" x14ac:dyDescent="0.3">
      <c r="A68" s="9" t="s">
        <v>41</v>
      </c>
      <c r="B68" s="10" t="s">
        <v>416</v>
      </c>
      <c r="C68" s="10" t="s">
        <v>22</v>
      </c>
      <c r="D68" s="10" t="s">
        <v>40</v>
      </c>
      <c r="E68" s="10" t="s">
        <v>693</v>
      </c>
      <c r="F68" s="10" t="s">
        <v>694</v>
      </c>
      <c r="G68" s="10" t="s">
        <v>698</v>
      </c>
      <c r="H68" s="11">
        <v>1095494</v>
      </c>
      <c r="I68" s="11">
        <v>11111200</v>
      </c>
      <c r="J68" s="11">
        <v>9119822</v>
      </c>
      <c r="K68" s="11">
        <f t="shared" si="3"/>
        <v>9434298.6206896566</v>
      </c>
      <c r="L68" s="18">
        <f t="shared" si="0"/>
        <v>0.84908008322140327</v>
      </c>
      <c r="M68" s="18">
        <f t="shared" si="1"/>
        <v>7.6119126354773794</v>
      </c>
    </row>
    <row r="69" spans="1:13" x14ac:dyDescent="0.3">
      <c r="A69" s="9" t="s">
        <v>49</v>
      </c>
      <c r="B69" s="10" t="s">
        <v>420</v>
      </c>
      <c r="C69" s="10" t="s">
        <v>22</v>
      </c>
      <c r="D69" s="10" t="s">
        <v>46</v>
      </c>
      <c r="E69" s="10" t="s">
        <v>693</v>
      </c>
      <c r="F69" s="10" t="s">
        <v>694</v>
      </c>
      <c r="G69" s="10" t="s">
        <v>700</v>
      </c>
      <c r="H69" s="11">
        <v>68895494</v>
      </c>
      <c r="I69" s="11">
        <v>61204700</v>
      </c>
      <c r="J69" s="11">
        <v>57271168</v>
      </c>
      <c r="K69" s="11">
        <f t="shared" si="3"/>
        <v>59246035.862068966</v>
      </c>
      <c r="L69" s="18">
        <f t="shared" ref="L69:L132" si="7">IFERROR((K69/I69),0)</f>
        <v>0.9679981416797887</v>
      </c>
      <c r="M69" s="18">
        <f t="shared" ref="M69:M132" si="8">IFERROR((K69-H69)/H69,0)</f>
        <v>-0.14005935044069839</v>
      </c>
    </row>
    <row r="70" spans="1:13" x14ac:dyDescent="0.3">
      <c r="A70" s="9" t="s">
        <v>252</v>
      </c>
      <c r="B70" s="10" t="s">
        <v>607</v>
      </c>
      <c r="C70" s="10" t="s">
        <v>20</v>
      </c>
      <c r="D70" s="10" t="s">
        <v>38</v>
      </c>
      <c r="E70" s="10" t="s">
        <v>707</v>
      </c>
      <c r="F70" s="10" t="s">
        <v>694</v>
      </c>
      <c r="G70" s="10" t="s">
        <v>696</v>
      </c>
      <c r="H70" s="11">
        <v>14014411</v>
      </c>
      <c r="I70" s="11">
        <v>18718300</v>
      </c>
      <c r="J70" s="11">
        <v>39313510</v>
      </c>
      <c r="K70" s="11">
        <f t="shared" ref="K70:K133" si="9">IFERROR(J70/$A$1*$B$1,0)</f>
        <v>40669148.275862068</v>
      </c>
      <c r="L70" s="18">
        <f t="shared" si="7"/>
        <v>2.1726945436210592</v>
      </c>
      <c r="M70" s="18">
        <f t="shared" si="8"/>
        <v>1.9019520175241091</v>
      </c>
    </row>
    <row r="71" spans="1:13" x14ac:dyDescent="0.3">
      <c r="A71" s="9" t="s">
        <v>164</v>
      </c>
      <c r="B71" s="10" t="s">
        <v>522</v>
      </c>
      <c r="C71" s="10" t="s">
        <v>118</v>
      </c>
      <c r="D71" s="10" t="s">
        <v>138</v>
      </c>
      <c r="E71" s="10" t="s">
        <v>702</v>
      </c>
      <c r="F71" s="10" t="s">
        <v>694</v>
      </c>
      <c r="G71" s="10" t="s">
        <v>698</v>
      </c>
      <c r="H71" s="11">
        <v>29965763</v>
      </c>
      <c r="I71" s="11">
        <v>50876500</v>
      </c>
      <c r="J71" s="11">
        <v>16524326</v>
      </c>
      <c r="K71" s="11">
        <f t="shared" si="9"/>
        <v>17094130.344827585</v>
      </c>
      <c r="L71" s="18">
        <f t="shared" si="7"/>
        <v>0.33599265564312769</v>
      </c>
      <c r="M71" s="18">
        <f t="shared" si="8"/>
        <v>-0.42954463249183461</v>
      </c>
    </row>
    <row r="72" spans="1:13" x14ac:dyDescent="0.3">
      <c r="A72" s="9" t="s">
        <v>253</v>
      </c>
      <c r="B72" s="10" t="s">
        <v>608</v>
      </c>
      <c r="C72" s="10" t="s">
        <v>22</v>
      </c>
      <c r="D72" s="10" t="s">
        <v>28</v>
      </c>
      <c r="E72" s="10" t="s">
        <v>707</v>
      </c>
      <c r="F72" s="10" t="s">
        <v>694</v>
      </c>
      <c r="G72" s="10" t="s">
        <v>695</v>
      </c>
      <c r="H72" s="11">
        <v>989189</v>
      </c>
      <c r="I72" s="11">
        <v>2340500</v>
      </c>
      <c r="J72" s="11">
        <v>629730</v>
      </c>
      <c r="K72" s="11">
        <f t="shared" si="9"/>
        <v>651444.82758620684</v>
      </c>
      <c r="L72" s="18">
        <f t="shared" si="7"/>
        <v>0.27833575201290617</v>
      </c>
      <c r="M72" s="18">
        <f t="shared" si="8"/>
        <v>-0.34143543085678585</v>
      </c>
    </row>
    <row r="73" spans="1:13" x14ac:dyDescent="0.3">
      <c r="A73" s="9" t="s">
        <v>251</v>
      </c>
      <c r="B73" s="10" t="s">
        <v>606</v>
      </c>
      <c r="C73" s="10" t="s">
        <v>20</v>
      </c>
      <c r="D73" s="10" t="s">
        <v>30</v>
      </c>
      <c r="E73" s="10" t="s">
        <v>707</v>
      </c>
      <c r="F73" s="10" t="s">
        <v>694</v>
      </c>
      <c r="G73" s="10" t="s">
        <v>696</v>
      </c>
      <c r="H73" s="11">
        <v>0</v>
      </c>
      <c r="I73" s="11">
        <v>2807300</v>
      </c>
      <c r="J73" s="11">
        <v>0</v>
      </c>
      <c r="K73" s="11">
        <f t="shared" si="9"/>
        <v>0</v>
      </c>
      <c r="L73" s="18">
        <f t="shared" si="7"/>
        <v>0</v>
      </c>
      <c r="M73" s="18">
        <f t="shared" si="8"/>
        <v>0</v>
      </c>
    </row>
    <row r="74" spans="1:13" x14ac:dyDescent="0.3">
      <c r="A74" s="9" t="s">
        <v>249</v>
      </c>
      <c r="B74" s="10" t="s">
        <v>604</v>
      </c>
      <c r="C74" s="10" t="s">
        <v>22</v>
      </c>
      <c r="D74" s="10" t="s">
        <v>48</v>
      </c>
      <c r="E74" s="10" t="s">
        <v>707</v>
      </c>
      <c r="F74" s="10" t="s">
        <v>694</v>
      </c>
      <c r="G74" s="10" t="s">
        <v>699</v>
      </c>
      <c r="H74" s="11">
        <v>0</v>
      </c>
      <c r="I74" s="11">
        <v>3460000</v>
      </c>
      <c r="J74" s="11">
        <v>0</v>
      </c>
      <c r="K74" s="11">
        <f t="shared" si="9"/>
        <v>0</v>
      </c>
      <c r="L74" s="18">
        <f t="shared" si="7"/>
        <v>0</v>
      </c>
      <c r="M74" s="18">
        <f t="shared" si="8"/>
        <v>0</v>
      </c>
    </row>
    <row r="75" spans="1:13" x14ac:dyDescent="0.3">
      <c r="A75" s="9" t="s">
        <v>50</v>
      </c>
      <c r="B75" s="10" t="s">
        <v>421</v>
      </c>
      <c r="C75" s="10" t="s">
        <v>22</v>
      </c>
      <c r="D75" s="10" t="s">
        <v>40</v>
      </c>
      <c r="E75" s="10" t="s">
        <v>693</v>
      </c>
      <c r="F75" s="10" t="s">
        <v>694</v>
      </c>
      <c r="G75" s="10" t="s">
        <v>698</v>
      </c>
      <c r="H75" s="11">
        <v>36566662</v>
      </c>
      <c r="I75" s="11">
        <v>97793500</v>
      </c>
      <c r="J75" s="11">
        <v>33061258</v>
      </c>
      <c r="K75" s="11">
        <f t="shared" si="9"/>
        <v>34201301.379310347</v>
      </c>
      <c r="L75" s="18">
        <f t="shared" si="7"/>
        <v>0.3497298018713958</v>
      </c>
      <c r="M75" s="18">
        <f t="shared" si="8"/>
        <v>-6.4686260416377428E-2</v>
      </c>
    </row>
    <row r="76" spans="1:13" x14ac:dyDescent="0.3">
      <c r="A76" s="9" t="s">
        <v>186</v>
      </c>
      <c r="B76" s="10" t="s">
        <v>544</v>
      </c>
      <c r="C76" s="10" t="s">
        <v>118</v>
      </c>
      <c r="D76" s="10" t="s">
        <v>134</v>
      </c>
      <c r="E76" s="10" t="s">
        <v>704</v>
      </c>
      <c r="F76" s="10" t="s">
        <v>694</v>
      </c>
      <c r="G76" s="10" t="s">
        <v>698</v>
      </c>
      <c r="H76" s="11">
        <v>24225216</v>
      </c>
      <c r="I76" s="11">
        <v>27529600</v>
      </c>
      <c r="J76" s="11">
        <v>16425214</v>
      </c>
      <c r="K76" s="11">
        <f t="shared" si="9"/>
        <v>16991600.689655174</v>
      </c>
      <c r="L76" s="18">
        <f t="shared" si="7"/>
        <v>0.61721204411452302</v>
      </c>
      <c r="M76" s="18">
        <f t="shared" si="8"/>
        <v>-0.29859858877397943</v>
      </c>
    </row>
    <row r="77" spans="1:13" x14ac:dyDescent="0.3">
      <c r="A77" s="9" t="s">
        <v>135</v>
      </c>
      <c r="B77" s="10" t="s">
        <v>495</v>
      </c>
      <c r="C77" s="10" t="s">
        <v>20</v>
      </c>
      <c r="D77" s="10" t="s">
        <v>32</v>
      </c>
      <c r="E77" s="10" t="s">
        <v>693</v>
      </c>
      <c r="F77" s="10" t="s">
        <v>694</v>
      </c>
      <c r="G77" s="10" t="s">
        <v>696</v>
      </c>
      <c r="H77" s="11">
        <v>19661260</v>
      </c>
      <c r="I77" s="11">
        <v>40357500</v>
      </c>
      <c r="J77" s="11">
        <v>13589187</v>
      </c>
      <c r="K77" s="11">
        <f t="shared" si="9"/>
        <v>14057779.655172413</v>
      </c>
      <c r="L77" s="18">
        <f t="shared" si="7"/>
        <v>0.34833128055931151</v>
      </c>
      <c r="M77" s="18">
        <f t="shared" si="8"/>
        <v>-0.28500108054252815</v>
      </c>
    </row>
    <row r="78" spans="1:13" x14ac:dyDescent="0.3">
      <c r="A78" s="9" t="s">
        <v>206</v>
      </c>
      <c r="B78" s="10" t="s">
        <v>564</v>
      </c>
      <c r="C78" s="10" t="s">
        <v>116</v>
      </c>
      <c r="D78" s="10" t="s">
        <v>133</v>
      </c>
      <c r="E78" s="10" t="s">
        <v>705</v>
      </c>
      <c r="F78" s="10" t="s">
        <v>694</v>
      </c>
      <c r="G78" s="10" t="s">
        <v>698</v>
      </c>
      <c r="H78" s="11">
        <v>153714397</v>
      </c>
      <c r="I78" s="11">
        <v>151931800</v>
      </c>
      <c r="J78" s="11">
        <v>148889174</v>
      </c>
      <c r="K78" s="11">
        <f t="shared" si="9"/>
        <v>154023283.44827586</v>
      </c>
      <c r="L78" s="18">
        <f t="shared" si="7"/>
        <v>1.0137659360862956</v>
      </c>
      <c r="M78" s="18">
        <f t="shared" si="8"/>
        <v>2.0094828741114221E-3</v>
      </c>
    </row>
    <row r="79" spans="1:13" x14ac:dyDescent="0.3">
      <c r="A79" s="9" t="s">
        <v>51</v>
      </c>
      <c r="B79" s="10" t="s">
        <v>422</v>
      </c>
      <c r="C79" s="10" t="s">
        <v>22</v>
      </c>
      <c r="D79" s="10" t="s">
        <v>28</v>
      </c>
      <c r="E79" s="10" t="s">
        <v>693</v>
      </c>
      <c r="F79" s="10" t="s">
        <v>694</v>
      </c>
      <c r="G79" s="10" t="s">
        <v>695</v>
      </c>
      <c r="H79" s="11">
        <v>10214412</v>
      </c>
      <c r="I79" s="11">
        <v>55507200</v>
      </c>
      <c r="J79" s="11">
        <v>3144141</v>
      </c>
      <c r="K79" s="11">
        <f t="shared" si="9"/>
        <v>3252559.6551724141</v>
      </c>
      <c r="L79" s="18">
        <f t="shared" si="7"/>
        <v>5.8597076688653257E-2</v>
      </c>
      <c r="M79" s="18">
        <f t="shared" si="8"/>
        <v>-0.68157152314079228</v>
      </c>
    </row>
    <row r="80" spans="1:13" x14ac:dyDescent="0.3">
      <c r="A80" s="9" t="s">
        <v>139</v>
      </c>
      <c r="B80" s="10" t="s">
        <v>497</v>
      </c>
      <c r="C80" s="10" t="s">
        <v>20</v>
      </c>
      <c r="D80" s="10" t="s">
        <v>32</v>
      </c>
      <c r="E80" s="10" t="s">
        <v>693</v>
      </c>
      <c r="F80" s="10" t="s">
        <v>694</v>
      </c>
      <c r="G80" s="10" t="s">
        <v>696</v>
      </c>
      <c r="H80" s="11">
        <v>19573873</v>
      </c>
      <c r="I80" s="11">
        <v>27472700</v>
      </c>
      <c r="J80" s="11">
        <v>15732434</v>
      </c>
      <c r="K80" s="11">
        <f t="shared" si="9"/>
        <v>16274931.72413793</v>
      </c>
      <c r="L80" s="18">
        <f t="shared" si="7"/>
        <v>0.59240379446279146</v>
      </c>
      <c r="M80" s="18">
        <f t="shared" si="8"/>
        <v>-0.16853799326592492</v>
      </c>
    </row>
    <row r="81" spans="1:13" x14ac:dyDescent="0.3">
      <c r="A81" s="9" t="s">
        <v>137</v>
      </c>
      <c r="B81" s="10" t="s">
        <v>496</v>
      </c>
      <c r="C81" s="10" t="s">
        <v>20</v>
      </c>
      <c r="D81" s="10" t="s">
        <v>34</v>
      </c>
      <c r="E81" s="10" t="s">
        <v>693</v>
      </c>
      <c r="F81" s="10" t="s">
        <v>694</v>
      </c>
      <c r="G81" s="10" t="s">
        <v>697</v>
      </c>
      <c r="H81" s="11">
        <v>808108</v>
      </c>
      <c r="I81" s="11">
        <v>3892100</v>
      </c>
      <c r="J81" s="11">
        <v>718918</v>
      </c>
      <c r="K81" s="11">
        <f t="shared" si="9"/>
        <v>743708.27586206887</v>
      </c>
      <c r="L81" s="18">
        <f t="shared" si="7"/>
        <v>0.19108149221810047</v>
      </c>
      <c r="M81" s="18">
        <f t="shared" si="8"/>
        <v>-7.9691976985664201E-2</v>
      </c>
    </row>
    <row r="82" spans="1:13" x14ac:dyDescent="0.3">
      <c r="A82" s="9" t="s">
        <v>187</v>
      </c>
      <c r="B82" s="10" t="s">
        <v>545</v>
      </c>
      <c r="C82" s="10" t="s">
        <v>118</v>
      </c>
      <c r="D82" s="10" t="s">
        <v>136</v>
      </c>
      <c r="E82" s="10" t="s">
        <v>704</v>
      </c>
      <c r="F82" s="10" t="s">
        <v>694</v>
      </c>
      <c r="G82" s="10" t="s">
        <v>697</v>
      </c>
      <c r="H82" s="11">
        <v>8481080</v>
      </c>
      <c r="I82" s="11">
        <v>7025400</v>
      </c>
      <c r="J82" s="11">
        <v>700900</v>
      </c>
      <c r="K82" s="11">
        <f t="shared" si="9"/>
        <v>725068.96551724139</v>
      </c>
      <c r="L82" s="18">
        <f t="shared" si="7"/>
        <v>0.10320678758750269</v>
      </c>
      <c r="M82" s="18">
        <f t="shared" si="8"/>
        <v>-0.91450747245430519</v>
      </c>
    </row>
    <row r="83" spans="1:13" x14ac:dyDescent="0.3">
      <c r="A83" s="9" t="s">
        <v>207</v>
      </c>
      <c r="B83" s="10" t="s">
        <v>565</v>
      </c>
      <c r="C83" s="10" t="s">
        <v>116</v>
      </c>
      <c r="D83" s="10" t="s">
        <v>133</v>
      </c>
      <c r="E83" s="10" t="s">
        <v>705</v>
      </c>
      <c r="F83" s="10" t="s">
        <v>694</v>
      </c>
      <c r="G83" s="10" t="s">
        <v>699</v>
      </c>
      <c r="H83" s="11">
        <v>73747747</v>
      </c>
      <c r="I83" s="11">
        <v>149918200</v>
      </c>
      <c r="J83" s="11">
        <v>71631529</v>
      </c>
      <c r="K83" s="11">
        <f t="shared" si="9"/>
        <v>74101581.724137932</v>
      </c>
      <c r="L83" s="18">
        <f t="shared" si="7"/>
        <v>0.4942800922378866</v>
      </c>
      <c r="M83" s="18">
        <f t="shared" si="8"/>
        <v>4.7979055433101173E-3</v>
      </c>
    </row>
    <row r="84" spans="1:13" x14ac:dyDescent="0.3">
      <c r="A84" s="9" t="s">
        <v>68</v>
      </c>
      <c r="B84" s="10" t="s">
        <v>437</v>
      </c>
      <c r="C84" s="10" t="s">
        <v>22</v>
      </c>
      <c r="D84" s="10" t="s">
        <v>28</v>
      </c>
      <c r="E84" s="10" t="s">
        <v>693</v>
      </c>
      <c r="F84" s="10" t="s">
        <v>694</v>
      </c>
      <c r="G84" s="10" t="s">
        <v>695</v>
      </c>
      <c r="H84" s="11">
        <v>2874772</v>
      </c>
      <c r="I84" s="11">
        <v>21553300</v>
      </c>
      <c r="J84" s="11">
        <v>3251348</v>
      </c>
      <c r="K84" s="11">
        <f t="shared" si="9"/>
        <v>3363463.4482758623</v>
      </c>
      <c r="L84" s="18">
        <f t="shared" si="7"/>
        <v>0.15605329338318782</v>
      </c>
      <c r="M84" s="18">
        <f t="shared" si="8"/>
        <v>0.16999311537605843</v>
      </c>
    </row>
    <row r="85" spans="1:13" x14ac:dyDescent="0.3">
      <c r="A85" s="9" t="s">
        <v>162</v>
      </c>
      <c r="B85" s="10" t="s">
        <v>520</v>
      </c>
      <c r="C85" s="10" t="s">
        <v>20</v>
      </c>
      <c r="D85" s="10" t="s">
        <v>30</v>
      </c>
      <c r="E85" s="10" t="s">
        <v>693</v>
      </c>
      <c r="F85" s="10" t="s">
        <v>694</v>
      </c>
      <c r="G85" s="10" t="s">
        <v>696</v>
      </c>
      <c r="H85" s="11">
        <v>64172072</v>
      </c>
      <c r="I85" s="11">
        <v>87290000</v>
      </c>
      <c r="J85" s="11">
        <v>57186484</v>
      </c>
      <c r="K85" s="11">
        <f t="shared" si="9"/>
        <v>59158431.724137932</v>
      </c>
      <c r="L85" s="18">
        <f t="shared" si="7"/>
        <v>0.67772289751561388</v>
      </c>
      <c r="M85" s="18">
        <f t="shared" si="8"/>
        <v>-7.8128072222166486E-2</v>
      </c>
    </row>
    <row r="86" spans="1:13" x14ac:dyDescent="0.3">
      <c r="A86" s="9" t="s">
        <v>171</v>
      </c>
      <c r="B86" s="10" t="s">
        <v>529</v>
      </c>
      <c r="C86" s="10" t="s">
        <v>118</v>
      </c>
      <c r="D86" s="10" t="s">
        <v>138</v>
      </c>
      <c r="E86" s="10" t="s">
        <v>703</v>
      </c>
      <c r="F86" s="10" t="s">
        <v>694</v>
      </c>
      <c r="G86" s="10" t="s">
        <v>699</v>
      </c>
      <c r="H86" s="11">
        <v>13049550</v>
      </c>
      <c r="I86" s="11">
        <v>30821900</v>
      </c>
      <c r="J86" s="11">
        <v>8079280</v>
      </c>
      <c r="K86" s="11">
        <f t="shared" si="9"/>
        <v>8357875.8620689651</v>
      </c>
      <c r="L86" s="18">
        <f t="shared" si="7"/>
        <v>0.27116679575460839</v>
      </c>
      <c r="M86" s="18">
        <f t="shared" si="8"/>
        <v>-0.35952765711699136</v>
      </c>
    </row>
    <row r="87" spans="1:13" x14ac:dyDescent="0.3">
      <c r="A87" s="9" t="s">
        <v>92</v>
      </c>
      <c r="B87" s="10" t="s">
        <v>461</v>
      </c>
      <c r="C87" s="10" t="s">
        <v>22</v>
      </c>
      <c r="D87" s="10" t="s">
        <v>40</v>
      </c>
      <c r="E87" s="10" t="s">
        <v>693</v>
      </c>
      <c r="F87" s="10" t="s">
        <v>694</v>
      </c>
      <c r="G87" s="10" t="s">
        <v>698</v>
      </c>
      <c r="H87" s="11">
        <v>5302699</v>
      </c>
      <c r="I87" s="11">
        <v>20848100</v>
      </c>
      <c r="J87" s="11">
        <v>2858558</v>
      </c>
      <c r="K87" s="11">
        <f t="shared" si="9"/>
        <v>2957128.9655172415</v>
      </c>
      <c r="L87" s="18">
        <f t="shared" si="7"/>
        <v>0.14184165298119453</v>
      </c>
      <c r="M87" s="18">
        <f t="shared" si="8"/>
        <v>-0.44233512678784115</v>
      </c>
    </row>
    <row r="88" spans="1:13" x14ac:dyDescent="0.3">
      <c r="A88" s="9" t="s">
        <v>140</v>
      </c>
      <c r="B88" s="10" t="s">
        <v>498</v>
      </c>
      <c r="C88" s="10" t="s">
        <v>22</v>
      </c>
      <c r="D88" s="10" t="s">
        <v>28</v>
      </c>
      <c r="E88" s="10" t="s">
        <v>693</v>
      </c>
      <c r="F88" s="10" t="s">
        <v>694</v>
      </c>
      <c r="G88" s="10" t="s">
        <v>695</v>
      </c>
      <c r="H88" s="11">
        <v>5246844</v>
      </c>
      <c r="I88" s="11">
        <v>22094400</v>
      </c>
      <c r="J88" s="11">
        <v>4674774</v>
      </c>
      <c r="K88" s="11">
        <f t="shared" si="9"/>
        <v>4835973.1034482755</v>
      </c>
      <c r="L88" s="18">
        <f t="shared" si="7"/>
        <v>0.21887777461475647</v>
      </c>
      <c r="M88" s="18">
        <f t="shared" si="8"/>
        <v>-7.8308197566332172E-2</v>
      </c>
    </row>
    <row r="89" spans="1:13" x14ac:dyDescent="0.3">
      <c r="A89" s="9" t="s">
        <v>169</v>
      </c>
      <c r="B89" s="10" t="s">
        <v>527</v>
      </c>
      <c r="C89" s="10" t="s">
        <v>118</v>
      </c>
      <c r="D89" s="10" t="s">
        <v>138</v>
      </c>
      <c r="E89" s="10" t="s">
        <v>703</v>
      </c>
      <c r="F89" s="10" t="s">
        <v>694</v>
      </c>
      <c r="G89" s="10" t="s">
        <v>699</v>
      </c>
      <c r="H89" s="11">
        <v>17918018</v>
      </c>
      <c r="I89" s="11">
        <v>31065800</v>
      </c>
      <c r="J89" s="11">
        <v>15412613</v>
      </c>
      <c r="K89" s="11">
        <f t="shared" si="9"/>
        <v>15944082.413793102</v>
      </c>
      <c r="L89" s="18">
        <f t="shared" si="7"/>
        <v>0.51323585466310551</v>
      </c>
      <c r="M89" s="18">
        <f t="shared" si="8"/>
        <v>-0.11016484000668479</v>
      </c>
    </row>
    <row r="90" spans="1:13" x14ac:dyDescent="0.3">
      <c r="A90" s="9" t="s">
        <v>172</v>
      </c>
      <c r="B90" s="10" t="s">
        <v>530</v>
      </c>
      <c r="C90" s="10" t="s">
        <v>118</v>
      </c>
      <c r="D90" s="10" t="s">
        <v>138</v>
      </c>
      <c r="E90" s="10" t="s">
        <v>703</v>
      </c>
      <c r="F90" s="10" t="s">
        <v>694</v>
      </c>
      <c r="G90" s="10" t="s">
        <v>695</v>
      </c>
      <c r="H90" s="11">
        <v>19009908</v>
      </c>
      <c r="I90" s="11">
        <v>51794200</v>
      </c>
      <c r="J90" s="11">
        <v>14854057</v>
      </c>
      <c r="K90" s="11">
        <f t="shared" si="9"/>
        <v>15366265.862068966</v>
      </c>
      <c r="L90" s="18">
        <f t="shared" si="7"/>
        <v>0.296679278028601</v>
      </c>
      <c r="M90" s="18">
        <f t="shared" si="8"/>
        <v>-0.1916706876188477</v>
      </c>
    </row>
    <row r="91" spans="1:13" x14ac:dyDescent="0.3">
      <c r="A91" s="9" t="s">
        <v>141</v>
      </c>
      <c r="B91" s="10" t="s">
        <v>499</v>
      </c>
      <c r="C91" s="10" t="s">
        <v>22</v>
      </c>
      <c r="D91" s="10" t="s">
        <v>46</v>
      </c>
      <c r="E91" s="10" t="s">
        <v>693</v>
      </c>
      <c r="F91" s="10" t="s">
        <v>694</v>
      </c>
      <c r="G91" s="10" t="s">
        <v>700</v>
      </c>
      <c r="H91" s="11">
        <v>17707202</v>
      </c>
      <c r="I91" s="11">
        <v>28883200</v>
      </c>
      <c r="J91" s="11">
        <v>17009906</v>
      </c>
      <c r="K91" s="11">
        <f t="shared" si="9"/>
        <v>17596454.482758619</v>
      </c>
      <c r="L91" s="18">
        <f t="shared" si="7"/>
        <v>0.6092280108422411</v>
      </c>
      <c r="M91" s="18">
        <f t="shared" si="8"/>
        <v>-6.2543770179716201E-3</v>
      </c>
    </row>
    <row r="92" spans="1:13" x14ac:dyDescent="0.3">
      <c r="A92" s="9" t="s">
        <v>142</v>
      </c>
      <c r="B92" s="10" t="s">
        <v>500</v>
      </c>
      <c r="C92" s="10" t="s">
        <v>20</v>
      </c>
      <c r="D92" s="10" t="s">
        <v>32</v>
      </c>
      <c r="E92" s="10" t="s">
        <v>693</v>
      </c>
      <c r="F92" s="10" t="s">
        <v>694</v>
      </c>
      <c r="G92" s="10" t="s">
        <v>696</v>
      </c>
      <c r="H92" s="11">
        <v>8089188</v>
      </c>
      <c r="I92" s="11">
        <v>19187600</v>
      </c>
      <c r="J92" s="11">
        <v>5771168</v>
      </c>
      <c r="K92" s="11">
        <f t="shared" si="9"/>
        <v>5970173.793103449</v>
      </c>
      <c r="L92" s="18">
        <f t="shared" si="7"/>
        <v>0.31114750115196527</v>
      </c>
      <c r="M92" s="18">
        <f t="shared" si="8"/>
        <v>-0.26195635543351831</v>
      </c>
    </row>
    <row r="93" spans="1:13" x14ac:dyDescent="0.3">
      <c r="A93" s="9" t="s">
        <v>58</v>
      </c>
      <c r="B93" s="10" t="s">
        <v>429</v>
      </c>
      <c r="C93" s="10" t="s">
        <v>22</v>
      </c>
      <c r="D93" s="10" t="s">
        <v>48</v>
      </c>
      <c r="E93" s="10" t="s">
        <v>693</v>
      </c>
      <c r="F93" s="10" t="s">
        <v>694</v>
      </c>
      <c r="G93" s="10" t="s">
        <v>699</v>
      </c>
      <c r="H93" s="11">
        <v>24223418</v>
      </c>
      <c r="I93" s="11">
        <v>31425000</v>
      </c>
      <c r="J93" s="11">
        <v>16713512</v>
      </c>
      <c r="K93" s="11">
        <f t="shared" si="9"/>
        <v>17289840</v>
      </c>
      <c r="L93" s="18">
        <f t="shared" si="7"/>
        <v>0.55019379474940333</v>
      </c>
      <c r="M93" s="18">
        <f t="shared" si="8"/>
        <v>-0.28623450249671617</v>
      </c>
    </row>
    <row r="94" spans="1:13" x14ac:dyDescent="0.3">
      <c r="A94" s="9" t="s">
        <v>143</v>
      </c>
      <c r="B94" s="10" t="s">
        <v>501</v>
      </c>
      <c r="C94" s="10" t="s">
        <v>22</v>
      </c>
      <c r="D94" s="10" t="s">
        <v>46</v>
      </c>
      <c r="E94" s="10" t="s">
        <v>693</v>
      </c>
      <c r="F94" s="10" t="s">
        <v>694</v>
      </c>
      <c r="G94" s="10" t="s">
        <v>700</v>
      </c>
      <c r="H94" s="11">
        <v>19838735</v>
      </c>
      <c r="I94" s="11">
        <v>27779300</v>
      </c>
      <c r="J94" s="11">
        <v>18454058</v>
      </c>
      <c r="K94" s="11">
        <f t="shared" si="9"/>
        <v>19090404.827586204</v>
      </c>
      <c r="L94" s="18">
        <f t="shared" si="7"/>
        <v>0.68721691430619936</v>
      </c>
      <c r="M94" s="18">
        <f t="shared" si="8"/>
        <v>-3.7720659730259828E-2</v>
      </c>
    </row>
    <row r="95" spans="1:13" x14ac:dyDescent="0.3">
      <c r="A95" s="9" t="s">
        <v>170</v>
      </c>
      <c r="B95" s="10" t="s">
        <v>528</v>
      </c>
      <c r="C95" s="10" t="s">
        <v>118</v>
      </c>
      <c r="D95" s="10" t="s">
        <v>123</v>
      </c>
      <c r="E95" s="10" t="s">
        <v>703</v>
      </c>
      <c r="F95" s="10" t="s">
        <v>694</v>
      </c>
      <c r="G95" s="10" t="s">
        <v>696</v>
      </c>
      <c r="H95" s="11">
        <v>32397298</v>
      </c>
      <c r="I95" s="11">
        <v>37848300</v>
      </c>
      <c r="J95" s="11">
        <v>24674774</v>
      </c>
      <c r="K95" s="11">
        <f t="shared" si="9"/>
        <v>25525628.275862068</v>
      </c>
      <c r="L95" s="18">
        <f t="shared" si="7"/>
        <v>0.67441941318003895</v>
      </c>
      <c r="M95" s="18">
        <f t="shared" si="8"/>
        <v>-0.21210626034732688</v>
      </c>
    </row>
    <row r="96" spans="1:13" x14ac:dyDescent="0.3">
      <c r="A96" s="9" t="s">
        <v>74</v>
      </c>
      <c r="B96" s="10" t="s">
        <v>443</v>
      </c>
      <c r="C96" s="10" t="s">
        <v>20</v>
      </c>
      <c r="D96" s="10" t="s">
        <v>38</v>
      </c>
      <c r="E96" s="10" t="s">
        <v>693</v>
      </c>
      <c r="F96" s="10" t="s">
        <v>694</v>
      </c>
      <c r="G96" s="10" t="s">
        <v>696</v>
      </c>
      <c r="H96" s="11">
        <v>8487385</v>
      </c>
      <c r="I96" s="11">
        <v>17172800</v>
      </c>
      <c r="J96" s="11">
        <v>10783782</v>
      </c>
      <c r="K96" s="11">
        <f t="shared" si="9"/>
        <v>11155636.551724138</v>
      </c>
      <c r="L96" s="18">
        <f t="shared" si="7"/>
        <v>0.64961081196567461</v>
      </c>
      <c r="M96" s="18">
        <f t="shared" si="8"/>
        <v>0.31437852197398114</v>
      </c>
    </row>
    <row r="97" spans="1:13" x14ac:dyDescent="0.3">
      <c r="A97" s="9" t="s">
        <v>62</v>
      </c>
      <c r="B97" s="10" t="s">
        <v>433</v>
      </c>
      <c r="C97" s="10" t="s">
        <v>20</v>
      </c>
      <c r="D97" s="10" t="s">
        <v>34</v>
      </c>
      <c r="E97" s="10" t="s">
        <v>693</v>
      </c>
      <c r="F97" s="10" t="s">
        <v>694</v>
      </c>
      <c r="G97" s="10" t="s">
        <v>697</v>
      </c>
      <c r="H97" s="11">
        <v>40407206</v>
      </c>
      <c r="I97" s="11">
        <v>54455000</v>
      </c>
      <c r="J97" s="11">
        <v>19937838</v>
      </c>
      <c r="K97" s="11">
        <f t="shared" si="9"/>
        <v>20625349.655172415</v>
      </c>
      <c r="L97" s="18">
        <f t="shared" si="7"/>
        <v>0.37875951988196521</v>
      </c>
      <c r="M97" s="18">
        <f t="shared" si="8"/>
        <v>-0.48956258804005365</v>
      </c>
    </row>
    <row r="98" spans="1:13" x14ac:dyDescent="0.3">
      <c r="A98" s="9" t="s">
        <v>174</v>
      </c>
      <c r="B98" s="10" t="s">
        <v>532</v>
      </c>
      <c r="C98" s="10" t="s">
        <v>118</v>
      </c>
      <c r="D98" s="10" t="s">
        <v>138</v>
      </c>
      <c r="E98" s="10" t="s">
        <v>703</v>
      </c>
      <c r="F98" s="10" t="s">
        <v>694</v>
      </c>
      <c r="G98" s="10" t="s">
        <v>698</v>
      </c>
      <c r="H98" s="11">
        <v>13231527</v>
      </c>
      <c r="I98" s="11">
        <v>21492000</v>
      </c>
      <c r="J98" s="11">
        <v>7873872</v>
      </c>
      <c r="K98" s="11">
        <f t="shared" si="9"/>
        <v>8145384.8275862066</v>
      </c>
      <c r="L98" s="18">
        <f t="shared" si="7"/>
        <v>0.37899613007566568</v>
      </c>
      <c r="M98" s="18">
        <f t="shared" si="8"/>
        <v>-0.38439570673995477</v>
      </c>
    </row>
    <row r="99" spans="1:13" x14ac:dyDescent="0.3">
      <c r="A99" s="9" t="s">
        <v>240</v>
      </c>
      <c r="B99" s="10" t="s">
        <v>596</v>
      </c>
      <c r="C99" s="10" t="s">
        <v>20</v>
      </c>
      <c r="D99" s="10" t="s">
        <v>38</v>
      </c>
      <c r="E99" s="10" t="s">
        <v>707</v>
      </c>
      <c r="F99" s="10" t="s">
        <v>694</v>
      </c>
      <c r="G99" s="10" t="s">
        <v>696</v>
      </c>
      <c r="H99" s="11">
        <v>0</v>
      </c>
      <c r="I99" s="11">
        <v>3989000</v>
      </c>
      <c r="J99" s="11">
        <v>269369</v>
      </c>
      <c r="K99" s="11">
        <f t="shared" si="9"/>
        <v>278657.58620689658</v>
      </c>
      <c r="L99" s="18">
        <f t="shared" si="7"/>
        <v>6.985650193203724E-2</v>
      </c>
      <c r="M99" s="18">
        <f t="shared" si="8"/>
        <v>0</v>
      </c>
    </row>
    <row r="100" spans="1:13" x14ac:dyDescent="0.3">
      <c r="A100" s="9" t="s">
        <v>189</v>
      </c>
      <c r="B100" s="10" t="s">
        <v>547</v>
      </c>
      <c r="C100" s="10" t="s">
        <v>118</v>
      </c>
      <c r="D100" s="10" t="s">
        <v>136</v>
      </c>
      <c r="E100" s="10" t="s">
        <v>704</v>
      </c>
      <c r="F100" s="10" t="s">
        <v>694</v>
      </c>
      <c r="G100" s="10" t="s">
        <v>696</v>
      </c>
      <c r="H100" s="11">
        <v>93133323</v>
      </c>
      <c r="I100" s="11">
        <v>58553100</v>
      </c>
      <c r="J100" s="11">
        <v>37165762</v>
      </c>
      <c r="K100" s="11">
        <f t="shared" si="9"/>
        <v>38447340</v>
      </c>
      <c r="L100" s="18">
        <f t="shared" si="7"/>
        <v>0.65662347510208685</v>
      </c>
      <c r="M100" s="18">
        <f t="shared" si="8"/>
        <v>-0.58717955333774574</v>
      </c>
    </row>
    <row r="101" spans="1:13" x14ac:dyDescent="0.3">
      <c r="A101" s="9" t="s">
        <v>144</v>
      </c>
      <c r="B101" s="10" t="s">
        <v>502</v>
      </c>
      <c r="C101" s="10" t="s">
        <v>22</v>
      </c>
      <c r="D101" s="10" t="s">
        <v>44</v>
      </c>
      <c r="E101" s="10" t="s">
        <v>693</v>
      </c>
      <c r="F101" s="10" t="s">
        <v>694</v>
      </c>
      <c r="G101" s="10" t="s">
        <v>695</v>
      </c>
      <c r="H101" s="11">
        <v>3591887</v>
      </c>
      <c r="I101" s="11">
        <v>21918900</v>
      </c>
      <c r="J101" s="11">
        <v>2335134</v>
      </c>
      <c r="K101" s="11">
        <f t="shared" si="9"/>
        <v>2415655.8620689656</v>
      </c>
      <c r="L101" s="18">
        <f t="shared" si="7"/>
        <v>0.1102088089306017</v>
      </c>
      <c r="M101" s="18">
        <f t="shared" si="8"/>
        <v>-0.32746885910693585</v>
      </c>
    </row>
    <row r="102" spans="1:13" x14ac:dyDescent="0.3">
      <c r="A102" s="9" t="s">
        <v>103</v>
      </c>
      <c r="B102" s="10" t="s">
        <v>472</v>
      </c>
      <c r="C102" s="10" t="s">
        <v>22</v>
      </c>
      <c r="D102" s="10" t="s">
        <v>44</v>
      </c>
      <c r="E102" s="10" t="s">
        <v>693</v>
      </c>
      <c r="F102" s="10" t="s">
        <v>694</v>
      </c>
      <c r="G102" s="10" t="s">
        <v>695</v>
      </c>
      <c r="H102" s="11">
        <v>3231527</v>
      </c>
      <c r="I102" s="11">
        <v>21737900</v>
      </c>
      <c r="J102" s="11">
        <v>4718917</v>
      </c>
      <c r="K102" s="11">
        <f t="shared" si="9"/>
        <v>4881638.2758620689</v>
      </c>
      <c r="L102" s="18">
        <f t="shared" si="7"/>
        <v>0.22456807124248748</v>
      </c>
      <c r="M102" s="18">
        <f t="shared" si="8"/>
        <v>0.51062896143589975</v>
      </c>
    </row>
    <row r="103" spans="1:13" x14ac:dyDescent="0.3">
      <c r="A103" s="9" t="s">
        <v>76</v>
      </c>
      <c r="B103" s="10" t="s">
        <v>445</v>
      </c>
      <c r="C103" s="10" t="s">
        <v>22</v>
      </c>
      <c r="D103" s="10" t="s">
        <v>48</v>
      </c>
      <c r="E103" s="10" t="s">
        <v>693</v>
      </c>
      <c r="F103" s="10" t="s">
        <v>694</v>
      </c>
      <c r="G103" s="10" t="s">
        <v>699</v>
      </c>
      <c r="H103" s="11">
        <v>32193694</v>
      </c>
      <c r="I103" s="11">
        <v>30996300</v>
      </c>
      <c r="J103" s="11">
        <v>15523421</v>
      </c>
      <c r="K103" s="11">
        <f t="shared" si="9"/>
        <v>16058711.379310343</v>
      </c>
      <c r="L103" s="18">
        <f t="shared" si="7"/>
        <v>0.51808478364547839</v>
      </c>
      <c r="M103" s="18">
        <f t="shared" si="8"/>
        <v>-0.50118456803029987</v>
      </c>
    </row>
    <row r="104" spans="1:13" x14ac:dyDescent="0.3">
      <c r="A104" s="9" t="s">
        <v>145</v>
      </c>
      <c r="B104" s="10" t="s">
        <v>503</v>
      </c>
      <c r="C104" s="10" t="s">
        <v>20</v>
      </c>
      <c r="D104" s="10" t="s">
        <v>36</v>
      </c>
      <c r="E104" s="10" t="s">
        <v>693</v>
      </c>
      <c r="F104" s="10" t="s">
        <v>694</v>
      </c>
      <c r="G104" s="10" t="s">
        <v>697</v>
      </c>
      <c r="H104" s="11">
        <v>31798199</v>
      </c>
      <c r="I104" s="11">
        <v>40790700</v>
      </c>
      <c r="J104" s="11">
        <v>24268469</v>
      </c>
      <c r="K104" s="11">
        <f t="shared" si="9"/>
        <v>25105312.758620687</v>
      </c>
      <c r="L104" s="18">
        <f t="shared" si="7"/>
        <v>0.61546658328051951</v>
      </c>
      <c r="M104" s="18">
        <f t="shared" si="8"/>
        <v>-0.21048004138156734</v>
      </c>
    </row>
    <row r="105" spans="1:13" x14ac:dyDescent="0.3">
      <c r="A105" s="9" t="s">
        <v>146</v>
      </c>
      <c r="B105" s="10" t="s">
        <v>504</v>
      </c>
      <c r="C105" s="10" t="s">
        <v>20</v>
      </c>
      <c r="D105" s="10" t="s">
        <v>30</v>
      </c>
      <c r="E105" s="10" t="s">
        <v>693</v>
      </c>
      <c r="F105" s="10" t="s">
        <v>694</v>
      </c>
      <c r="G105" s="10" t="s">
        <v>696</v>
      </c>
      <c r="H105" s="11">
        <v>9396392</v>
      </c>
      <c r="I105" s="11">
        <v>22132100</v>
      </c>
      <c r="J105" s="11">
        <v>10156755</v>
      </c>
      <c r="K105" s="11">
        <f t="shared" si="9"/>
        <v>10506987.931034483</v>
      </c>
      <c r="L105" s="18">
        <f t="shared" si="7"/>
        <v>0.47473976400949225</v>
      </c>
      <c r="M105" s="18">
        <f t="shared" si="8"/>
        <v>0.11819386962937296</v>
      </c>
    </row>
    <row r="106" spans="1:13" x14ac:dyDescent="0.3">
      <c r="A106" s="9" t="s">
        <v>27</v>
      </c>
      <c r="B106" s="10" t="s">
        <v>409</v>
      </c>
      <c r="C106" s="10" t="s">
        <v>20</v>
      </c>
      <c r="D106" s="10" t="s">
        <v>36</v>
      </c>
      <c r="E106" s="10" t="s">
        <v>693</v>
      </c>
      <c r="F106" s="10" t="s">
        <v>694</v>
      </c>
      <c r="G106" s="10" t="s">
        <v>697</v>
      </c>
      <c r="H106" s="11">
        <v>27139631</v>
      </c>
      <c r="I106" s="11">
        <v>42406700</v>
      </c>
      <c r="J106" s="11">
        <v>17897288</v>
      </c>
      <c r="K106" s="11">
        <f t="shared" si="9"/>
        <v>18514435.862068966</v>
      </c>
      <c r="L106" s="18">
        <f t="shared" si="7"/>
        <v>0.43659223335154507</v>
      </c>
      <c r="M106" s="18">
        <f t="shared" si="8"/>
        <v>-0.31780812119114787</v>
      </c>
    </row>
    <row r="107" spans="1:13" x14ac:dyDescent="0.3">
      <c r="A107" s="9" t="s">
        <v>84</v>
      </c>
      <c r="B107" s="10" t="s">
        <v>453</v>
      </c>
      <c r="C107" s="10" t="s">
        <v>22</v>
      </c>
      <c r="D107" s="10" t="s">
        <v>48</v>
      </c>
      <c r="E107" s="10" t="s">
        <v>693</v>
      </c>
      <c r="F107" s="10" t="s">
        <v>694</v>
      </c>
      <c r="G107" s="10" t="s">
        <v>699</v>
      </c>
      <c r="H107" s="11">
        <v>11179280</v>
      </c>
      <c r="I107" s="11">
        <v>10034100</v>
      </c>
      <c r="J107" s="11">
        <v>7552252</v>
      </c>
      <c r="K107" s="11">
        <f t="shared" si="9"/>
        <v>7812674.4827586208</v>
      </c>
      <c r="L107" s="18">
        <f t="shared" si="7"/>
        <v>0.778612380059858</v>
      </c>
      <c r="M107" s="18">
        <f t="shared" si="8"/>
        <v>-0.30114690009029016</v>
      </c>
    </row>
    <row r="108" spans="1:13" x14ac:dyDescent="0.3">
      <c r="A108" s="9" t="s">
        <v>78</v>
      </c>
      <c r="B108" s="10" t="s">
        <v>447</v>
      </c>
      <c r="C108" s="10" t="s">
        <v>20</v>
      </c>
      <c r="D108" s="10" t="s">
        <v>32</v>
      </c>
      <c r="E108" s="10" t="s">
        <v>693</v>
      </c>
      <c r="F108" s="10" t="s">
        <v>694</v>
      </c>
      <c r="G108" s="10" t="s">
        <v>696</v>
      </c>
      <c r="H108" s="11">
        <v>5752251</v>
      </c>
      <c r="I108" s="11">
        <v>18259900</v>
      </c>
      <c r="J108" s="11">
        <v>5572069</v>
      </c>
      <c r="K108" s="11">
        <f t="shared" si="9"/>
        <v>5764209.3103448283</v>
      </c>
      <c r="L108" s="18">
        <f t="shared" si="7"/>
        <v>0.31567584216478889</v>
      </c>
      <c r="M108" s="18">
        <f t="shared" si="8"/>
        <v>2.0788923057822569E-3</v>
      </c>
    </row>
    <row r="109" spans="1:13" x14ac:dyDescent="0.3">
      <c r="A109" s="9" t="s">
        <v>83</v>
      </c>
      <c r="B109" s="10" t="s">
        <v>452</v>
      </c>
      <c r="C109" s="10" t="s">
        <v>22</v>
      </c>
      <c r="D109" s="10" t="s">
        <v>28</v>
      </c>
      <c r="E109" s="10" t="s">
        <v>693</v>
      </c>
      <c r="F109" s="10" t="s">
        <v>694</v>
      </c>
      <c r="G109" s="10" t="s">
        <v>695</v>
      </c>
      <c r="H109" s="11">
        <v>9351347</v>
      </c>
      <c r="I109" s="11">
        <v>20691600</v>
      </c>
      <c r="J109" s="11">
        <v>7615314</v>
      </c>
      <c r="K109" s="11">
        <f t="shared" si="9"/>
        <v>7877911.0344827585</v>
      </c>
      <c r="L109" s="18">
        <f t="shared" si="7"/>
        <v>0.38072991138832951</v>
      </c>
      <c r="M109" s="18">
        <f t="shared" si="8"/>
        <v>-0.15756403494782534</v>
      </c>
    </row>
    <row r="110" spans="1:13" x14ac:dyDescent="0.3">
      <c r="A110" s="9" t="s">
        <v>100</v>
      </c>
      <c r="B110" s="10" t="s">
        <v>469</v>
      </c>
      <c r="C110" s="10" t="s">
        <v>20</v>
      </c>
      <c r="D110" s="10" t="s">
        <v>38</v>
      </c>
      <c r="E110" s="10" t="s">
        <v>693</v>
      </c>
      <c r="F110" s="10" t="s">
        <v>694</v>
      </c>
      <c r="G110" s="10" t="s">
        <v>696</v>
      </c>
      <c r="H110" s="11">
        <v>7549548</v>
      </c>
      <c r="I110" s="11">
        <v>12925400</v>
      </c>
      <c r="J110" s="11">
        <v>12681981</v>
      </c>
      <c r="K110" s="11">
        <f t="shared" si="9"/>
        <v>13119290.689655172</v>
      </c>
      <c r="L110" s="18">
        <f t="shared" si="7"/>
        <v>1.0150007496599851</v>
      </c>
      <c r="M110" s="18">
        <f t="shared" si="8"/>
        <v>0.73775843132001695</v>
      </c>
    </row>
    <row r="111" spans="1:13" x14ac:dyDescent="0.3">
      <c r="A111" s="9" t="s">
        <v>70</v>
      </c>
      <c r="B111" s="10" t="s">
        <v>439</v>
      </c>
      <c r="C111" s="10" t="s">
        <v>20</v>
      </c>
      <c r="D111" s="10" t="s">
        <v>32</v>
      </c>
      <c r="E111" s="10" t="s">
        <v>693</v>
      </c>
      <c r="F111" s="10" t="s">
        <v>694</v>
      </c>
      <c r="G111" s="10" t="s">
        <v>696</v>
      </c>
      <c r="H111" s="11">
        <v>6650446</v>
      </c>
      <c r="I111" s="11">
        <v>13666500</v>
      </c>
      <c r="J111" s="11">
        <v>2783780</v>
      </c>
      <c r="K111" s="11">
        <f t="shared" si="9"/>
        <v>2879772.4137931033</v>
      </c>
      <c r="L111" s="18">
        <f t="shared" si="7"/>
        <v>0.21071762439491482</v>
      </c>
      <c r="M111" s="18">
        <f t="shared" si="8"/>
        <v>-0.56698055832750116</v>
      </c>
    </row>
    <row r="112" spans="1:13" x14ac:dyDescent="0.3">
      <c r="A112" s="9" t="s">
        <v>87</v>
      </c>
      <c r="B112" s="10" t="s">
        <v>456</v>
      </c>
      <c r="C112" s="10" t="s">
        <v>20</v>
      </c>
      <c r="D112" s="10" t="s">
        <v>38</v>
      </c>
      <c r="E112" s="10" t="s">
        <v>693</v>
      </c>
      <c r="F112" s="10" t="s">
        <v>694</v>
      </c>
      <c r="G112" s="10" t="s">
        <v>696</v>
      </c>
      <c r="H112" s="11">
        <v>4296394</v>
      </c>
      <c r="I112" s="11">
        <v>11584200</v>
      </c>
      <c r="J112" s="11">
        <v>2965765</v>
      </c>
      <c r="K112" s="11">
        <f t="shared" si="9"/>
        <v>3068032.7586206896</v>
      </c>
      <c r="L112" s="18">
        <f t="shared" si="7"/>
        <v>0.26484632159499055</v>
      </c>
      <c r="M112" s="18">
        <f t="shared" si="8"/>
        <v>-0.28590516637424557</v>
      </c>
    </row>
    <row r="113" spans="1:13" x14ac:dyDescent="0.3">
      <c r="A113" s="9" t="s">
        <v>148</v>
      </c>
      <c r="B113" s="10" t="s">
        <v>506</v>
      </c>
      <c r="C113" s="10" t="s">
        <v>22</v>
      </c>
      <c r="D113" s="10" t="s">
        <v>46</v>
      </c>
      <c r="E113" s="10" t="s">
        <v>693</v>
      </c>
      <c r="F113" s="10" t="s">
        <v>694</v>
      </c>
      <c r="G113" s="10" t="s">
        <v>700</v>
      </c>
      <c r="H113" s="11">
        <v>28701801</v>
      </c>
      <c r="I113" s="11">
        <v>21519400</v>
      </c>
      <c r="J113" s="11">
        <v>17045943</v>
      </c>
      <c r="K113" s="11">
        <f t="shared" si="9"/>
        <v>17633734.137931034</v>
      </c>
      <c r="L113" s="18">
        <f t="shared" si="7"/>
        <v>0.81943428431698995</v>
      </c>
      <c r="M113" s="18">
        <f t="shared" si="8"/>
        <v>-0.38562273015790771</v>
      </c>
    </row>
    <row r="114" spans="1:13" x14ac:dyDescent="0.3">
      <c r="A114" s="9" t="s">
        <v>72</v>
      </c>
      <c r="B114" s="10" t="s">
        <v>441</v>
      </c>
      <c r="C114" s="10" t="s">
        <v>20</v>
      </c>
      <c r="D114" s="10" t="s">
        <v>30</v>
      </c>
      <c r="E114" s="10" t="s">
        <v>693</v>
      </c>
      <c r="F114" s="10" t="s">
        <v>694</v>
      </c>
      <c r="G114" s="10" t="s">
        <v>696</v>
      </c>
      <c r="H114" s="11">
        <v>7872970</v>
      </c>
      <c r="I114" s="11">
        <v>17259300</v>
      </c>
      <c r="J114" s="11">
        <v>4134231</v>
      </c>
      <c r="K114" s="11">
        <f t="shared" si="9"/>
        <v>4276790.6896551717</v>
      </c>
      <c r="L114" s="18">
        <f t="shared" si="7"/>
        <v>0.24779630052523402</v>
      </c>
      <c r="M114" s="18">
        <f t="shared" si="8"/>
        <v>-0.45677543675954924</v>
      </c>
    </row>
    <row r="115" spans="1:13" x14ac:dyDescent="0.3">
      <c r="A115" s="9" t="s">
        <v>147</v>
      </c>
      <c r="B115" s="10" t="s">
        <v>505</v>
      </c>
      <c r="C115" s="10" t="s">
        <v>22</v>
      </c>
      <c r="D115" s="10" t="s">
        <v>42</v>
      </c>
      <c r="E115" s="10" t="s">
        <v>693</v>
      </c>
      <c r="F115" s="10" t="s">
        <v>694</v>
      </c>
      <c r="G115" s="10" t="s">
        <v>699</v>
      </c>
      <c r="H115" s="11">
        <v>19154955</v>
      </c>
      <c r="I115" s="11">
        <v>26335900</v>
      </c>
      <c r="J115" s="11">
        <v>19548647</v>
      </c>
      <c r="K115" s="11">
        <f t="shared" si="9"/>
        <v>20222738.275862068</v>
      </c>
      <c r="L115" s="18">
        <f t="shared" si="7"/>
        <v>0.7678772426938919</v>
      </c>
      <c r="M115" s="18">
        <f t="shared" si="8"/>
        <v>5.5744494093672783E-2</v>
      </c>
    </row>
    <row r="116" spans="1:13" x14ac:dyDescent="0.3">
      <c r="A116" s="9" t="s">
        <v>86</v>
      </c>
      <c r="B116" s="10" t="s">
        <v>455</v>
      </c>
      <c r="C116" s="10" t="s">
        <v>22</v>
      </c>
      <c r="D116" s="10" t="s">
        <v>48</v>
      </c>
      <c r="E116" s="10" t="s">
        <v>693</v>
      </c>
      <c r="F116" s="10" t="s">
        <v>694</v>
      </c>
      <c r="G116" s="10" t="s">
        <v>699</v>
      </c>
      <c r="H116" s="11">
        <v>4402700</v>
      </c>
      <c r="I116" s="11">
        <v>12621300</v>
      </c>
      <c r="J116" s="11">
        <v>6160360</v>
      </c>
      <c r="K116" s="11">
        <f t="shared" si="9"/>
        <v>6372786.206896551</v>
      </c>
      <c r="L116" s="18">
        <f t="shared" si="7"/>
        <v>0.50492312257030192</v>
      </c>
      <c r="M116" s="18">
        <f t="shared" si="8"/>
        <v>0.44747227994107047</v>
      </c>
    </row>
    <row r="117" spans="1:13" x14ac:dyDescent="0.3">
      <c r="A117" s="9" t="s">
        <v>149</v>
      </c>
      <c r="B117" s="10" t="s">
        <v>507</v>
      </c>
      <c r="C117" s="10" t="s">
        <v>22</v>
      </c>
      <c r="D117" s="10" t="s">
        <v>46</v>
      </c>
      <c r="E117" s="10" t="s">
        <v>693</v>
      </c>
      <c r="F117" s="10" t="s">
        <v>694</v>
      </c>
      <c r="G117" s="10" t="s">
        <v>700</v>
      </c>
      <c r="H117" s="11">
        <v>34554948</v>
      </c>
      <c r="I117" s="11">
        <v>32218100</v>
      </c>
      <c r="J117" s="11">
        <v>33544140</v>
      </c>
      <c r="K117" s="11">
        <f t="shared" si="9"/>
        <v>34700834.482758626</v>
      </c>
      <c r="L117" s="18">
        <f t="shared" si="7"/>
        <v>1.0770602388954851</v>
      </c>
      <c r="M117" s="18">
        <f t="shared" si="8"/>
        <v>4.2218695498724623E-3</v>
      </c>
    </row>
    <row r="118" spans="1:13" x14ac:dyDescent="0.3">
      <c r="A118" s="9" t="s">
        <v>93</v>
      </c>
      <c r="B118" s="10" t="s">
        <v>462</v>
      </c>
      <c r="C118" s="10" t="s">
        <v>22</v>
      </c>
      <c r="D118" s="10" t="s">
        <v>42</v>
      </c>
      <c r="E118" s="10" t="s">
        <v>693</v>
      </c>
      <c r="F118" s="10" t="s">
        <v>694</v>
      </c>
      <c r="G118" s="10" t="s">
        <v>699</v>
      </c>
      <c r="H118" s="11">
        <v>4132429</v>
      </c>
      <c r="I118" s="11">
        <v>12778200</v>
      </c>
      <c r="J118" s="11">
        <v>6447745</v>
      </c>
      <c r="K118" s="11">
        <f t="shared" si="9"/>
        <v>6670081.0344827585</v>
      </c>
      <c r="L118" s="18">
        <f t="shared" si="7"/>
        <v>0.52198909349382216</v>
      </c>
      <c r="M118" s="18">
        <f t="shared" si="8"/>
        <v>0.61408242815127823</v>
      </c>
    </row>
    <row r="119" spans="1:13" x14ac:dyDescent="0.3">
      <c r="A119" s="9" t="s">
        <v>85</v>
      </c>
      <c r="B119" s="10" t="s">
        <v>454</v>
      </c>
      <c r="C119" s="10" t="s">
        <v>22</v>
      </c>
      <c r="D119" s="10" t="s">
        <v>46</v>
      </c>
      <c r="E119" s="10" t="s">
        <v>693</v>
      </c>
      <c r="F119" s="10" t="s">
        <v>694</v>
      </c>
      <c r="G119" s="10" t="s">
        <v>700</v>
      </c>
      <c r="H119" s="11">
        <v>24919821</v>
      </c>
      <c r="I119" s="11">
        <v>31136000</v>
      </c>
      <c r="J119" s="11">
        <v>19789187</v>
      </c>
      <c r="K119" s="11">
        <f t="shared" si="9"/>
        <v>20471572.758620687</v>
      </c>
      <c r="L119" s="18">
        <f t="shared" si="7"/>
        <v>0.6574888475918772</v>
      </c>
      <c r="M119" s="18">
        <f t="shared" si="8"/>
        <v>-0.17850241546194545</v>
      </c>
    </row>
    <row r="120" spans="1:13" x14ac:dyDescent="0.3">
      <c r="A120" s="9" t="s">
        <v>97</v>
      </c>
      <c r="B120" s="10" t="s">
        <v>466</v>
      </c>
      <c r="C120" s="10" t="s">
        <v>20</v>
      </c>
      <c r="D120" s="10" t="s">
        <v>36</v>
      </c>
      <c r="E120" s="10" t="s">
        <v>693</v>
      </c>
      <c r="F120" s="10" t="s">
        <v>694</v>
      </c>
      <c r="G120" s="10" t="s">
        <v>697</v>
      </c>
      <c r="H120" s="11">
        <v>5154054</v>
      </c>
      <c r="I120" s="11">
        <v>16851800</v>
      </c>
      <c r="J120" s="11">
        <v>2065763</v>
      </c>
      <c r="K120" s="11">
        <f t="shared" si="9"/>
        <v>2136996.2068965519</v>
      </c>
      <c r="L120" s="18">
        <f t="shared" si="7"/>
        <v>0.12681115411389596</v>
      </c>
      <c r="M120" s="18">
        <f t="shared" si="8"/>
        <v>-0.58537566604918145</v>
      </c>
    </row>
    <row r="121" spans="1:13" x14ac:dyDescent="0.3">
      <c r="A121" s="9" t="s">
        <v>150</v>
      </c>
      <c r="B121" s="10" t="s">
        <v>508</v>
      </c>
      <c r="C121" s="10" t="s">
        <v>20</v>
      </c>
      <c r="D121" s="10" t="s">
        <v>30</v>
      </c>
      <c r="E121" s="10" t="s">
        <v>693</v>
      </c>
      <c r="F121" s="10" t="s">
        <v>694</v>
      </c>
      <c r="G121" s="10" t="s">
        <v>696</v>
      </c>
      <c r="H121" s="11">
        <v>26298195</v>
      </c>
      <c r="I121" s="11">
        <v>30893500</v>
      </c>
      <c r="J121" s="11">
        <v>14764861</v>
      </c>
      <c r="K121" s="11">
        <f t="shared" si="9"/>
        <v>15273994.137931034</v>
      </c>
      <c r="L121" s="18">
        <f t="shared" si="7"/>
        <v>0.49440801909563609</v>
      </c>
      <c r="M121" s="18">
        <f t="shared" si="8"/>
        <v>-0.41919990562352155</v>
      </c>
    </row>
    <row r="122" spans="1:13" x14ac:dyDescent="0.3">
      <c r="A122" s="9" t="s">
        <v>69</v>
      </c>
      <c r="B122" s="10" t="s">
        <v>438</v>
      </c>
      <c r="C122" s="10" t="s">
        <v>20</v>
      </c>
      <c r="D122" s="10" t="s">
        <v>38</v>
      </c>
      <c r="E122" s="10" t="s">
        <v>693</v>
      </c>
      <c r="F122" s="10" t="s">
        <v>694</v>
      </c>
      <c r="G122" s="10" t="s">
        <v>696</v>
      </c>
      <c r="H122" s="11">
        <v>1956755</v>
      </c>
      <c r="I122" s="11">
        <v>11802400</v>
      </c>
      <c r="J122" s="11">
        <v>1614412</v>
      </c>
      <c r="K122" s="11">
        <f t="shared" si="9"/>
        <v>1670081.3793103448</v>
      </c>
      <c r="L122" s="18">
        <f t="shared" si="7"/>
        <v>0.14150353989954118</v>
      </c>
      <c r="M122" s="18">
        <f t="shared" si="8"/>
        <v>-0.14650460619221883</v>
      </c>
    </row>
    <row r="123" spans="1:13" x14ac:dyDescent="0.3">
      <c r="A123" s="9" t="s">
        <v>95</v>
      </c>
      <c r="B123" s="10" t="s">
        <v>464</v>
      </c>
      <c r="C123" s="10" t="s">
        <v>20</v>
      </c>
      <c r="D123" s="10" t="s">
        <v>34</v>
      </c>
      <c r="E123" s="10" t="s">
        <v>693</v>
      </c>
      <c r="F123" s="10" t="s">
        <v>694</v>
      </c>
      <c r="G123" s="10" t="s">
        <v>697</v>
      </c>
      <c r="H123" s="11">
        <v>11385583</v>
      </c>
      <c r="I123" s="11">
        <v>18553200</v>
      </c>
      <c r="J123" s="11">
        <v>8772968</v>
      </c>
      <c r="K123" s="11">
        <f t="shared" si="9"/>
        <v>9075484.137931034</v>
      </c>
      <c r="L123" s="18">
        <f t="shared" si="7"/>
        <v>0.48916004451690459</v>
      </c>
      <c r="M123" s="18">
        <f t="shared" si="8"/>
        <v>-0.20289684437494032</v>
      </c>
    </row>
    <row r="124" spans="1:13" x14ac:dyDescent="0.3">
      <c r="A124" s="9" t="s">
        <v>88</v>
      </c>
      <c r="B124" s="10" t="s">
        <v>457</v>
      </c>
      <c r="C124" s="10" t="s">
        <v>22</v>
      </c>
      <c r="D124" s="10" t="s">
        <v>48</v>
      </c>
      <c r="E124" s="10" t="s">
        <v>693</v>
      </c>
      <c r="F124" s="10" t="s">
        <v>694</v>
      </c>
      <c r="G124" s="10" t="s">
        <v>699</v>
      </c>
      <c r="H124" s="11">
        <v>3614415</v>
      </c>
      <c r="I124" s="11">
        <v>11313400</v>
      </c>
      <c r="J124" s="11">
        <v>7099998</v>
      </c>
      <c r="K124" s="11">
        <f t="shared" si="9"/>
        <v>7344825.5172413792</v>
      </c>
      <c r="L124" s="18">
        <f t="shared" si="7"/>
        <v>0.64921469383575048</v>
      </c>
      <c r="M124" s="18">
        <f t="shared" si="8"/>
        <v>1.032092473399258</v>
      </c>
    </row>
    <row r="125" spans="1:13" x14ac:dyDescent="0.3">
      <c r="A125" s="9" t="s">
        <v>77</v>
      </c>
      <c r="B125" s="10" t="s">
        <v>446</v>
      </c>
      <c r="C125" s="10" t="s">
        <v>20</v>
      </c>
      <c r="D125" s="10" t="s">
        <v>36</v>
      </c>
      <c r="E125" s="10" t="s">
        <v>693</v>
      </c>
      <c r="F125" s="10" t="s">
        <v>694</v>
      </c>
      <c r="G125" s="10" t="s">
        <v>697</v>
      </c>
      <c r="H125" s="11">
        <v>16600903</v>
      </c>
      <c r="I125" s="11">
        <v>21446600</v>
      </c>
      <c r="J125" s="11">
        <v>6954055</v>
      </c>
      <c r="K125" s="11">
        <f t="shared" si="9"/>
        <v>7193850</v>
      </c>
      <c r="L125" s="18">
        <f t="shared" si="7"/>
        <v>0.33543079089459399</v>
      </c>
      <c r="M125" s="18">
        <f t="shared" si="8"/>
        <v>-0.56665911486863096</v>
      </c>
    </row>
    <row r="126" spans="1:13" x14ac:dyDescent="0.3">
      <c r="A126" s="9" t="s">
        <v>107</v>
      </c>
      <c r="B126" s="10" t="s">
        <v>476</v>
      </c>
      <c r="C126" s="10" t="s">
        <v>22</v>
      </c>
      <c r="D126" s="10" t="s">
        <v>40</v>
      </c>
      <c r="E126" s="10" t="s">
        <v>693</v>
      </c>
      <c r="F126" s="10" t="s">
        <v>694</v>
      </c>
      <c r="G126" s="10" t="s">
        <v>698</v>
      </c>
      <c r="H126" s="11">
        <v>10369367</v>
      </c>
      <c r="I126" s="11">
        <v>11144300</v>
      </c>
      <c r="J126" s="11">
        <v>5933333</v>
      </c>
      <c r="K126" s="11">
        <f t="shared" si="9"/>
        <v>6137930.6896551717</v>
      </c>
      <c r="L126" s="18">
        <f t="shared" si="7"/>
        <v>0.55076861621233919</v>
      </c>
      <c r="M126" s="18">
        <f t="shared" si="8"/>
        <v>-0.40807084080878114</v>
      </c>
    </row>
    <row r="127" spans="1:13" x14ac:dyDescent="0.3">
      <c r="A127" s="9" t="s">
        <v>104</v>
      </c>
      <c r="B127" s="10" t="s">
        <v>473</v>
      </c>
      <c r="C127" s="10" t="s">
        <v>22</v>
      </c>
      <c r="D127" s="10" t="s">
        <v>28</v>
      </c>
      <c r="E127" s="10" t="s">
        <v>693</v>
      </c>
      <c r="F127" s="10" t="s">
        <v>694</v>
      </c>
      <c r="G127" s="10" t="s">
        <v>695</v>
      </c>
      <c r="H127" s="11">
        <v>2083782</v>
      </c>
      <c r="I127" s="11">
        <v>8878000</v>
      </c>
      <c r="J127" s="11">
        <v>1528829</v>
      </c>
      <c r="K127" s="11">
        <f t="shared" si="9"/>
        <v>1581547.2413793104</v>
      </c>
      <c r="L127" s="18">
        <f t="shared" si="7"/>
        <v>0.17814228895914738</v>
      </c>
      <c r="M127" s="18">
        <f t="shared" si="8"/>
        <v>-0.24102077790320178</v>
      </c>
    </row>
    <row r="128" spans="1:13" x14ac:dyDescent="0.3">
      <c r="A128" s="9" t="s">
        <v>81</v>
      </c>
      <c r="B128" s="10" t="s">
        <v>450</v>
      </c>
      <c r="C128" s="10" t="s">
        <v>22</v>
      </c>
      <c r="D128" s="10" t="s">
        <v>28</v>
      </c>
      <c r="E128" s="10" t="s">
        <v>693</v>
      </c>
      <c r="F128" s="10" t="s">
        <v>694</v>
      </c>
      <c r="G128" s="10" t="s">
        <v>695</v>
      </c>
      <c r="H128" s="11">
        <v>2336035</v>
      </c>
      <c r="I128" s="11">
        <v>15562400</v>
      </c>
      <c r="J128" s="11">
        <v>5067563</v>
      </c>
      <c r="K128" s="11">
        <f t="shared" si="9"/>
        <v>5242306.5517241387</v>
      </c>
      <c r="L128" s="18">
        <f t="shared" si="7"/>
        <v>0.33685720401250058</v>
      </c>
      <c r="M128" s="18">
        <f t="shared" si="8"/>
        <v>1.2441044555086456</v>
      </c>
    </row>
    <row r="129" spans="1:13" x14ac:dyDescent="0.3">
      <c r="A129" s="9" t="s">
        <v>190</v>
      </c>
      <c r="B129" s="10" t="s">
        <v>548</v>
      </c>
      <c r="C129" s="10" t="s">
        <v>118</v>
      </c>
      <c r="D129" s="10" t="s">
        <v>134</v>
      </c>
      <c r="E129" s="10" t="s">
        <v>704</v>
      </c>
      <c r="F129" s="10" t="s">
        <v>694</v>
      </c>
      <c r="G129" s="10" t="s">
        <v>699</v>
      </c>
      <c r="H129" s="11">
        <v>1663063</v>
      </c>
      <c r="I129" s="11">
        <v>6011900</v>
      </c>
      <c r="J129" s="11">
        <v>394594</v>
      </c>
      <c r="K129" s="11">
        <f t="shared" si="9"/>
        <v>408200.68965517241</v>
      </c>
      <c r="L129" s="18">
        <f t="shared" si="7"/>
        <v>6.7898782357519658E-2</v>
      </c>
      <c r="M129" s="18">
        <f t="shared" si="8"/>
        <v>-0.75454887177745378</v>
      </c>
    </row>
    <row r="130" spans="1:13" x14ac:dyDescent="0.3">
      <c r="A130" s="9" t="s">
        <v>101</v>
      </c>
      <c r="B130" s="10" t="s">
        <v>470</v>
      </c>
      <c r="C130" s="10" t="s">
        <v>22</v>
      </c>
      <c r="D130" s="10" t="s">
        <v>48</v>
      </c>
      <c r="E130" s="10" t="s">
        <v>693</v>
      </c>
      <c r="F130" s="10" t="s">
        <v>694</v>
      </c>
      <c r="G130" s="10" t="s">
        <v>699</v>
      </c>
      <c r="H130" s="11">
        <v>5463962</v>
      </c>
      <c r="I130" s="11">
        <v>9405500</v>
      </c>
      <c r="J130" s="11">
        <v>5661257</v>
      </c>
      <c r="K130" s="11">
        <f t="shared" si="9"/>
        <v>5856472.7586206896</v>
      </c>
      <c r="L130" s="18">
        <f t="shared" si="7"/>
        <v>0.62266469178892025</v>
      </c>
      <c r="M130" s="18">
        <f t="shared" si="8"/>
        <v>7.1836289970664075E-2</v>
      </c>
    </row>
    <row r="131" spans="1:13" x14ac:dyDescent="0.3">
      <c r="A131" s="9" t="s">
        <v>37</v>
      </c>
      <c r="B131" s="10" t="s">
        <v>414</v>
      </c>
      <c r="C131" s="10" t="s">
        <v>20</v>
      </c>
      <c r="D131" s="10" t="s">
        <v>38</v>
      </c>
      <c r="E131" s="10" t="s">
        <v>693</v>
      </c>
      <c r="F131" s="10" t="s">
        <v>694</v>
      </c>
      <c r="G131" s="10" t="s">
        <v>696</v>
      </c>
      <c r="H131" s="11">
        <v>7560358</v>
      </c>
      <c r="I131" s="11">
        <v>17982000</v>
      </c>
      <c r="J131" s="11">
        <v>5084681</v>
      </c>
      <c r="K131" s="11">
        <f t="shared" si="9"/>
        <v>5260014.8275862066</v>
      </c>
      <c r="L131" s="18">
        <f t="shared" si="7"/>
        <v>0.29251556153855002</v>
      </c>
      <c r="M131" s="18">
        <f t="shared" si="8"/>
        <v>-0.30426378915043356</v>
      </c>
    </row>
    <row r="132" spans="1:13" x14ac:dyDescent="0.3">
      <c r="A132" s="9" t="s">
        <v>94</v>
      </c>
      <c r="B132" s="10" t="s">
        <v>463</v>
      </c>
      <c r="C132" s="10" t="s">
        <v>22</v>
      </c>
      <c r="D132" s="10" t="s">
        <v>40</v>
      </c>
      <c r="E132" s="10" t="s">
        <v>693</v>
      </c>
      <c r="F132" s="10" t="s">
        <v>694</v>
      </c>
      <c r="G132" s="10" t="s">
        <v>698</v>
      </c>
      <c r="H132" s="11">
        <v>3162159</v>
      </c>
      <c r="I132" s="11">
        <v>11815400</v>
      </c>
      <c r="J132" s="11">
        <v>3306304</v>
      </c>
      <c r="K132" s="11">
        <f t="shared" si="9"/>
        <v>3420314.4827586208</v>
      </c>
      <c r="L132" s="18">
        <f t="shared" si="7"/>
        <v>0.28947936445305456</v>
      </c>
      <c r="M132" s="18">
        <f t="shared" si="8"/>
        <v>8.1638994990011815E-2</v>
      </c>
    </row>
    <row r="133" spans="1:13" x14ac:dyDescent="0.3">
      <c r="A133" s="9" t="s">
        <v>155</v>
      </c>
      <c r="B133" s="10" t="s">
        <v>513</v>
      </c>
      <c r="C133" s="10" t="s">
        <v>22</v>
      </c>
      <c r="D133" s="10" t="s">
        <v>42</v>
      </c>
      <c r="E133" s="10" t="s">
        <v>693</v>
      </c>
      <c r="F133" s="10" t="s">
        <v>694</v>
      </c>
      <c r="G133" s="10" t="s">
        <v>699</v>
      </c>
      <c r="H133" s="11">
        <v>10166665</v>
      </c>
      <c r="I133" s="11">
        <v>22316300</v>
      </c>
      <c r="J133" s="11">
        <v>7109008</v>
      </c>
      <c r="K133" s="11">
        <f t="shared" si="9"/>
        <v>7354146.206896551</v>
      </c>
      <c r="L133" s="18">
        <f t="shared" ref="L133:L206" si="10">IFERROR((K133/I133),0)</f>
        <v>0.32954146551608243</v>
      </c>
      <c r="M133" s="18">
        <f t="shared" ref="M133:M206" si="11">IFERROR((K133-H133)/H133,0)</f>
        <v>-0.27664123811529634</v>
      </c>
    </row>
    <row r="134" spans="1:13" x14ac:dyDescent="0.3">
      <c r="A134" s="9" t="s">
        <v>82</v>
      </c>
      <c r="B134" s="10" t="s">
        <v>451</v>
      </c>
      <c r="C134" s="10" t="s">
        <v>22</v>
      </c>
      <c r="D134" s="10" t="s">
        <v>44</v>
      </c>
      <c r="E134" s="10" t="s">
        <v>693</v>
      </c>
      <c r="F134" s="10" t="s">
        <v>694</v>
      </c>
      <c r="G134" s="10" t="s">
        <v>698</v>
      </c>
      <c r="H134" s="11">
        <v>2517116</v>
      </c>
      <c r="I134" s="11">
        <v>16265000</v>
      </c>
      <c r="J134" s="11">
        <v>3291892</v>
      </c>
      <c r="K134" s="11">
        <f t="shared" ref="K134:K206" si="12">IFERROR(J134/$A$1*$B$1,0)</f>
        <v>3405405.5172413792</v>
      </c>
      <c r="L134" s="18">
        <f t="shared" si="10"/>
        <v>0.20937015169021697</v>
      </c>
      <c r="M134" s="18">
        <f t="shared" si="11"/>
        <v>0.35289971429261874</v>
      </c>
    </row>
    <row r="135" spans="1:13" x14ac:dyDescent="0.3">
      <c r="A135" s="9" t="s">
        <v>99</v>
      </c>
      <c r="B135" s="10" t="s">
        <v>468</v>
      </c>
      <c r="C135" s="10" t="s">
        <v>22</v>
      </c>
      <c r="D135" s="10" t="s">
        <v>44</v>
      </c>
      <c r="E135" s="10" t="s">
        <v>693</v>
      </c>
      <c r="F135" s="10" t="s">
        <v>694</v>
      </c>
      <c r="G135" s="10" t="s">
        <v>698</v>
      </c>
      <c r="H135" s="11">
        <v>3733334</v>
      </c>
      <c r="I135" s="11">
        <v>14866700</v>
      </c>
      <c r="J135" s="11">
        <v>6690988</v>
      </c>
      <c r="K135" s="11">
        <f t="shared" si="12"/>
        <v>6921711.7241379311</v>
      </c>
      <c r="L135" s="18">
        <f t="shared" si="10"/>
        <v>0.4655849465004292</v>
      </c>
      <c r="M135" s="18">
        <f t="shared" si="11"/>
        <v>0.85402959503166098</v>
      </c>
    </row>
    <row r="136" spans="1:13" x14ac:dyDescent="0.3">
      <c r="A136" s="9" t="s">
        <v>208</v>
      </c>
      <c r="B136" s="10" t="s">
        <v>566</v>
      </c>
      <c r="C136" s="10" t="s">
        <v>116</v>
      </c>
      <c r="D136" s="10" t="s">
        <v>131</v>
      </c>
      <c r="E136" s="10" t="s">
        <v>705</v>
      </c>
      <c r="F136" s="10" t="s">
        <v>694</v>
      </c>
      <c r="G136" s="10" t="s">
        <v>697</v>
      </c>
      <c r="H136" s="11">
        <v>27837837</v>
      </c>
      <c r="I136" s="11">
        <v>69452300</v>
      </c>
      <c r="J136" s="11">
        <v>43240537</v>
      </c>
      <c r="K136" s="11">
        <f t="shared" si="12"/>
        <v>44731590</v>
      </c>
      <c r="L136" s="18">
        <f t="shared" si="10"/>
        <v>0.64406203970206888</v>
      </c>
      <c r="M136" s="18">
        <f t="shared" si="11"/>
        <v>0.60686299010946865</v>
      </c>
    </row>
    <row r="137" spans="1:13" x14ac:dyDescent="0.3">
      <c r="A137" s="9" t="s">
        <v>80</v>
      </c>
      <c r="B137" s="10" t="s">
        <v>449</v>
      </c>
      <c r="C137" s="10" t="s">
        <v>22</v>
      </c>
      <c r="D137" s="10" t="s">
        <v>28</v>
      </c>
      <c r="E137" s="10" t="s">
        <v>693</v>
      </c>
      <c r="F137" s="10" t="s">
        <v>694</v>
      </c>
      <c r="G137" s="10" t="s">
        <v>695</v>
      </c>
      <c r="H137" s="11">
        <v>11236933</v>
      </c>
      <c r="I137" s="11">
        <v>20247700</v>
      </c>
      <c r="J137" s="11">
        <v>3414411</v>
      </c>
      <c r="K137" s="11">
        <f t="shared" si="12"/>
        <v>3532149.3103448274</v>
      </c>
      <c r="L137" s="18">
        <f t="shared" si="10"/>
        <v>0.17444694016331866</v>
      </c>
      <c r="M137" s="18">
        <f t="shared" si="11"/>
        <v>-0.68566607006157043</v>
      </c>
    </row>
    <row r="138" spans="1:13" x14ac:dyDescent="0.3">
      <c r="A138" s="9" t="s">
        <v>153</v>
      </c>
      <c r="B138" s="10" t="s">
        <v>511</v>
      </c>
      <c r="C138" s="10" t="s">
        <v>22</v>
      </c>
      <c r="D138" s="10" t="s">
        <v>46</v>
      </c>
      <c r="E138" s="10" t="s">
        <v>693</v>
      </c>
      <c r="F138" s="10" t="s">
        <v>694</v>
      </c>
      <c r="G138" s="10" t="s">
        <v>700</v>
      </c>
      <c r="H138" s="11">
        <v>16945945</v>
      </c>
      <c r="I138" s="11">
        <v>27415300</v>
      </c>
      <c r="J138" s="11">
        <v>15537836</v>
      </c>
      <c r="K138" s="11">
        <f t="shared" si="12"/>
        <v>16073623.44827586</v>
      </c>
      <c r="L138" s="18">
        <f t="shared" si="10"/>
        <v>0.58630120583308809</v>
      </c>
      <c r="M138" s="18">
        <f t="shared" si="11"/>
        <v>-5.1476713262325564E-2</v>
      </c>
    </row>
    <row r="139" spans="1:13" x14ac:dyDescent="0.3">
      <c r="A139" s="9" t="s">
        <v>152</v>
      </c>
      <c r="B139" s="10" t="s">
        <v>510</v>
      </c>
      <c r="C139" s="10" t="s">
        <v>22</v>
      </c>
      <c r="D139" s="10" t="s">
        <v>46</v>
      </c>
      <c r="E139" s="10" t="s">
        <v>693</v>
      </c>
      <c r="F139" s="10" t="s">
        <v>694</v>
      </c>
      <c r="G139" s="10" t="s">
        <v>700</v>
      </c>
      <c r="H139" s="11">
        <v>23286483</v>
      </c>
      <c r="I139" s="11">
        <v>27355100</v>
      </c>
      <c r="J139" s="11">
        <v>19032428</v>
      </c>
      <c r="K139" s="11">
        <f t="shared" si="12"/>
        <v>19688718.620689657</v>
      </c>
      <c r="L139" s="18">
        <f t="shared" si="10"/>
        <v>0.71974581049565367</v>
      </c>
      <c r="M139" s="18">
        <f t="shared" si="11"/>
        <v>-0.15450011834377667</v>
      </c>
    </row>
    <row r="140" spans="1:13" x14ac:dyDescent="0.3">
      <c r="A140" s="9" t="s">
        <v>89</v>
      </c>
      <c r="B140" s="10" t="s">
        <v>458</v>
      </c>
      <c r="C140" s="10" t="s">
        <v>22</v>
      </c>
      <c r="D140" s="10" t="s">
        <v>40</v>
      </c>
      <c r="E140" s="10" t="s">
        <v>693</v>
      </c>
      <c r="F140" s="10" t="s">
        <v>694</v>
      </c>
      <c r="G140" s="10" t="s">
        <v>698</v>
      </c>
      <c r="H140" s="11">
        <v>15592787</v>
      </c>
      <c r="I140" s="11">
        <v>13205700</v>
      </c>
      <c r="J140" s="11">
        <v>8787387</v>
      </c>
      <c r="K140" s="11">
        <f t="shared" si="12"/>
        <v>9090400.3448275868</v>
      </c>
      <c r="L140" s="18">
        <f t="shared" si="10"/>
        <v>0.68836944234895436</v>
      </c>
      <c r="M140" s="18">
        <f t="shared" si="11"/>
        <v>-0.41701247218809656</v>
      </c>
    </row>
    <row r="141" spans="1:13" x14ac:dyDescent="0.3">
      <c r="A141" s="9" t="s">
        <v>96</v>
      </c>
      <c r="B141" s="10" t="s">
        <v>465</v>
      </c>
      <c r="C141" s="10" t="s">
        <v>22</v>
      </c>
      <c r="D141" s="10" t="s">
        <v>40</v>
      </c>
      <c r="E141" s="10" t="s">
        <v>693</v>
      </c>
      <c r="F141" s="10" t="s">
        <v>694</v>
      </c>
      <c r="G141" s="10" t="s">
        <v>698</v>
      </c>
      <c r="H141" s="11">
        <v>8128828</v>
      </c>
      <c r="I141" s="11">
        <v>14083400</v>
      </c>
      <c r="J141" s="11">
        <v>5620720</v>
      </c>
      <c r="K141" s="11">
        <f t="shared" si="12"/>
        <v>5814537.931034483</v>
      </c>
      <c r="L141" s="18">
        <f t="shared" si="10"/>
        <v>0.41286464426448749</v>
      </c>
      <c r="M141" s="18">
        <f t="shared" si="11"/>
        <v>-0.28470156693751142</v>
      </c>
    </row>
    <row r="142" spans="1:13" x14ac:dyDescent="0.3">
      <c r="A142" s="9" t="s">
        <v>110</v>
      </c>
      <c r="B142" s="10" t="s">
        <v>479</v>
      </c>
      <c r="C142" s="10" t="s">
        <v>22</v>
      </c>
      <c r="D142" s="10" t="s">
        <v>44</v>
      </c>
      <c r="E142" s="10" t="s">
        <v>693</v>
      </c>
      <c r="F142" s="10" t="s">
        <v>694</v>
      </c>
      <c r="G142" s="10" t="s">
        <v>698</v>
      </c>
      <c r="H142" s="11">
        <v>2156756</v>
      </c>
      <c r="I142" s="11">
        <v>9285100</v>
      </c>
      <c r="J142" s="11">
        <v>808108</v>
      </c>
      <c r="K142" s="11">
        <f t="shared" si="12"/>
        <v>835973.79310344823</v>
      </c>
      <c r="L142" s="18">
        <f t="shared" si="10"/>
        <v>9.0033903038572366E-2</v>
      </c>
      <c r="M142" s="18">
        <f t="shared" si="11"/>
        <v>-0.6123929674458084</v>
      </c>
    </row>
    <row r="143" spans="1:13" x14ac:dyDescent="0.3">
      <c r="A143" s="9" t="s">
        <v>91</v>
      </c>
      <c r="B143" s="10" t="s">
        <v>460</v>
      </c>
      <c r="C143" s="10" t="s">
        <v>20</v>
      </c>
      <c r="D143" s="10" t="s">
        <v>38</v>
      </c>
      <c r="E143" s="10" t="s">
        <v>693</v>
      </c>
      <c r="F143" s="10" t="s">
        <v>694</v>
      </c>
      <c r="G143" s="10" t="s">
        <v>696</v>
      </c>
      <c r="H143" s="11">
        <v>7438733</v>
      </c>
      <c r="I143" s="11">
        <v>12222500</v>
      </c>
      <c r="J143" s="11">
        <v>8991890</v>
      </c>
      <c r="K143" s="11">
        <f t="shared" si="12"/>
        <v>9301955.1724137925</v>
      </c>
      <c r="L143" s="18">
        <f t="shared" si="10"/>
        <v>0.76105176293015275</v>
      </c>
      <c r="M143" s="18">
        <f t="shared" si="11"/>
        <v>0.25047574263168104</v>
      </c>
    </row>
    <row r="144" spans="1:13" x14ac:dyDescent="0.3">
      <c r="A144" s="9" t="s">
        <v>108</v>
      </c>
      <c r="B144" s="10" t="s">
        <v>477</v>
      </c>
      <c r="C144" s="10" t="s">
        <v>22</v>
      </c>
      <c r="D144" s="10" t="s">
        <v>40</v>
      </c>
      <c r="E144" s="10" t="s">
        <v>693</v>
      </c>
      <c r="F144" s="10" t="s">
        <v>694</v>
      </c>
      <c r="G144" s="10" t="s">
        <v>698</v>
      </c>
      <c r="H144" s="11">
        <v>5182882</v>
      </c>
      <c r="I144" s="11">
        <v>11811300</v>
      </c>
      <c r="J144" s="11">
        <v>4296395</v>
      </c>
      <c r="K144" s="11">
        <f t="shared" si="12"/>
        <v>4444546.5517241387</v>
      </c>
      <c r="L144" s="18">
        <f t="shared" si="10"/>
        <v>0.37629613604972684</v>
      </c>
      <c r="M144" s="18">
        <f t="shared" si="11"/>
        <v>-0.14245654218557577</v>
      </c>
    </row>
    <row r="145" spans="1:13" x14ac:dyDescent="0.3">
      <c r="A145" s="9" t="s">
        <v>114</v>
      </c>
      <c r="B145" s="10" t="s">
        <v>483</v>
      </c>
      <c r="C145" s="10" t="s">
        <v>22</v>
      </c>
      <c r="D145" s="10" t="s">
        <v>44</v>
      </c>
      <c r="E145" s="10" t="s">
        <v>693</v>
      </c>
      <c r="F145" s="10" t="s">
        <v>694</v>
      </c>
      <c r="G145" s="10" t="s">
        <v>698</v>
      </c>
      <c r="H145" s="11">
        <v>1887387</v>
      </c>
      <c r="I145" s="11">
        <v>11575800</v>
      </c>
      <c r="J145" s="11">
        <v>3056756</v>
      </c>
      <c r="K145" s="11">
        <f t="shared" si="12"/>
        <v>3162161.3793103448</v>
      </c>
      <c r="L145" s="18">
        <f t="shared" si="10"/>
        <v>0.27317000806081176</v>
      </c>
      <c r="M145" s="18">
        <f t="shared" si="11"/>
        <v>0.67541759019763559</v>
      </c>
    </row>
    <row r="146" spans="1:13" x14ac:dyDescent="0.3">
      <c r="A146" s="9" t="s">
        <v>156</v>
      </c>
      <c r="B146" s="10" t="s">
        <v>514</v>
      </c>
      <c r="C146" s="10" t="s">
        <v>22</v>
      </c>
      <c r="D146" s="10" t="s">
        <v>46</v>
      </c>
      <c r="E146" s="10" t="s">
        <v>693</v>
      </c>
      <c r="F146" s="10" t="s">
        <v>694</v>
      </c>
      <c r="G146" s="10" t="s">
        <v>700</v>
      </c>
      <c r="H146" s="11">
        <v>10115312</v>
      </c>
      <c r="I146" s="11">
        <v>27420200</v>
      </c>
      <c r="J146" s="11">
        <v>12164862</v>
      </c>
      <c r="K146" s="11">
        <f t="shared" si="12"/>
        <v>12584340</v>
      </c>
      <c r="L146" s="18">
        <f t="shared" si="10"/>
        <v>0.45894413607486451</v>
      </c>
      <c r="M146" s="18">
        <f t="shared" si="11"/>
        <v>0.24408817048846343</v>
      </c>
    </row>
    <row r="147" spans="1:13" x14ac:dyDescent="0.3">
      <c r="A147" s="9" t="s">
        <v>79</v>
      </c>
      <c r="B147" s="10" t="s">
        <v>448</v>
      </c>
      <c r="C147" s="10" t="s">
        <v>22</v>
      </c>
      <c r="D147" s="10" t="s">
        <v>40</v>
      </c>
      <c r="E147" s="10" t="s">
        <v>693</v>
      </c>
      <c r="F147" s="10" t="s">
        <v>694</v>
      </c>
      <c r="G147" s="10" t="s">
        <v>698</v>
      </c>
      <c r="H147" s="11">
        <v>8562156</v>
      </c>
      <c r="I147" s="11">
        <v>25016800</v>
      </c>
      <c r="J147" s="11">
        <v>7163059</v>
      </c>
      <c r="K147" s="11">
        <f t="shared" si="12"/>
        <v>7410061.0344827585</v>
      </c>
      <c r="L147" s="18">
        <f t="shared" si="10"/>
        <v>0.29620339269941631</v>
      </c>
      <c r="M147" s="18">
        <f t="shared" si="11"/>
        <v>-0.13455664268640299</v>
      </c>
    </row>
    <row r="148" spans="1:13" x14ac:dyDescent="0.3">
      <c r="A148" s="9" t="s">
        <v>71</v>
      </c>
      <c r="B148" s="10" t="s">
        <v>440</v>
      </c>
      <c r="C148" s="10" t="s">
        <v>20</v>
      </c>
      <c r="D148" s="10" t="s">
        <v>36</v>
      </c>
      <c r="E148" s="10" t="s">
        <v>693</v>
      </c>
      <c r="F148" s="10" t="s">
        <v>694</v>
      </c>
      <c r="G148" s="10" t="s">
        <v>697</v>
      </c>
      <c r="H148" s="11">
        <v>8068462</v>
      </c>
      <c r="I148" s="11">
        <v>14870500</v>
      </c>
      <c r="J148" s="11">
        <v>8053149</v>
      </c>
      <c r="K148" s="11">
        <f t="shared" si="12"/>
        <v>8330843.793103449</v>
      </c>
      <c r="L148" s="18">
        <f t="shared" si="10"/>
        <v>0.56022620578349414</v>
      </c>
      <c r="M148" s="18">
        <f t="shared" si="11"/>
        <v>3.2519430977483568E-2</v>
      </c>
    </row>
    <row r="149" spans="1:13" x14ac:dyDescent="0.3">
      <c r="A149" s="9" t="s">
        <v>112</v>
      </c>
      <c r="B149" s="10" t="s">
        <v>481</v>
      </c>
      <c r="C149" s="10" t="s">
        <v>20</v>
      </c>
      <c r="D149" s="10" t="s">
        <v>30</v>
      </c>
      <c r="E149" s="10" t="s">
        <v>693</v>
      </c>
      <c r="F149" s="10" t="s">
        <v>694</v>
      </c>
      <c r="G149" s="10" t="s">
        <v>696</v>
      </c>
      <c r="H149" s="11">
        <v>5272973</v>
      </c>
      <c r="I149" s="11">
        <v>5103600</v>
      </c>
      <c r="J149" s="11">
        <v>3308106</v>
      </c>
      <c r="K149" s="11">
        <f t="shared" si="12"/>
        <v>3422178.6206896552</v>
      </c>
      <c r="L149" s="18">
        <f t="shared" si="10"/>
        <v>0.67054209199185966</v>
      </c>
      <c r="M149" s="18">
        <f t="shared" si="11"/>
        <v>-0.35099636946943308</v>
      </c>
    </row>
    <row r="150" spans="1:13" x14ac:dyDescent="0.3">
      <c r="A150" s="9" t="s">
        <v>73</v>
      </c>
      <c r="B150" s="10" t="s">
        <v>442</v>
      </c>
      <c r="C150" s="10" t="s">
        <v>22</v>
      </c>
      <c r="D150" s="10" t="s">
        <v>44</v>
      </c>
      <c r="E150" s="10" t="s">
        <v>693</v>
      </c>
      <c r="F150" s="10" t="s">
        <v>694</v>
      </c>
      <c r="G150" s="10" t="s">
        <v>699</v>
      </c>
      <c r="H150" s="11">
        <v>1347747</v>
      </c>
      <c r="I150" s="11">
        <v>11689400</v>
      </c>
      <c r="J150" s="11">
        <v>2473873</v>
      </c>
      <c r="K150" s="11">
        <f t="shared" si="12"/>
        <v>2559178.9655172415</v>
      </c>
      <c r="L150" s="18">
        <f t="shared" si="10"/>
        <v>0.21893159319701966</v>
      </c>
      <c r="M150" s="18">
        <f t="shared" si="11"/>
        <v>0.8988571041280311</v>
      </c>
    </row>
    <row r="151" spans="1:13" x14ac:dyDescent="0.3">
      <c r="A151" s="9" t="s">
        <v>39</v>
      </c>
      <c r="B151" s="10" t="s">
        <v>415</v>
      </c>
      <c r="C151" s="10" t="s">
        <v>22</v>
      </c>
      <c r="D151" s="10" t="s">
        <v>42</v>
      </c>
      <c r="E151" s="10" t="s">
        <v>693</v>
      </c>
      <c r="F151" s="10" t="s">
        <v>694</v>
      </c>
      <c r="G151" s="10" t="s">
        <v>699</v>
      </c>
      <c r="H151" s="11">
        <v>1976575</v>
      </c>
      <c r="I151" s="11">
        <v>10262700</v>
      </c>
      <c r="J151" s="11">
        <v>3415314</v>
      </c>
      <c r="K151" s="11">
        <f t="shared" si="12"/>
        <v>3533083.4482758623</v>
      </c>
      <c r="L151" s="18">
        <f t="shared" si="10"/>
        <v>0.34426451599246422</v>
      </c>
      <c r="M151" s="18">
        <f t="shared" si="11"/>
        <v>0.7874775550008789</v>
      </c>
    </row>
    <row r="152" spans="1:13" x14ac:dyDescent="0.3">
      <c r="A152" s="9" t="s">
        <v>154</v>
      </c>
      <c r="B152" s="10" t="s">
        <v>512</v>
      </c>
      <c r="C152" s="10" t="s">
        <v>22</v>
      </c>
      <c r="D152" s="10" t="s">
        <v>46</v>
      </c>
      <c r="E152" s="10" t="s">
        <v>693</v>
      </c>
      <c r="F152" s="10" t="s">
        <v>694</v>
      </c>
      <c r="G152" s="10" t="s">
        <v>700</v>
      </c>
      <c r="H152" s="11">
        <v>18470271</v>
      </c>
      <c r="I152" s="11">
        <v>27227300</v>
      </c>
      <c r="J152" s="11">
        <v>15029731</v>
      </c>
      <c r="K152" s="11">
        <f t="shared" si="12"/>
        <v>15547997.586206898</v>
      </c>
      <c r="L152" s="18">
        <f t="shared" si="10"/>
        <v>0.5710444144739617</v>
      </c>
      <c r="M152" s="18">
        <f t="shared" si="11"/>
        <v>-0.15821497225422962</v>
      </c>
    </row>
    <row r="153" spans="1:13" x14ac:dyDescent="0.3">
      <c r="A153" s="9" t="s">
        <v>105</v>
      </c>
      <c r="B153" s="10" t="s">
        <v>474</v>
      </c>
      <c r="C153" s="10" t="s">
        <v>20</v>
      </c>
      <c r="D153" s="10" t="s">
        <v>32</v>
      </c>
      <c r="E153" s="10" t="s">
        <v>693</v>
      </c>
      <c r="F153" s="10" t="s">
        <v>694</v>
      </c>
      <c r="G153" s="10" t="s">
        <v>696</v>
      </c>
      <c r="H153" s="11">
        <v>9354954</v>
      </c>
      <c r="I153" s="11">
        <v>18759900</v>
      </c>
      <c r="J153" s="11">
        <v>5978376</v>
      </c>
      <c r="K153" s="11">
        <f t="shared" si="12"/>
        <v>6184526.8965517245</v>
      </c>
      <c r="L153" s="18">
        <f t="shared" si="10"/>
        <v>0.32966737011133984</v>
      </c>
      <c r="M153" s="18">
        <f t="shared" si="11"/>
        <v>-0.33890354815729457</v>
      </c>
    </row>
    <row r="154" spans="1:13" x14ac:dyDescent="0.3">
      <c r="A154" s="9" t="s">
        <v>106</v>
      </c>
      <c r="B154" s="10" t="s">
        <v>475</v>
      </c>
      <c r="C154" s="10" t="s">
        <v>20</v>
      </c>
      <c r="D154" s="10" t="s">
        <v>38</v>
      </c>
      <c r="E154" s="10" t="s">
        <v>693</v>
      </c>
      <c r="F154" s="10" t="s">
        <v>694</v>
      </c>
      <c r="G154" s="10" t="s">
        <v>696</v>
      </c>
      <c r="H154" s="11">
        <v>10390986</v>
      </c>
      <c r="I154" s="11">
        <v>12341300</v>
      </c>
      <c r="J154" s="11">
        <v>5752250</v>
      </c>
      <c r="K154" s="11">
        <f t="shared" si="12"/>
        <v>5950603.4482758613</v>
      </c>
      <c r="L154" s="18">
        <f t="shared" si="10"/>
        <v>0.48216990497563961</v>
      </c>
      <c r="M154" s="18">
        <f t="shared" si="11"/>
        <v>-0.42733024101121286</v>
      </c>
    </row>
    <row r="155" spans="1:13" x14ac:dyDescent="0.3">
      <c r="A155" s="9" t="s">
        <v>98</v>
      </c>
      <c r="B155" s="10" t="s">
        <v>467</v>
      </c>
      <c r="C155" s="10" t="s">
        <v>20</v>
      </c>
      <c r="D155" s="10" t="s">
        <v>30</v>
      </c>
      <c r="E155" s="10" t="s">
        <v>693</v>
      </c>
      <c r="F155" s="10" t="s">
        <v>694</v>
      </c>
      <c r="G155" s="10" t="s">
        <v>696</v>
      </c>
      <c r="H155" s="11">
        <v>4272973</v>
      </c>
      <c r="I155" s="11">
        <v>15710500</v>
      </c>
      <c r="J155" s="11">
        <v>1078378</v>
      </c>
      <c r="K155" s="11">
        <f t="shared" si="12"/>
        <v>1115563.4482758623</v>
      </c>
      <c r="L155" s="18">
        <f t="shared" si="10"/>
        <v>7.1007507608024073E-2</v>
      </c>
      <c r="M155" s="18">
        <f t="shared" si="11"/>
        <v>-0.73892569686823151</v>
      </c>
    </row>
    <row r="156" spans="1:13" x14ac:dyDescent="0.3">
      <c r="A156" s="9" t="s">
        <v>113</v>
      </c>
      <c r="B156" s="10" t="s">
        <v>482</v>
      </c>
      <c r="C156" s="10" t="s">
        <v>20</v>
      </c>
      <c r="D156" s="10" t="s">
        <v>30</v>
      </c>
      <c r="E156" s="10" t="s">
        <v>693</v>
      </c>
      <c r="F156" s="10" t="s">
        <v>694</v>
      </c>
      <c r="G156" s="10" t="s">
        <v>696</v>
      </c>
      <c r="H156" s="11">
        <v>5341439</v>
      </c>
      <c r="I156" s="11">
        <v>8963700</v>
      </c>
      <c r="J156" s="11">
        <v>3021621</v>
      </c>
      <c r="K156" s="11">
        <f t="shared" si="12"/>
        <v>3125814.8275862071</v>
      </c>
      <c r="L156" s="18">
        <f t="shared" si="10"/>
        <v>0.34871925963454903</v>
      </c>
      <c r="M156" s="18">
        <f t="shared" si="11"/>
        <v>-0.41479911544694098</v>
      </c>
    </row>
    <row r="157" spans="1:13" x14ac:dyDescent="0.3">
      <c r="A157" s="9" t="s">
        <v>157</v>
      </c>
      <c r="B157" s="10" t="s">
        <v>515</v>
      </c>
      <c r="C157" s="10" t="s">
        <v>20</v>
      </c>
      <c r="D157" s="10" t="s">
        <v>32</v>
      </c>
      <c r="E157" s="10" t="s">
        <v>693</v>
      </c>
      <c r="F157" s="10" t="s">
        <v>694</v>
      </c>
      <c r="G157" s="10" t="s">
        <v>696</v>
      </c>
      <c r="H157" s="11">
        <v>18481981</v>
      </c>
      <c r="I157" s="11">
        <v>28369000</v>
      </c>
      <c r="J157" s="11">
        <v>23040540</v>
      </c>
      <c r="K157" s="11">
        <f t="shared" si="12"/>
        <v>23835041.379310343</v>
      </c>
      <c r="L157" s="18">
        <f t="shared" si="10"/>
        <v>0.84017911732208905</v>
      </c>
      <c r="M157" s="18">
        <f t="shared" si="11"/>
        <v>0.2896367212643679</v>
      </c>
    </row>
    <row r="158" spans="1:13" x14ac:dyDescent="0.3">
      <c r="A158" s="9" t="s">
        <v>111</v>
      </c>
      <c r="B158" s="10" t="s">
        <v>480</v>
      </c>
      <c r="C158" s="10" t="s">
        <v>20</v>
      </c>
      <c r="D158" s="10" t="s">
        <v>38</v>
      </c>
      <c r="E158" s="10" t="s">
        <v>693</v>
      </c>
      <c r="F158" s="10" t="s">
        <v>694</v>
      </c>
      <c r="G158" s="10" t="s">
        <v>696</v>
      </c>
      <c r="H158" s="11">
        <v>1258559</v>
      </c>
      <c r="I158" s="11">
        <v>8136700</v>
      </c>
      <c r="J158" s="11">
        <v>2336035</v>
      </c>
      <c r="K158" s="11">
        <f t="shared" si="12"/>
        <v>2416587.9310344825</v>
      </c>
      <c r="L158" s="18">
        <f t="shared" si="10"/>
        <v>0.29699852901477042</v>
      </c>
      <c r="M158" s="18">
        <f t="shared" si="11"/>
        <v>0.92012287944743354</v>
      </c>
    </row>
    <row r="159" spans="1:13" x14ac:dyDescent="0.3">
      <c r="A159" s="9" t="s">
        <v>75</v>
      </c>
      <c r="B159" s="10" t="s">
        <v>444</v>
      </c>
      <c r="C159" s="10" t="s">
        <v>22</v>
      </c>
      <c r="D159" s="10" t="s">
        <v>28</v>
      </c>
      <c r="E159" s="10" t="s">
        <v>693</v>
      </c>
      <c r="F159" s="10" t="s">
        <v>694</v>
      </c>
      <c r="G159" s="10" t="s">
        <v>695</v>
      </c>
      <c r="H159" s="11">
        <v>9773869</v>
      </c>
      <c r="I159" s="11">
        <v>16125300</v>
      </c>
      <c r="J159" s="11">
        <v>3952250</v>
      </c>
      <c r="K159" s="11">
        <f t="shared" si="12"/>
        <v>4088534.4827586208</v>
      </c>
      <c r="L159" s="18">
        <f t="shared" si="10"/>
        <v>0.25354780889401257</v>
      </c>
      <c r="M159" s="18">
        <f t="shared" si="11"/>
        <v>-0.58168720260537354</v>
      </c>
    </row>
    <row r="160" spans="1:13" x14ac:dyDescent="0.3">
      <c r="A160" s="9" t="s">
        <v>90</v>
      </c>
      <c r="B160" s="10" t="s">
        <v>459</v>
      </c>
      <c r="C160" s="10" t="s">
        <v>22</v>
      </c>
      <c r="D160" s="10" t="s">
        <v>42</v>
      </c>
      <c r="E160" s="10" t="s">
        <v>693</v>
      </c>
      <c r="F160" s="10" t="s">
        <v>694</v>
      </c>
      <c r="G160" s="10" t="s">
        <v>699</v>
      </c>
      <c r="H160" s="11">
        <v>10506307</v>
      </c>
      <c r="I160" s="11">
        <v>25701500</v>
      </c>
      <c r="J160" s="11">
        <v>11803604</v>
      </c>
      <c r="K160" s="11">
        <f t="shared" si="12"/>
        <v>12210624.827586208</v>
      </c>
      <c r="L160" s="18">
        <f t="shared" si="10"/>
        <v>0.47509385940844728</v>
      </c>
      <c r="M160" s="18">
        <f t="shared" si="11"/>
        <v>0.16221854430735819</v>
      </c>
    </row>
    <row r="161" spans="1:13" x14ac:dyDescent="0.3">
      <c r="A161" s="9" t="s">
        <v>109</v>
      </c>
      <c r="B161" s="10" t="s">
        <v>478</v>
      </c>
      <c r="C161" s="10" t="s">
        <v>20</v>
      </c>
      <c r="D161" s="10" t="s">
        <v>30</v>
      </c>
      <c r="E161" s="10" t="s">
        <v>693</v>
      </c>
      <c r="F161" s="10" t="s">
        <v>694</v>
      </c>
      <c r="G161" s="10" t="s">
        <v>696</v>
      </c>
      <c r="H161" s="11">
        <v>4907203</v>
      </c>
      <c r="I161" s="11">
        <v>8848200</v>
      </c>
      <c r="J161" s="11">
        <v>5392790</v>
      </c>
      <c r="K161" s="11">
        <f t="shared" si="12"/>
        <v>5578748.2758620689</v>
      </c>
      <c r="L161" s="18">
        <f t="shared" si="10"/>
        <v>0.63049527314731457</v>
      </c>
      <c r="M161" s="18">
        <f t="shared" si="11"/>
        <v>0.1368488884323858</v>
      </c>
    </row>
    <row r="162" spans="1:13" x14ac:dyDescent="0.3">
      <c r="A162" s="9" t="s">
        <v>151</v>
      </c>
      <c r="B162" s="10" t="s">
        <v>509</v>
      </c>
      <c r="C162" s="10" t="s">
        <v>22</v>
      </c>
      <c r="D162" s="10" t="s">
        <v>48</v>
      </c>
      <c r="E162" s="10" t="s">
        <v>693</v>
      </c>
      <c r="F162" s="10" t="s">
        <v>701</v>
      </c>
      <c r="G162" s="10" t="s">
        <v>699</v>
      </c>
      <c r="H162" s="11">
        <v>809009</v>
      </c>
      <c r="I162" s="11">
        <v>3387500</v>
      </c>
      <c r="J162" s="11">
        <v>0</v>
      </c>
      <c r="K162" s="11">
        <f t="shared" si="12"/>
        <v>0</v>
      </c>
      <c r="L162" s="18">
        <f t="shared" si="10"/>
        <v>0</v>
      </c>
      <c r="M162" s="18">
        <f t="shared" si="11"/>
        <v>-1</v>
      </c>
    </row>
    <row r="163" spans="1:13" x14ac:dyDescent="0.3">
      <c r="A163" s="9" t="s">
        <v>209</v>
      </c>
      <c r="B163" s="10" t="s">
        <v>567</v>
      </c>
      <c r="C163" s="10" t="s">
        <v>118</v>
      </c>
      <c r="D163" s="10" t="s">
        <v>128</v>
      </c>
      <c r="E163" s="10" t="s">
        <v>705</v>
      </c>
      <c r="F163" s="10" t="s">
        <v>694</v>
      </c>
      <c r="G163" s="10" t="s">
        <v>698</v>
      </c>
      <c r="H163" s="11">
        <v>2341441</v>
      </c>
      <c r="I163" s="11">
        <v>44538300</v>
      </c>
      <c r="J163" s="11">
        <v>0</v>
      </c>
      <c r="K163" s="11">
        <f t="shared" si="12"/>
        <v>0</v>
      </c>
      <c r="L163" s="18">
        <f t="shared" si="10"/>
        <v>0</v>
      </c>
      <c r="M163" s="18">
        <f t="shared" si="11"/>
        <v>-1</v>
      </c>
    </row>
    <row r="164" spans="1:13" x14ac:dyDescent="0.3">
      <c r="A164" s="9" t="s">
        <v>191</v>
      </c>
      <c r="B164" s="10" t="s">
        <v>549</v>
      </c>
      <c r="C164" s="10" t="s">
        <v>118</v>
      </c>
      <c r="D164" s="10" t="s">
        <v>128</v>
      </c>
      <c r="E164" s="10" t="s">
        <v>704</v>
      </c>
      <c r="F164" s="10" t="s">
        <v>694</v>
      </c>
      <c r="G164" s="10" t="s">
        <v>698</v>
      </c>
      <c r="H164" s="11">
        <v>13982882</v>
      </c>
      <c r="I164" s="11">
        <v>15461700</v>
      </c>
      <c r="J164" s="11">
        <v>14227026</v>
      </c>
      <c r="K164" s="11">
        <f t="shared" si="12"/>
        <v>14717613.103448277</v>
      </c>
      <c r="L164" s="18">
        <f t="shared" si="10"/>
        <v>0.95187547963343466</v>
      </c>
      <c r="M164" s="18">
        <f t="shared" si="11"/>
        <v>5.254504067532554E-2</v>
      </c>
    </row>
    <row r="165" spans="1:13" x14ac:dyDescent="0.3">
      <c r="A165" s="9" t="s">
        <v>102</v>
      </c>
      <c r="B165" s="10" t="s">
        <v>471</v>
      </c>
      <c r="C165" s="10" t="s">
        <v>22</v>
      </c>
      <c r="D165" s="10" t="s">
        <v>28</v>
      </c>
      <c r="E165" s="10" t="s">
        <v>693</v>
      </c>
      <c r="F165" s="10" t="s">
        <v>694</v>
      </c>
      <c r="G165" s="10" t="s">
        <v>695</v>
      </c>
      <c r="H165" s="11">
        <v>4001801</v>
      </c>
      <c r="I165" s="11">
        <v>21728800</v>
      </c>
      <c r="J165" s="11">
        <v>2517116</v>
      </c>
      <c r="K165" s="11">
        <f t="shared" si="12"/>
        <v>2603913.1034482755</v>
      </c>
      <c r="L165" s="18">
        <f t="shared" si="10"/>
        <v>0.11983694927691706</v>
      </c>
      <c r="M165" s="18">
        <f t="shared" si="11"/>
        <v>-0.34931469519641895</v>
      </c>
    </row>
    <row r="166" spans="1:13" x14ac:dyDescent="0.3">
      <c r="A166" s="9" t="s">
        <v>210</v>
      </c>
      <c r="B166" s="10" t="s">
        <v>568</v>
      </c>
      <c r="C166" s="10" t="s">
        <v>116</v>
      </c>
      <c r="D166" s="10" t="s">
        <v>133</v>
      </c>
      <c r="E166" s="10" t="s">
        <v>705</v>
      </c>
      <c r="F166" s="10" t="s">
        <v>694</v>
      </c>
      <c r="G166" s="10" t="s">
        <v>700</v>
      </c>
      <c r="H166" s="11">
        <v>110033319</v>
      </c>
      <c r="I166" s="11">
        <v>153741600</v>
      </c>
      <c r="J166" s="11">
        <v>52606303</v>
      </c>
      <c r="K166" s="11">
        <f t="shared" si="12"/>
        <v>54420313.448275864</v>
      </c>
      <c r="L166" s="18">
        <f t="shared" si="10"/>
        <v>0.35397259719084401</v>
      </c>
      <c r="M166" s="18">
        <f t="shared" si="11"/>
        <v>-0.50541968612002097</v>
      </c>
    </row>
    <row r="167" spans="1:13" x14ac:dyDescent="0.3">
      <c r="A167" s="9" t="s">
        <v>158</v>
      </c>
      <c r="B167" s="10" t="s">
        <v>516</v>
      </c>
      <c r="C167" s="10" t="s">
        <v>22</v>
      </c>
      <c r="D167" s="10" t="s">
        <v>40</v>
      </c>
      <c r="E167" s="10" t="s">
        <v>693</v>
      </c>
      <c r="F167" s="10" t="s">
        <v>694</v>
      </c>
      <c r="G167" s="10" t="s">
        <v>698</v>
      </c>
      <c r="H167" s="11">
        <v>646846</v>
      </c>
      <c r="I167" s="11">
        <v>9785900</v>
      </c>
      <c r="J167" s="11">
        <v>2715316</v>
      </c>
      <c r="K167" s="11">
        <f t="shared" si="12"/>
        <v>2808947.5862068967</v>
      </c>
      <c r="L167" s="18">
        <f t="shared" si="10"/>
        <v>0.28704029125649116</v>
      </c>
      <c r="M167" s="18">
        <f t="shared" si="11"/>
        <v>3.3425291123496113</v>
      </c>
    </row>
    <row r="168" spans="1:13" x14ac:dyDescent="0.3">
      <c r="A168" s="9" t="s">
        <v>212</v>
      </c>
      <c r="B168" s="10" t="s">
        <v>570</v>
      </c>
      <c r="C168" s="10" t="s">
        <v>116</v>
      </c>
      <c r="D168" s="10" t="s">
        <v>129</v>
      </c>
      <c r="E168" s="10" t="s">
        <v>705</v>
      </c>
      <c r="F168" s="10" t="s">
        <v>694</v>
      </c>
      <c r="G168" s="10" t="s">
        <v>697</v>
      </c>
      <c r="H168" s="11">
        <v>21754953</v>
      </c>
      <c r="I168" s="11">
        <v>73328700</v>
      </c>
      <c r="J168" s="11">
        <v>29400901</v>
      </c>
      <c r="K168" s="11">
        <f t="shared" si="12"/>
        <v>30414725.172413796</v>
      </c>
      <c r="L168" s="18">
        <f t="shared" si="10"/>
        <v>0.4147724584291525</v>
      </c>
      <c r="M168" s="18">
        <f t="shared" si="11"/>
        <v>0.39805979688458976</v>
      </c>
    </row>
    <row r="169" spans="1:13" x14ac:dyDescent="0.3">
      <c r="A169" s="9" t="s">
        <v>115</v>
      </c>
      <c r="B169" s="10" t="s">
        <v>484</v>
      </c>
      <c r="C169" s="10" t="s">
        <v>22</v>
      </c>
      <c r="D169" s="10" t="s">
        <v>40</v>
      </c>
      <c r="E169" s="10" t="s">
        <v>693</v>
      </c>
      <c r="F169" s="10" t="s">
        <v>694</v>
      </c>
      <c r="G169" s="10" t="s">
        <v>698</v>
      </c>
      <c r="H169" s="11">
        <v>2473873</v>
      </c>
      <c r="I169" s="11">
        <v>13904000</v>
      </c>
      <c r="J169" s="11">
        <v>4093693</v>
      </c>
      <c r="K169" s="11">
        <f t="shared" si="12"/>
        <v>4234854.8275862066</v>
      </c>
      <c r="L169" s="18">
        <f t="shared" si="10"/>
        <v>0.30457816654101028</v>
      </c>
      <c r="M169" s="18">
        <f t="shared" si="11"/>
        <v>0.71183194431816288</v>
      </c>
    </row>
    <row r="170" spans="1:13" x14ac:dyDescent="0.3">
      <c r="A170" s="9" t="s">
        <v>213</v>
      </c>
      <c r="B170" s="10" t="s">
        <v>571</v>
      </c>
      <c r="C170" s="10" t="s">
        <v>116</v>
      </c>
      <c r="D170" s="10" t="s">
        <v>133</v>
      </c>
      <c r="E170" s="10" t="s">
        <v>705</v>
      </c>
      <c r="F170" s="10" t="s">
        <v>694</v>
      </c>
      <c r="G170" s="10" t="s">
        <v>695</v>
      </c>
      <c r="H170" s="11">
        <v>26507208</v>
      </c>
      <c r="I170" s="11">
        <v>47994200</v>
      </c>
      <c r="J170" s="11">
        <v>15405405</v>
      </c>
      <c r="K170" s="11">
        <f t="shared" si="12"/>
        <v>15936625.862068966</v>
      </c>
      <c r="L170" s="18">
        <f t="shared" si="10"/>
        <v>0.33205316188349771</v>
      </c>
      <c r="M170" s="18">
        <f t="shared" si="11"/>
        <v>-0.39878142345021905</v>
      </c>
    </row>
    <row r="171" spans="1:13" x14ac:dyDescent="0.3">
      <c r="A171" s="9" t="s">
        <v>192</v>
      </c>
      <c r="B171" s="10" t="s">
        <v>550</v>
      </c>
      <c r="C171" s="10" t="s">
        <v>118</v>
      </c>
      <c r="D171" s="10" t="s">
        <v>134</v>
      </c>
      <c r="E171" s="10" t="s">
        <v>704</v>
      </c>
      <c r="F171" s="10" t="s">
        <v>694</v>
      </c>
      <c r="G171" s="10" t="s">
        <v>699</v>
      </c>
      <c r="H171" s="11">
        <v>59658550</v>
      </c>
      <c r="I171" s="11">
        <v>49793400</v>
      </c>
      <c r="J171" s="11">
        <v>10181979</v>
      </c>
      <c r="K171" s="11">
        <f t="shared" si="12"/>
        <v>10533081.72413793</v>
      </c>
      <c r="L171" s="18">
        <f t="shared" si="10"/>
        <v>0.21153569999513852</v>
      </c>
      <c r="M171" s="18">
        <f t="shared" si="11"/>
        <v>-0.8234438865152115</v>
      </c>
    </row>
    <row r="172" spans="1:13" x14ac:dyDescent="0.3">
      <c r="A172" s="9" t="s">
        <v>211</v>
      </c>
      <c r="B172" s="10" t="s">
        <v>569</v>
      </c>
      <c r="C172" s="10" t="s">
        <v>116</v>
      </c>
      <c r="D172" s="10" t="s">
        <v>133</v>
      </c>
      <c r="E172" s="10" t="s">
        <v>705</v>
      </c>
      <c r="F172" s="10" t="s">
        <v>694</v>
      </c>
      <c r="G172" s="10" t="s">
        <v>699</v>
      </c>
      <c r="H172" s="11">
        <v>314935135</v>
      </c>
      <c r="I172" s="11">
        <v>384186600</v>
      </c>
      <c r="J172" s="11">
        <v>267920713</v>
      </c>
      <c r="K172" s="11">
        <f t="shared" si="12"/>
        <v>277159358.2758621</v>
      </c>
      <c r="L172" s="18">
        <f t="shared" si="10"/>
        <v>0.7214185978268427</v>
      </c>
      <c r="M172" s="18">
        <f t="shared" si="11"/>
        <v>-0.11994780043877258</v>
      </c>
    </row>
    <row r="173" spans="1:13" x14ac:dyDescent="0.3">
      <c r="A173" s="9" t="s">
        <v>214</v>
      </c>
      <c r="B173" s="10" t="s">
        <v>572</v>
      </c>
      <c r="C173" s="10" t="s">
        <v>116</v>
      </c>
      <c r="D173" s="10" t="s">
        <v>133</v>
      </c>
      <c r="E173" s="10" t="s">
        <v>705</v>
      </c>
      <c r="F173" s="10" t="s">
        <v>694</v>
      </c>
      <c r="G173" s="10" t="s">
        <v>695</v>
      </c>
      <c r="H173" s="11">
        <v>26526127</v>
      </c>
      <c r="I173" s="11">
        <v>75670300</v>
      </c>
      <c r="J173" s="11">
        <v>12603603</v>
      </c>
      <c r="K173" s="11">
        <f t="shared" si="12"/>
        <v>13038210</v>
      </c>
      <c r="L173" s="18">
        <f t="shared" si="10"/>
        <v>0.17230287180042897</v>
      </c>
      <c r="M173" s="18">
        <f t="shared" si="11"/>
        <v>-0.50847668036875493</v>
      </c>
    </row>
    <row r="174" spans="1:13" x14ac:dyDescent="0.3">
      <c r="A174" s="9" t="s">
        <v>61</v>
      </c>
      <c r="B174" s="10" t="s">
        <v>432</v>
      </c>
      <c r="C174" s="10" t="s">
        <v>22</v>
      </c>
      <c r="D174" s="10" t="s">
        <v>48</v>
      </c>
      <c r="E174" s="10" t="s">
        <v>693</v>
      </c>
      <c r="F174" s="10" t="s">
        <v>694</v>
      </c>
      <c r="G174" s="10" t="s">
        <v>699</v>
      </c>
      <c r="H174" s="11">
        <v>46072972</v>
      </c>
      <c r="I174" s="11">
        <v>78651900</v>
      </c>
      <c r="J174" s="11">
        <v>55832432</v>
      </c>
      <c r="K174" s="11">
        <f t="shared" si="12"/>
        <v>57757688.275862068</v>
      </c>
      <c r="L174" s="18">
        <f t="shared" si="10"/>
        <v>0.73434574722113599</v>
      </c>
      <c r="M174" s="18">
        <f t="shared" si="11"/>
        <v>0.25361325238280846</v>
      </c>
    </row>
    <row r="175" spans="1:13" x14ac:dyDescent="0.3">
      <c r="A175" s="9" t="s">
        <v>160</v>
      </c>
      <c r="B175" s="10" t="s">
        <v>518</v>
      </c>
      <c r="C175" s="10" t="s">
        <v>22</v>
      </c>
      <c r="D175" s="10" t="s">
        <v>40</v>
      </c>
      <c r="E175" s="10" t="s">
        <v>693</v>
      </c>
      <c r="F175" s="10" t="s">
        <v>694</v>
      </c>
      <c r="G175" s="10" t="s">
        <v>698</v>
      </c>
      <c r="H175" s="11">
        <v>4609908</v>
      </c>
      <c r="I175" s="11">
        <v>15490900</v>
      </c>
      <c r="J175" s="11">
        <v>7877474</v>
      </c>
      <c r="K175" s="11">
        <f t="shared" si="12"/>
        <v>8149111.0344827585</v>
      </c>
      <c r="L175" s="18">
        <f t="shared" si="10"/>
        <v>0.5260579459219773</v>
      </c>
      <c r="M175" s="18">
        <f t="shared" si="11"/>
        <v>0.767738322431328</v>
      </c>
    </row>
    <row r="176" spans="1:13" x14ac:dyDescent="0.3">
      <c r="A176" s="9" t="s">
        <v>215</v>
      </c>
      <c r="B176" s="10" t="s">
        <v>573</v>
      </c>
      <c r="C176" s="10" t="s">
        <v>116</v>
      </c>
      <c r="D176" s="10" t="s">
        <v>132</v>
      </c>
      <c r="E176" s="10" t="s">
        <v>705</v>
      </c>
      <c r="F176" s="10" t="s">
        <v>694</v>
      </c>
      <c r="G176" s="10" t="s">
        <v>698</v>
      </c>
      <c r="H176" s="11">
        <v>36146849</v>
      </c>
      <c r="I176" s="11">
        <v>100226500</v>
      </c>
      <c r="J176" s="11">
        <v>51245947</v>
      </c>
      <c r="K176" s="11">
        <f t="shared" si="12"/>
        <v>53013048.620689653</v>
      </c>
      <c r="L176" s="18">
        <f t="shared" si="10"/>
        <v>0.52893245419813772</v>
      </c>
      <c r="M176" s="18">
        <f t="shared" si="11"/>
        <v>0.46660220979952233</v>
      </c>
    </row>
    <row r="177" spans="1:13" x14ac:dyDescent="0.3">
      <c r="A177" s="9" t="s">
        <v>159</v>
      </c>
      <c r="B177" s="10" t="s">
        <v>517</v>
      </c>
      <c r="C177" s="10" t="s">
        <v>20</v>
      </c>
      <c r="D177" s="10" t="s">
        <v>34</v>
      </c>
      <c r="E177" s="10" t="s">
        <v>693</v>
      </c>
      <c r="F177" s="10" t="s">
        <v>694</v>
      </c>
      <c r="G177" s="10" t="s">
        <v>697</v>
      </c>
      <c r="H177" s="11">
        <v>5312612</v>
      </c>
      <c r="I177" s="11">
        <v>9141300</v>
      </c>
      <c r="J177" s="11">
        <v>2204505</v>
      </c>
      <c r="K177" s="11">
        <f t="shared" si="12"/>
        <v>2280522.4137931033</v>
      </c>
      <c r="L177" s="18">
        <f t="shared" si="10"/>
        <v>0.24947462765614337</v>
      </c>
      <c r="M177" s="18">
        <f t="shared" si="11"/>
        <v>-0.57073424262997119</v>
      </c>
    </row>
    <row r="178" spans="1:13" x14ac:dyDescent="0.3">
      <c r="A178" s="9" t="s">
        <v>29</v>
      </c>
      <c r="B178" s="10" t="s">
        <v>410</v>
      </c>
      <c r="C178" s="10" t="s">
        <v>20</v>
      </c>
      <c r="D178" s="10" t="s">
        <v>38</v>
      </c>
      <c r="E178" s="10" t="s">
        <v>693</v>
      </c>
      <c r="F178" s="10" t="s">
        <v>694</v>
      </c>
      <c r="G178" s="10" t="s">
        <v>696</v>
      </c>
      <c r="H178" s="11">
        <v>35203602</v>
      </c>
      <c r="I178" s="11">
        <v>47923900</v>
      </c>
      <c r="J178" s="11">
        <v>45705404</v>
      </c>
      <c r="K178" s="11">
        <f t="shared" si="12"/>
        <v>47281452.413793109</v>
      </c>
      <c r="L178" s="18">
        <f t="shared" si="10"/>
        <v>0.98659442186034751</v>
      </c>
      <c r="M178" s="18">
        <f t="shared" si="11"/>
        <v>0.34308564259399105</v>
      </c>
    </row>
    <row r="179" spans="1:13" x14ac:dyDescent="0.3">
      <c r="A179" s="9" t="s">
        <v>55</v>
      </c>
      <c r="B179" s="10" t="s">
        <v>426</v>
      </c>
      <c r="C179" s="10" t="s">
        <v>20</v>
      </c>
      <c r="D179" s="10" t="s">
        <v>36</v>
      </c>
      <c r="E179" s="10" t="s">
        <v>693</v>
      </c>
      <c r="F179" s="10" t="s">
        <v>694</v>
      </c>
      <c r="G179" s="10" t="s">
        <v>697</v>
      </c>
      <c r="H179" s="11">
        <v>15318920</v>
      </c>
      <c r="I179" s="11">
        <v>32451200</v>
      </c>
      <c r="J179" s="11">
        <v>7709906</v>
      </c>
      <c r="K179" s="11">
        <f t="shared" si="12"/>
        <v>7975764.8275862066</v>
      </c>
      <c r="L179" s="18">
        <f t="shared" si="10"/>
        <v>0.24577719244854448</v>
      </c>
      <c r="M179" s="18">
        <f t="shared" si="11"/>
        <v>-0.47935201518212728</v>
      </c>
    </row>
    <row r="180" spans="1:13" x14ac:dyDescent="0.3">
      <c r="A180" s="9" t="s">
        <v>193</v>
      </c>
      <c r="B180" s="10" t="s">
        <v>551</v>
      </c>
      <c r="C180" s="10" t="s">
        <v>22</v>
      </c>
      <c r="D180" s="10" t="s">
        <v>44</v>
      </c>
      <c r="E180" s="10" t="s">
        <v>693</v>
      </c>
      <c r="F180" s="10" t="s">
        <v>694</v>
      </c>
      <c r="G180" s="10" t="s">
        <v>698</v>
      </c>
      <c r="H180" s="11">
        <v>4091891</v>
      </c>
      <c r="I180" s="11">
        <v>21855600</v>
      </c>
      <c r="J180" s="11">
        <v>5954051</v>
      </c>
      <c r="K180" s="11">
        <f t="shared" si="12"/>
        <v>6159363.1034482755</v>
      </c>
      <c r="L180" s="18">
        <f t="shared" si="10"/>
        <v>0.28182081953587529</v>
      </c>
      <c r="M180" s="18">
        <f t="shared" si="11"/>
        <v>0.50526079591276396</v>
      </c>
    </row>
    <row r="181" spans="1:13" x14ac:dyDescent="0.3">
      <c r="A181" s="9" t="s">
        <v>26</v>
      </c>
      <c r="B181" s="10" t="s">
        <v>408</v>
      </c>
      <c r="C181" s="10" t="s">
        <v>20</v>
      </c>
      <c r="D181" s="10" t="s">
        <v>34</v>
      </c>
      <c r="E181" s="10" t="s">
        <v>693</v>
      </c>
      <c r="F181" s="10" t="s">
        <v>694</v>
      </c>
      <c r="G181" s="10" t="s">
        <v>697</v>
      </c>
      <c r="H181" s="11">
        <v>6836033</v>
      </c>
      <c r="I181" s="11">
        <v>31471000</v>
      </c>
      <c r="J181" s="11">
        <v>14490088</v>
      </c>
      <c r="K181" s="11">
        <f t="shared" si="12"/>
        <v>14989746.206896551</v>
      </c>
      <c r="L181" s="18">
        <f t="shared" si="10"/>
        <v>0.47630346054769634</v>
      </c>
      <c r="M181" s="18">
        <f t="shared" si="11"/>
        <v>1.1927550974222259</v>
      </c>
    </row>
    <row r="182" spans="1:13" x14ac:dyDescent="0.3">
      <c r="A182" s="9" t="s">
        <v>218</v>
      </c>
      <c r="B182" s="10" t="s">
        <v>576</v>
      </c>
      <c r="C182" s="10" t="s">
        <v>118</v>
      </c>
      <c r="D182" s="10" t="s">
        <v>123</v>
      </c>
      <c r="E182" s="10" t="s">
        <v>702</v>
      </c>
      <c r="F182" s="10" t="s">
        <v>694</v>
      </c>
      <c r="G182" s="10" t="s">
        <v>696</v>
      </c>
      <c r="H182" s="11">
        <v>10573873</v>
      </c>
      <c r="I182" s="11">
        <v>27627200</v>
      </c>
      <c r="J182" s="11">
        <v>8246847</v>
      </c>
      <c r="K182" s="11">
        <f t="shared" si="12"/>
        <v>8531221.0344827585</v>
      </c>
      <c r="L182" s="18">
        <f t="shared" si="10"/>
        <v>0.30879788883718795</v>
      </c>
      <c r="M182" s="18">
        <f t="shared" si="11"/>
        <v>-0.19317916580965569</v>
      </c>
    </row>
    <row r="183" spans="1:13" x14ac:dyDescent="0.3">
      <c r="A183" s="9" t="s">
        <v>219</v>
      </c>
      <c r="B183" s="10" t="s">
        <v>577</v>
      </c>
      <c r="C183" s="10" t="s">
        <v>118</v>
      </c>
      <c r="D183" s="10" t="s">
        <v>138</v>
      </c>
      <c r="E183" s="10" t="s">
        <v>706</v>
      </c>
      <c r="F183" s="10" t="s">
        <v>694</v>
      </c>
      <c r="G183" s="10" t="s">
        <v>699</v>
      </c>
      <c r="H183" s="11">
        <v>22542341</v>
      </c>
      <c r="I183" s="11">
        <v>20655500</v>
      </c>
      <c r="J183" s="11">
        <v>11399098</v>
      </c>
      <c r="K183" s="11">
        <f t="shared" si="12"/>
        <v>11792170.344827587</v>
      </c>
      <c r="L183" s="18">
        <f t="shared" si="10"/>
        <v>0.57089735638583361</v>
      </c>
      <c r="M183" s="18">
        <f t="shared" si="11"/>
        <v>-0.47688794412134983</v>
      </c>
    </row>
    <row r="184" spans="1:13" x14ac:dyDescent="0.3">
      <c r="A184" s="9" t="s">
        <v>228</v>
      </c>
      <c r="B184" s="10" t="s">
        <v>586</v>
      </c>
      <c r="C184" s="10" t="s">
        <v>118</v>
      </c>
      <c r="D184" s="10" t="s">
        <v>134</v>
      </c>
      <c r="E184" s="10" t="s">
        <v>704</v>
      </c>
      <c r="F184" s="10" t="s">
        <v>694</v>
      </c>
      <c r="G184" s="10" t="s">
        <v>698</v>
      </c>
      <c r="H184" s="11">
        <v>6124324</v>
      </c>
      <c r="I184" s="11">
        <v>3223200</v>
      </c>
      <c r="J184" s="11">
        <v>359459</v>
      </c>
      <c r="K184" s="11">
        <f t="shared" si="12"/>
        <v>371854.13793103443</v>
      </c>
      <c r="L184" s="18">
        <f t="shared" si="10"/>
        <v>0.11536800010270366</v>
      </c>
      <c r="M184" s="18">
        <f t="shared" si="11"/>
        <v>-0.93928241909947385</v>
      </c>
    </row>
    <row r="185" spans="1:13" x14ac:dyDescent="0.3">
      <c r="A185" s="9" t="s">
        <v>220</v>
      </c>
      <c r="B185" s="10" t="s">
        <v>578</v>
      </c>
      <c r="C185" s="10" t="s">
        <v>20</v>
      </c>
      <c r="D185" s="10" t="s">
        <v>30</v>
      </c>
      <c r="E185" s="10" t="s">
        <v>693</v>
      </c>
      <c r="F185" s="10" t="s">
        <v>694</v>
      </c>
      <c r="G185" s="10" t="s">
        <v>696</v>
      </c>
      <c r="H185" s="11">
        <v>15000899</v>
      </c>
      <c r="I185" s="11">
        <v>24180000</v>
      </c>
      <c r="J185" s="11">
        <v>8356758</v>
      </c>
      <c r="K185" s="11">
        <f t="shared" si="12"/>
        <v>8644922.068965517</v>
      </c>
      <c r="L185" s="18">
        <f t="shared" si="10"/>
        <v>0.35752365876615039</v>
      </c>
      <c r="M185" s="18">
        <f t="shared" si="11"/>
        <v>-0.42370640126531639</v>
      </c>
    </row>
    <row r="186" spans="1:13" x14ac:dyDescent="0.3">
      <c r="A186" s="9" t="s">
        <v>221</v>
      </c>
      <c r="B186" s="10" t="s">
        <v>579</v>
      </c>
      <c r="C186" s="10" t="s">
        <v>116</v>
      </c>
      <c r="D186" s="10" t="s">
        <v>132</v>
      </c>
      <c r="E186" s="10" t="s">
        <v>705</v>
      </c>
      <c r="F186" s="10" t="s">
        <v>694</v>
      </c>
      <c r="G186" s="10" t="s">
        <v>699</v>
      </c>
      <c r="H186" s="11">
        <v>50970267</v>
      </c>
      <c r="I186" s="11">
        <v>89739900</v>
      </c>
      <c r="J186" s="11">
        <v>36650450</v>
      </c>
      <c r="K186" s="11">
        <f t="shared" si="12"/>
        <v>37914258.620689653</v>
      </c>
      <c r="L186" s="18">
        <f t="shared" si="10"/>
        <v>0.42249053788437085</v>
      </c>
      <c r="M186" s="18">
        <f t="shared" si="11"/>
        <v>-0.25614949945838711</v>
      </c>
    </row>
    <row r="187" spans="1:13" x14ac:dyDescent="0.3">
      <c r="A187" s="9" t="s">
        <v>225</v>
      </c>
      <c r="B187" s="10" t="s">
        <v>583</v>
      </c>
      <c r="C187" s="10" t="s">
        <v>116</v>
      </c>
      <c r="D187" s="10" t="s">
        <v>129</v>
      </c>
      <c r="E187" s="10" t="s">
        <v>705</v>
      </c>
      <c r="F187" s="10" t="s">
        <v>694</v>
      </c>
      <c r="G187" s="10" t="s">
        <v>697</v>
      </c>
      <c r="H187" s="11">
        <v>42684684</v>
      </c>
      <c r="I187" s="11">
        <v>72493400</v>
      </c>
      <c r="J187" s="11">
        <v>36569366</v>
      </c>
      <c r="K187" s="11">
        <f t="shared" si="12"/>
        <v>37830378.620689653</v>
      </c>
      <c r="L187" s="18">
        <f t="shared" si="10"/>
        <v>0.5218458317679906</v>
      </c>
      <c r="M187" s="18">
        <f t="shared" si="11"/>
        <v>-0.1137247584944133</v>
      </c>
    </row>
    <row r="188" spans="1:13" x14ac:dyDescent="0.3">
      <c r="A188" s="9" t="s">
        <v>222</v>
      </c>
      <c r="B188" s="10" t="s">
        <v>580</v>
      </c>
      <c r="C188" s="10" t="s">
        <v>20</v>
      </c>
      <c r="D188" s="10" t="s">
        <v>36</v>
      </c>
      <c r="E188" s="10" t="s">
        <v>693</v>
      </c>
      <c r="F188" s="10" t="s">
        <v>694</v>
      </c>
      <c r="G188" s="10" t="s">
        <v>697</v>
      </c>
      <c r="H188" s="11">
        <v>2166666</v>
      </c>
      <c r="I188" s="11">
        <v>9297600</v>
      </c>
      <c r="J188" s="11">
        <v>1797296</v>
      </c>
      <c r="K188" s="11">
        <f t="shared" si="12"/>
        <v>1859271.7241379311</v>
      </c>
      <c r="L188" s="18">
        <f t="shared" si="10"/>
        <v>0.19997329677959164</v>
      </c>
      <c r="M188" s="18">
        <f t="shared" si="11"/>
        <v>-0.14187432482074711</v>
      </c>
    </row>
    <row r="189" spans="1:13" x14ac:dyDescent="0.3">
      <c r="A189" s="9" t="s">
        <v>224</v>
      </c>
      <c r="B189" s="10" t="s">
        <v>582</v>
      </c>
      <c r="C189" s="10" t="s">
        <v>118</v>
      </c>
      <c r="D189" s="10" t="s">
        <v>123</v>
      </c>
      <c r="E189" s="10" t="s">
        <v>703</v>
      </c>
      <c r="F189" s="10" t="s">
        <v>694</v>
      </c>
      <c r="G189" s="10" t="s">
        <v>697</v>
      </c>
      <c r="H189" s="11">
        <v>6504506</v>
      </c>
      <c r="I189" s="11">
        <v>10557800</v>
      </c>
      <c r="J189" s="11">
        <v>2741439</v>
      </c>
      <c r="K189" s="11">
        <f t="shared" si="12"/>
        <v>2835971.3793103448</v>
      </c>
      <c r="L189" s="18">
        <f t="shared" si="10"/>
        <v>0.26861385698823098</v>
      </c>
      <c r="M189" s="18">
        <f t="shared" si="11"/>
        <v>-0.56399896021152951</v>
      </c>
    </row>
    <row r="190" spans="1:13" x14ac:dyDescent="0.3">
      <c r="A190" s="9" t="s">
        <v>226</v>
      </c>
      <c r="B190" s="10" t="s">
        <v>584</v>
      </c>
      <c r="C190" s="10" t="s">
        <v>118</v>
      </c>
      <c r="D190" s="10" t="s">
        <v>136</v>
      </c>
      <c r="E190" s="10" t="s">
        <v>704</v>
      </c>
      <c r="F190" s="10" t="s">
        <v>694</v>
      </c>
      <c r="G190" s="10" t="s">
        <v>697</v>
      </c>
      <c r="H190" s="11">
        <v>26481979</v>
      </c>
      <c r="I190" s="11">
        <v>19269700</v>
      </c>
      <c r="J190" s="11">
        <v>3399097</v>
      </c>
      <c r="K190" s="11">
        <f t="shared" si="12"/>
        <v>3516307.2413793104</v>
      </c>
      <c r="L190" s="18">
        <f t="shared" si="10"/>
        <v>0.18247856694080916</v>
      </c>
      <c r="M190" s="18">
        <f t="shared" si="11"/>
        <v>-0.86721886451993224</v>
      </c>
    </row>
    <row r="191" spans="1:13" x14ac:dyDescent="0.3">
      <c r="A191" s="9" t="s">
        <v>223</v>
      </c>
      <c r="B191" s="10" t="s">
        <v>581</v>
      </c>
      <c r="C191" s="10" t="s">
        <v>118</v>
      </c>
      <c r="D191" s="10" t="s">
        <v>136</v>
      </c>
      <c r="E191" s="10" t="s">
        <v>704</v>
      </c>
      <c r="F191" s="10" t="s">
        <v>694</v>
      </c>
      <c r="G191" s="10" t="s">
        <v>697</v>
      </c>
      <c r="H191" s="11">
        <v>1890090</v>
      </c>
      <c r="I191" s="11">
        <v>3985600</v>
      </c>
      <c r="J191" s="11">
        <v>0</v>
      </c>
      <c r="K191" s="11">
        <f t="shared" si="12"/>
        <v>0</v>
      </c>
      <c r="L191" s="18">
        <f t="shared" si="10"/>
        <v>0</v>
      </c>
      <c r="M191" s="18">
        <f t="shared" si="11"/>
        <v>-1</v>
      </c>
    </row>
    <row r="192" spans="1:13" x14ac:dyDescent="0.3">
      <c r="A192" s="9" t="s">
        <v>227</v>
      </c>
      <c r="B192" s="10" t="s">
        <v>585</v>
      </c>
      <c r="C192" s="10" t="s">
        <v>118</v>
      </c>
      <c r="D192" s="10" t="s">
        <v>123</v>
      </c>
      <c r="E192" s="10" t="s">
        <v>702</v>
      </c>
      <c r="F192" s="10" t="s">
        <v>694</v>
      </c>
      <c r="G192" s="10" t="s">
        <v>697</v>
      </c>
      <c r="H192" s="11">
        <v>10728829</v>
      </c>
      <c r="I192" s="11">
        <v>17979700</v>
      </c>
      <c r="J192" s="11">
        <v>9147748</v>
      </c>
      <c r="K192" s="11">
        <f t="shared" si="12"/>
        <v>9463187.5862068981</v>
      </c>
      <c r="L192" s="18">
        <f t="shared" si="10"/>
        <v>0.52632622269597928</v>
      </c>
      <c r="M192" s="18">
        <f t="shared" si="11"/>
        <v>-0.11796640749825558</v>
      </c>
    </row>
    <row r="193" spans="1:22" x14ac:dyDescent="0.3">
      <c r="A193" s="9" t="s">
        <v>229</v>
      </c>
      <c r="B193" s="10" t="s">
        <v>587</v>
      </c>
      <c r="C193" s="10" t="s">
        <v>118</v>
      </c>
      <c r="D193" s="10" t="s">
        <v>123</v>
      </c>
      <c r="E193" s="10" t="s">
        <v>703</v>
      </c>
      <c r="F193" s="10" t="s">
        <v>694</v>
      </c>
      <c r="G193" s="10" t="s">
        <v>696</v>
      </c>
      <c r="H193" s="11">
        <v>4818016</v>
      </c>
      <c r="I193" s="11">
        <v>9062400</v>
      </c>
      <c r="J193" s="11">
        <v>4858558</v>
      </c>
      <c r="K193" s="11">
        <f t="shared" si="12"/>
        <v>5026094.4827586208</v>
      </c>
      <c r="L193" s="18">
        <f t="shared" si="10"/>
        <v>0.55460964896259501</v>
      </c>
      <c r="M193" s="18">
        <f t="shared" si="11"/>
        <v>4.3187586500049141E-2</v>
      </c>
    </row>
    <row r="194" spans="1:22" x14ac:dyDescent="0.3">
      <c r="A194" s="9" t="s">
        <v>230</v>
      </c>
      <c r="B194" s="10" t="s">
        <v>588</v>
      </c>
      <c r="C194" s="10" t="s">
        <v>118</v>
      </c>
      <c r="D194" s="10" t="s">
        <v>138</v>
      </c>
      <c r="E194" s="10" t="s">
        <v>703</v>
      </c>
      <c r="F194" s="10" t="s">
        <v>694</v>
      </c>
      <c r="G194" s="10" t="s">
        <v>699</v>
      </c>
      <c r="H194" s="11">
        <v>5054958</v>
      </c>
      <c r="I194" s="11">
        <v>19360000</v>
      </c>
      <c r="J194" s="11">
        <v>5236037</v>
      </c>
      <c r="K194" s="11">
        <f t="shared" si="12"/>
        <v>5416590</v>
      </c>
      <c r="L194" s="18">
        <f t="shared" si="10"/>
        <v>0.27978254132231406</v>
      </c>
      <c r="M194" s="18">
        <f t="shared" si="11"/>
        <v>7.1540060273497824E-2</v>
      </c>
    </row>
    <row r="195" spans="1:22" x14ac:dyDescent="0.3">
      <c r="A195" s="9" t="s">
        <v>233</v>
      </c>
      <c r="B195" s="10" t="s">
        <v>591</v>
      </c>
      <c r="C195" s="10" t="s">
        <v>118</v>
      </c>
      <c r="D195" s="10" t="s">
        <v>123</v>
      </c>
      <c r="E195" s="10" t="s">
        <v>702</v>
      </c>
      <c r="F195" s="10" t="s">
        <v>694</v>
      </c>
      <c r="G195" s="10" t="s">
        <v>696</v>
      </c>
      <c r="H195" s="11">
        <v>20636933</v>
      </c>
      <c r="I195" s="11">
        <v>32585400</v>
      </c>
      <c r="J195" s="11">
        <v>11676575</v>
      </c>
      <c r="K195" s="11">
        <f t="shared" si="12"/>
        <v>12079215.517241379</v>
      </c>
      <c r="L195" s="18">
        <f t="shared" si="10"/>
        <v>0.37069409972691386</v>
      </c>
      <c r="M195" s="18">
        <f t="shared" si="11"/>
        <v>-0.41467971441098445</v>
      </c>
    </row>
    <row r="196" spans="1:22" x14ac:dyDescent="0.3">
      <c r="A196" s="9" t="s">
        <v>237</v>
      </c>
      <c r="B196" s="10" t="s">
        <v>595</v>
      </c>
      <c r="C196" s="10" t="s">
        <v>118</v>
      </c>
      <c r="D196" s="10" t="s">
        <v>123</v>
      </c>
      <c r="E196" s="10" t="s">
        <v>703</v>
      </c>
      <c r="F196" s="10" t="s">
        <v>694</v>
      </c>
      <c r="G196" s="10" t="s">
        <v>697</v>
      </c>
      <c r="H196" s="11">
        <v>12496397</v>
      </c>
      <c r="I196" s="11">
        <v>16073000</v>
      </c>
      <c r="J196" s="11">
        <v>3821622</v>
      </c>
      <c r="K196" s="11">
        <f t="shared" si="12"/>
        <v>3953402.0689655175</v>
      </c>
      <c r="L196" s="18">
        <f t="shared" si="10"/>
        <v>0.24596541211755849</v>
      </c>
      <c r="M196" s="18">
        <f t="shared" si="11"/>
        <v>-0.68363664590957562</v>
      </c>
    </row>
    <row r="197" spans="1:22" x14ac:dyDescent="0.3">
      <c r="A197" s="9" t="s">
        <v>235</v>
      </c>
      <c r="B197" s="10" t="s">
        <v>593</v>
      </c>
      <c r="C197" s="10" t="s">
        <v>118</v>
      </c>
      <c r="D197" s="10" t="s">
        <v>136</v>
      </c>
      <c r="E197" s="10" t="s">
        <v>704</v>
      </c>
      <c r="F197" s="10" t="s">
        <v>694</v>
      </c>
      <c r="G197" s="10" t="s">
        <v>696</v>
      </c>
      <c r="H197" s="11">
        <v>10135131</v>
      </c>
      <c r="I197" s="11">
        <v>11803500</v>
      </c>
      <c r="J197" s="11">
        <v>4249544</v>
      </c>
      <c r="K197" s="11">
        <f t="shared" si="12"/>
        <v>4396080</v>
      </c>
      <c r="L197" s="18">
        <f t="shared" si="10"/>
        <v>0.37243868344135211</v>
      </c>
      <c r="M197" s="18">
        <f t="shared" si="11"/>
        <v>-0.56625326303133128</v>
      </c>
    </row>
    <row r="198" spans="1:22" x14ac:dyDescent="0.3">
      <c r="A198" s="9" t="s">
        <v>232</v>
      </c>
      <c r="B198" s="10" t="s">
        <v>590</v>
      </c>
      <c r="C198" s="10" t="s">
        <v>118</v>
      </c>
      <c r="D198" s="10" t="s">
        <v>136</v>
      </c>
      <c r="E198" s="10" t="s">
        <v>704</v>
      </c>
      <c r="F198" s="10" t="s">
        <v>694</v>
      </c>
      <c r="G198" s="10" t="s">
        <v>696</v>
      </c>
      <c r="H198" s="11">
        <v>38182881</v>
      </c>
      <c r="I198" s="11">
        <v>29447400</v>
      </c>
      <c r="J198" s="11">
        <v>14427025</v>
      </c>
      <c r="K198" s="11">
        <f t="shared" si="12"/>
        <v>14924508.620689657</v>
      </c>
      <c r="L198" s="18">
        <f t="shared" si="10"/>
        <v>0.50681923092326175</v>
      </c>
      <c r="M198" s="18">
        <f t="shared" si="11"/>
        <v>-0.60913089243607221</v>
      </c>
    </row>
    <row r="199" spans="1:22" x14ac:dyDescent="0.3">
      <c r="A199" s="9" t="s">
        <v>231</v>
      </c>
      <c r="B199" s="10" t="s">
        <v>589</v>
      </c>
      <c r="C199" s="10" t="s">
        <v>118</v>
      </c>
      <c r="D199" s="10" t="s">
        <v>136</v>
      </c>
      <c r="E199" s="10" t="s">
        <v>704</v>
      </c>
      <c r="F199" s="10" t="s">
        <v>694</v>
      </c>
      <c r="G199" s="10" t="s">
        <v>697</v>
      </c>
      <c r="H199" s="11">
        <v>22988286</v>
      </c>
      <c r="I199" s="11">
        <v>28913500</v>
      </c>
      <c r="J199" s="11">
        <v>7092792</v>
      </c>
      <c r="K199" s="11">
        <f t="shared" si="12"/>
        <v>7337371.0344827585</v>
      </c>
      <c r="L199" s="18">
        <f t="shared" si="10"/>
        <v>0.25376972813677895</v>
      </c>
      <c r="M199" s="18">
        <f t="shared" si="11"/>
        <v>-0.68082130897089244</v>
      </c>
    </row>
    <row r="200" spans="1:22" x14ac:dyDescent="0.3">
      <c r="A200" s="9" t="s">
        <v>234</v>
      </c>
      <c r="B200" s="10" t="s">
        <v>592</v>
      </c>
      <c r="C200" s="10" t="s">
        <v>118</v>
      </c>
      <c r="D200" s="10" t="s">
        <v>136</v>
      </c>
      <c r="E200" s="10" t="s">
        <v>704</v>
      </c>
      <c r="F200" s="10" t="s">
        <v>694</v>
      </c>
      <c r="G200" s="10" t="s">
        <v>697</v>
      </c>
      <c r="H200" s="11">
        <v>107916207</v>
      </c>
      <c r="I200" s="11">
        <v>21516300</v>
      </c>
      <c r="J200" s="11">
        <v>56248643</v>
      </c>
      <c r="K200" s="11">
        <f t="shared" si="12"/>
        <v>58188251.379310347</v>
      </c>
      <c r="L200" s="18">
        <f t="shared" si="10"/>
        <v>2.7043799993172781</v>
      </c>
      <c r="M200" s="18">
        <f t="shared" si="11"/>
        <v>-0.46080155152867497</v>
      </c>
    </row>
    <row r="201" spans="1:22" x14ac:dyDescent="0.3">
      <c r="A201" s="9" t="s">
        <v>188</v>
      </c>
      <c r="B201" s="10" t="s">
        <v>546</v>
      </c>
      <c r="C201" s="10" t="s">
        <v>118</v>
      </c>
      <c r="D201" s="10" t="s">
        <v>134</v>
      </c>
      <c r="E201" s="10" t="s">
        <v>704</v>
      </c>
      <c r="F201" s="10" t="s">
        <v>694</v>
      </c>
      <c r="G201" s="10" t="s">
        <v>700</v>
      </c>
      <c r="H201" s="11">
        <v>1399097</v>
      </c>
      <c r="I201" s="11">
        <v>6899900</v>
      </c>
      <c r="J201" s="11">
        <v>1130629</v>
      </c>
      <c r="K201" s="11">
        <f t="shared" si="12"/>
        <v>1169616.2068965517</v>
      </c>
      <c r="L201" s="18">
        <f t="shared" si="10"/>
        <v>0.16951205189880311</v>
      </c>
      <c r="M201" s="18">
        <f t="shared" si="11"/>
        <v>-0.16402064553311768</v>
      </c>
    </row>
    <row r="202" spans="1:22" x14ac:dyDescent="0.3">
      <c r="A202" s="9" t="s">
        <v>242</v>
      </c>
      <c r="B202" s="10" t="s">
        <v>598</v>
      </c>
      <c r="C202" s="10" t="s">
        <v>118</v>
      </c>
      <c r="D202" s="10" t="s">
        <v>123</v>
      </c>
      <c r="E202" s="10" t="s">
        <v>703</v>
      </c>
      <c r="F202" s="10" t="s">
        <v>694</v>
      </c>
      <c r="G202" s="10" t="s">
        <v>696</v>
      </c>
      <c r="H202" s="11">
        <v>10463964</v>
      </c>
      <c r="I202" s="11">
        <v>8029900</v>
      </c>
      <c r="J202" s="11">
        <v>7545945</v>
      </c>
      <c r="K202" s="11">
        <f t="shared" si="12"/>
        <v>7806150</v>
      </c>
      <c r="L202" s="18">
        <f t="shared" si="10"/>
        <v>0.97213539396505555</v>
      </c>
      <c r="M202" s="18">
        <f t="shared" si="11"/>
        <v>-0.25399686008094063</v>
      </c>
    </row>
    <row r="203" spans="1:22" x14ac:dyDescent="0.3">
      <c r="A203" s="9" t="s">
        <v>236</v>
      </c>
      <c r="B203" s="10" t="s">
        <v>594</v>
      </c>
      <c r="C203" s="10" t="s">
        <v>118</v>
      </c>
      <c r="D203" s="10" t="s">
        <v>138</v>
      </c>
      <c r="E203" s="10" t="s">
        <v>703</v>
      </c>
      <c r="F203" s="10" t="s">
        <v>694</v>
      </c>
      <c r="G203" s="10" t="s">
        <v>698</v>
      </c>
      <c r="H203" s="11">
        <v>4064865</v>
      </c>
      <c r="I203" s="11">
        <v>2423300</v>
      </c>
      <c r="J203" s="11">
        <v>2654054</v>
      </c>
      <c r="K203" s="11">
        <f t="shared" si="12"/>
        <v>2745573.1034482755</v>
      </c>
      <c r="L203" s="18">
        <f t="shared" si="10"/>
        <v>1.1329893547840859</v>
      </c>
      <c r="M203" s="18">
        <f t="shared" si="11"/>
        <v>-0.32455983078201234</v>
      </c>
    </row>
    <row r="204" spans="1:22" x14ac:dyDescent="0.3">
      <c r="A204" s="9" t="s">
        <v>244</v>
      </c>
      <c r="B204" s="10" t="s">
        <v>600</v>
      </c>
      <c r="C204" s="10" t="s">
        <v>118</v>
      </c>
      <c r="D204" s="10" t="s">
        <v>138</v>
      </c>
      <c r="E204" s="10" t="s">
        <v>703</v>
      </c>
      <c r="F204" s="10" t="s">
        <v>694</v>
      </c>
      <c r="G204" s="10" t="s">
        <v>699</v>
      </c>
      <c r="H204" s="11">
        <v>1706305</v>
      </c>
      <c r="I204" s="11">
        <v>3367700</v>
      </c>
      <c r="J204" s="11">
        <v>3145044</v>
      </c>
      <c r="K204" s="11">
        <f t="shared" si="12"/>
        <v>3253493.7931034481</v>
      </c>
      <c r="L204" s="18">
        <f t="shared" si="10"/>
        <v>0.96608777299149218</v>
      </c>
      <c r="M204" s="18">
        <f t="shared" si="11"/>
        <v>0.90674808612964741</v>
      </c>
    </row>
    <row r="205" spans="1:22" x14ac:dyDescent="0.3">
      <c r="A205" s="9" t="s">
        <v>241</v>
      </c>
      <c r="B205" s="10" t="s">
        <v>597</v>
      </c>
      <c r="C205" s="10" t="s">
        <v>118</v>
      </c>
      <c r="D205" s="10" t="s">
        <v>138</v>
      </c>
      <c r="E205" s="10" t="s">
        <v>703</v>
      </c>
      <c r="F205" s="10" t="s">
        <v>694</v>
      </c>
      <c r="G205" s="10" t="s">
        <v>698</v>
      </c>
      <c r="H205" s="11">
        <v>6658559</v>
      </c>
      <c r="I205" s="11">
        <v>5441600</v>
      </c>
      <c r="J205" s="11">
        <v>5107207</v>
      </c>
      <c r="K205" s="11">
        <f t="shared" si="12"/>
        <v>5283317.5862068962</v>
      </c>
      <c r="L205" s="18">
        <f t="shared" si="10"/>
        <v>0.97091252319297561</v>
      </c>
      <c r="M205" s="18">
        <f t="shared" si="11"/>
        <v>-0.2065373925188774</v>
      </c>
    </row>
    <row r="206" spans="1:22" x14ac:dyDescent="0.3">
      <c r="A206" s="9" t="s">
        <v>245</v>
      </c>
      <c r="B206" s="10" t="s">
        <v>601</v>
      </c>
      <c r="C206" s="10" t="s">
        <v>118</v>
      </c>
      <c r="D206" s="10" t="s">
        <v>138</v>
      </c>
      <c r="E206" s="10" t="s">
        <v>703</v>
      </c>
      <c r="F206" s="10" t="s">
        <v>694</v>
      </c>
      <c r="G206" s="10" t="s">
        <v>695</v>
      </c>
      <c r="H206" s="11">
        <v>1851352</v>
      </c>
      <c r="I206" s="11">
        <v>2862100</v>
      </c>
      <c r="J206" s="11">
        <v>2536037</v>
      </c>
      <c r="K206" s="11">
        <f t="shared" si="12"/>
        <v>2623486.5517241377</v>
      </c>
      <c r="L206" s="18">
        <f t="shared" si="10"/>
        <v>0.91662994015727528</v>
      </c>
      <c r="M206" s="18">
        <f t="shared" si="11"/>
        <v>0.417065232178504</v>
      </c>
    </row>
    <row r="207" spans="1:22" s="16" customFormat="1" ht="23.35" customHeight="1" x14ac:dyDescent="0.3">
      <c r="A207" s="5" t="s">
        <v>67</v>
      </c>
      <c r="B207" s="8"/>
      <c r="C207" s="8"/>
      <c r="D207" s="8"/>
      <c r="E207" s="8"/>
      <c r="F207" s="8"/>
      <c r="G207" s="8"/>
      <c r="H207" s="13">
        <f>SUM(H5:H206)</f>
        <v>6291740975</v>
      </c>
      <c r="I207" s="13">
        <f>SUM(I5:I206)</f>
        <v>10000000000</v>
      </c>
      <c r="J207" s="13">
        <f>SUM(J5:J206)</f>
        <v>5079768952</v>
      </c>
      <c r="K207" s="13">
        <f>SUM(K5:K206)</f>
        <v>5254933398.6206894</v>
      </c>
      <c r="L207" s="14">
        <f t="shared" ref="L207" si="13">IFERROR((K207/I207),0)</f>
        <v>0.52549333986206892</v>
      </c>
      <c r="M207" s="19">
        <f t="shared" ref="M207" si="14">IFERROR((K207-H207)/H207,0)</f>
        <v>-0.16478866191393243</v>
      </c>
      <c r="P207"/>
      <c r="Q207"/>
      <c r="R207"/>
      <c r="S207"/>
      <c r="T207"/>
      <c r="U207"/>
      <c r="V207"/>
    </row>
  </sheetData>
  <autoFilter ref="A4:M207" xr:uid="{D1513601-EB84-4BDA-A4AF-678E729CE4D2}"/>
  <mergeCells count="2">
    <mergeCell ref="A3:M3"/>
    <mergeCell ref="P3:V3"/>
  </mergeCells>
  <conditionalFormatting sqref="M5:M207">
    <cfRule type="cellIs" dxfId="2" priority="3" operator="lessThan">
      <formula>0</formula>
    </cfRule>
  </conditionalFormatting>
  <conditionalFormatting sqref="V5:V9">
    <cfRule type="cellIs" dxfId="1" priority="2" operator="lessThan">
      <formula>0</formula>
    </cfRule>
  </conditionalFormatting>
  <conditionalFormatting sqref="V12:V32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CE9C-6CEF-4388-8140-F623BCA96F4C}">
  <dimension ref="A1:Z145"/>
  <sheetViews>
    <sheetView showGridLines="0" zoomScale="70" workbookViewId="0">
      <pane ySplit="4" topLeftCell="A133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1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6" customWidth="1"/>
    <col min="12" max="15" width="16" hidden="1" customWidth="1"/>
    <col min="16" max="17" width="0" hidden="1" customWidth="1"/>
    <col min="18" max="18" width="23" hidden="1" customWidth="1"/>
    <col min="19" max="19" width="13.88671875" hidden="1" customWidth="1"/>
    <col min="20" max="23" width="16.44140625" customWidth="1"/>
    <col min="24" max="24" width="16.44140625" hidden="1" customWidth="1"/>
    <col min="25" max="26" width="16.5546875" hidden="1" customWidth="1"/>
    <col min="27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6" x14ac:dyDescent="0.3">
      <c r="A1" s="1">
        <v>29</v>
      </c>
      <c r="B1" s="1">
        <v>30</v>
      </c>
      <c r="G1" s="16"/>
      <c r="H1" s="16"/>
      <c r="I1" s="16"/>
      <c r="J1" s="16"/>
      <c r="K1" s="16"/>
      <c r="L1" s="16"/>
      <c r="M1" s="16"/>
    </row>
    <row r="2" spans="1:26" x14ac:dyDescent="0.3">
      <c r="A2" s="17"/>
      <c r="B2" s="17"/>
    </row>
    <row r="3" spans="1:26" s="4" customFormat="1" ht="23.5" customHeight="1" x14ac:dyDescent="0.3">
      <c r="A3" s="2" t="str">
        <f>"RACING VIVO (01 - "&amp;A1&amp;" SEPTEMBER 2026)"</f>
        <v>RACING VIVO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R3" s="2" t="str">
        <f>A3</f>
        <v>RACING VIVO (01 - 29 SEPTEMBER 2026)</v>
      </c>
      <c r="S3" s="2"/>
      <c r="T3" s="2"/>
      <c r="U3" s="2"/>
      <c r="V3" s="2"/>
      <c r="W3" s="2"/>
      <c r="X3" s="2"/>
      <c r="Y3" s="2"/>
      <c r="Z3" s="2"/>
    </row>
    <row r="4" spans="1:26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319</v>
      </c>
      <c r="I4" s="8" t="s">
        <v>320</v>
      </c>
      <c r="J4" s="8" t="s">
        <v>321</v>
      </c>
      <c r="K4" s="8" t="s">
        <v>322</v>
      </c>
      <c r="L4" s="8" t="s">
        <v>323</v>
      </c>
      <c r="M4" s="8" t="s">
        <v>324</v>
      </c>
      <c r="N4" s="8" t="s">
        <v>325</v>
      </c>
      <c r="O4" s="8" t="s">
        <v>326</v>
      </c>
      <c r="R4" s="8" t="s">
        <v>2</v>
      </c>
      <c r="S4" s="8" t="s">
        <v>319</v>
      </c>
      <c r="T4" s="8" t="s">
        <v>320</v>
      </c>
      <c r="U4" s="8" t="s">
        <v>321</v>
      </c>
      <c r="V4" s="8" t="s">
        <v>322</v>
      </c>
      <c r="W4" s="8" t="s">
        <v>323</v>
      </c>
      <c r="X4" s="8" t="s">
        <v>324</v>
      </c>
      <c r="Y4" s="8" t="s">
        <v>325</v>
      </c>
      <c r="Z4" s="8" t="s">
        <v>326</v>
      </c>
    </row>
    <row r="5" spans="1:26" x14ac:dyDescent="0.3">
      <c r="A5" s="9" t="s">
        <v>111</v>
      </c>
      <c r="B5" s="10" t="s">
        <v>480</v>
      </c>
      <c r="C5" s="10" t="s">
        <v>20</v>
      </c>
      <c r="D5" s="10" t="s">
        <v>38</v>
      </c>
      <c r="E5" s="10" t="s">
        <v>693</v>
      </c>
      <c r="F5" s="10" t="s">
        <v>694</v>
      </c>
      <c r="G5" s="10" t="s">
        <v>696</v>
      </c>
      <c r="H5" s="11">
        <v>16</v>
      </c>
      <c r="I5" s="11">
        <v>8</v>
      </c>
      <c r="J5" s="11">
        <v>9</v>
      </c>
      <c r="K5" s="11">
        <v>2</v>
      </c>
      <c r="L5" s="11">
        <f>IFERROR((J5/$A$1*$B$1),0)</f>
        <v>9.3103448275862064</v>
      </c>
      <c r="M5" s="11">
        <f>IFERROR((K5/$A$1*$B$1),0)</f>
        <v>2.0689655172413794</v>
      </c>
      <c r="N5" s="18">
        <f>IFERROR(L5/H5,0)</f>
        <v>0.5818965517241379</v>
      </c>
      <c r="O5" s="18">
        <f>IFERROR(M5/I5,0)</f>
        <v>0.25862068965517243</v>
      </c>
      <c r="R5" s="10" t="s">
        <v>20</v>
      </c>
      <c r="S5" s="11">
        <f t="shared" ref="S5:X6" si="0">SUMIF($C:$C,$R5,H:H)</f>
        <v>1296</v>
      </c>
      <c r="T5" s="11">
        <f t="shared" si="0"/>
        <v>627</v>
      </c>
      <c r="U5" s="11">
        <f t="shared" si="0"/>
        <v>1258</v>
      </c>
      <c r="V5" s="11">
        <f t="shared" si="0"/>
        <v>682</v>
      </c>
      <c r="W5" s="11">
        <f t="shared" si="0"/>
        <v>1301.3793103448274</v>
      </c>
      <c r="X5" s="11">
        <f t="shared" si="0"/>
        <v>705.51724137931024</v>
      </c>
      <c r="Y5" s="18">
        <f>IFERROR(W5/S5,0)</f>
        <v>1.0041507024265643</v>
      </c>
      <c r="Z5" s="18">
        <f>IFERROR(X5/T5,0)</f>
        <v>1.1252268602540834</v>
      </c>
    </row>
    <row r="6" spans="1:26" x14ac:dyDescent="0.3">
      <c r="A6" s="9" t="s">
        <v>74</v>
      </c>
      <c r="B6" s="10" t="s">
        <v>443</v>
      </c>
      <c r="C6" s="10" t="s">
        <v>20</v>
      </c>
      <c r="D6" s="10" t="s">
        <v>38</v>
      </c>
      <c r="E6" s="10" t="s">
        <v>693</v>
      </c>
      <c r="F6" s="10" t="s">
        <v>694</v>
      </c>
      <c r="G6" s="10" t="s">
        <v>696</v>
      </c>
      <c r="H6" s="11">
        <v>8</v>
      </c>
      <c r="I6" s="11">
        <v>4</v>
      </c>
      <c r="J6" s="11">
        <v>25</v>
      </c>
      <c r="K6" s="11">
        <v>7</v>
      </c>
      <c r="L6" s="11">
        <f t="shared" ref="L6:M69" si="1">IFERROR((J6/$A$1*$B$1),0)</f>
        <v>25.862068965517238</v>
      </c>
      <c r="M6" s="11">
        <f t="shared" si="1"/>
        <v>7.2413793103448283</v>
      </c>
      <c r="N6" s="18">
        <f t="shared" ref="N6:O69" si="2">IFERROR(L6/H6,0)</f>
        <v>3.2327586206896548</v>
      </c>
      <c r="O6" s="18">
        <f t="shared" si="2"/>
        <v>1.8103448275862071</v>
      </c>
      <c r="R6" s="10" t="s">
        <v>22</v>
      </c>
      <c r="S6" s="11">
        <f t="shared" si="0"/>
        <v>1480</v>
      </c>
      <c r="T6" s="11">
        <f t="shared" si="0"/>
        <v>655</v>
      </c>
      <c r="U6" s="11">
        <f t="shared" si="0"/>
        <v>1328</v>
      </c>
      <c r="V6" s="11">
        <f t="shared" si="0"/>
        <v>403</v>
      </c>
      <c r="W6" s="11">
        <f t="shared" si="0"/>
        <v>1373.793103448276</v>
      </c>
      <c r="X6" s="11">
        <f t="shared" si="0"/>
        <v>416.89655172413808</v>
      </c>
      <c r="Y6" s="18">
        <f t="shared" ref="Y6:Z7" si="3">IFERROR(W6/S6,0)</f>
        <v>0.9282385834109973</v>
      </c>
      <c r="Z6" s="18">
        <f t="shared" si="3"/>
        <v>0.63648328507501994</v>
      </c>
    </row>
    <row r="7" spans="1:26" x14ac:dyDescent="0.3">
      <c r="A7" s="9" t="s">
        <v>146</v>
      </c>
      <c r="B7" s="10" t="s">
        <v>504</v>
      </c>
      <c r="C7" s="10" t="s">
        <v>20</v>
      </c>
      <c r="D7" s="10" t="s">
        <v>30</v>
      </c>
      <c r="E7" s="10" t="s">
        <v>693</v>
      </c>
      <c r="F7" s="10" t="s">
        <v>694</v>
      </c>
      <c r="G7" s="10" t="s">
        <v>696</v>
      </c>
      <c r="H7" s="11">
        <v>26</v>
      </c>
      <c r="I7" s="11">
        <v>13</v>
      </c>
      <c r="J7" s="11">
        <v>28</v>
      </c>
      <c r="K7" s="11">
        <v>14</v>
      </c>
      <c r="L7" s="11">
        <f t="shared" si="1"/>
        <v>28.965517241379313</v>
      </c>
      <c r="M7" s="11">
        <f t="shared" si="1"/>
        <v>14.482758620689657</v>
      </c>
      <c r="N7" s="18">
        <f t="shared" si="2"/>
        <v>1.114058355437666</v>
      </c>
      <c r="O7" s="18">
        <f t="shared" si="2"/>
        <v>1.114058355437666</v>
      </c>
      <c r="R7" s="5" t="s">
        <v>67</v>
      </c>
      <c r="S7" s="13">
        <f>SUM(S5:S6)</f>
        <v>2776</v>
      </c>
      <c r="T7" s="13">
        <f t="shared" ref="T7:X7" si="4">SUM(T5:T6)</f>
        <v>1282</v>
      </c>
      <c r="U7" s="13">
        <f t="shared" si="4"/>
        <v>2586</v>
      </c>
      <c r="V7" s="13">
        <f t="shared" si="4"/>
        <v>1085</v>
      </c>
      <c r="W7" s="13">
        <f t="shared" si="4"/>
        <v>2675.1724137931033</v>
      </c>
      <c r="X7" s="13">
        <f t="shared" si="4"/>
        <v>1122.4137931034484</v>
      </c>
      <c r="Y7" s="14">
        <f t="shared" si="3"/>
        <v>0.96367882341250122</v>
      </c>
      <c r="Z7" s="14">
        <f t="shared" si="3"/>
        <v>0.87551777933186303</v>
      </c>
    </row>
    <row r="8" spans="1:26" x14ac:dyDescent="0.3">
      <c r="A8" s="9" t="s">
        <v>100</v>
      </c>
      <c r="B8" s="10" t="s">
        <v>469</v>
      </c>
      <c r="C8" s="10" t="s">
        <v>20</v>
      </c>
      <c r="D8" s="10" t="s">
        <v>38</v>
      </c>
      <c r="E8" s="10" t="s">
        <v>693</v>
      </c>
      <c r="F8" s="10" t="s">
        <v>694</v>
      </c>
      <c r="G8" s="10" t="s">
        <v>696</v>
      </c>
      <c r="H8" s="11">
        <v>26</v>
      </c>
      <c r="I8" s="11">
        <v>13</v>
      </c>
      <c r="J8" s="11">
        <v>15</v>
      </c>
      <c r="K8" s="11">
        <v>6</v>
      </c>
      <c r="L8" s="11">
        <f t="shared" si="1"/>
        <v>15.517241379310345</v>
      </c>
      <c r="M8" s="11">
        <f t="shared" si="1"/>
        <v>6.2068965517241379</v>
      </c>
      <c r="N8" s="18">
        <f t="shared" si="2"/>
        <v>0.59681697612732099</v>
      </c>
      <c r="O8" s="18">
        <f t="shared" si="2"/>
        <v>0.47745358090185674</v>
      </c>
    </row>
    <row r="9" spans="1:26" x14ac:dyDescent="0.3">
      <c r="A9" s="9" t="s">
        <v>37</v>
      </c>
      <c r="B9" s="10" t="s">
        <v>414</v>
      </c>
      <c r="C9" s="10" t="s">
        <v>20</v>
      </c>
      <c r="D9" s="10" t="s">
        <v>38</v>
      </c>
      <c r="E9" s="10" t="s">
        <v>693</v>
      </c>
      <c r="F9" s="10" t="s">
        <v>694</v>
      </c>
      <c r="G9" s="10" t="s">
        <v>696</v>
      </c>
      <c r="H9" s="11">
        <v>17</v>
      </c>
      <c r="I9" s="11">
        <v>8</v>
      </c>
      <c r="J9" s="11">
        <v>3</v>
      </c>
      <c r="K9" s="11">
        <v>1</v>
      </c>
      <c r="L9" s="11">
        <f t="shared" si="1"/>
        <v>3.103448275862069</v>
      </c>
      <c r="M9" s="11">
        <f t="shared" si="1"/>
        <v>1.0344827586206897</v>
      </c>
      <c r="N9" s="18">
        <f t="shared" si="2"/>
        <v>0.18255578093306288</v>
      </c>
      <c r="O9" s="18">
        <f t="shared" si="2"/>
        <v>0.12931034482758622</v>
      </c>
      <c r="R9" s="8" t="s">
        <v>3</v>
      </c>
      <c r="S9" s="8" t="s">
        <v>319</v>
      </c>
      <c r="T9" s="8" t="s">
        <v>320</v>
      </c>
      <c r="U9" s="8" t="s">
        <v>321</v>
      </c>
      <c r="V9" s="8" t="s">
        <v>322</v>
      </c>
      <c r="W9" s="8" t="s">
        <v>323</v>
      </c>
      <c r="X9" s="8" t="s">
        <v>324</v>
      </c>
      <c r="Y9" s="8" t="s">
        <v>325</v>
      </c>
      <c r="Z9" s="8" t="s">
        <v>326</v>
      </c>
    </row>
    <row r="10" spans="1:26" x14ac:dyDescent="0.3">
      <c r="A10" s="9" t="s">
        <v>112</v>
      </c>
      <c r="B10" s="10" t="s">
        <v>481</v>
      </c>
      <c r="C10" s="10" t="s">
        <v>20</v>
      </c>
      <c r="D10" s="10" t="s">
        <v>30</v>
      </c>
      <c r="E10" s="10" t="s">
        <v>693</v>
      </c>
      <c r="F10" s="10" t="s">
        <v>694</v>
      </c>
      <c r="G10" s="10" t="s">
        <v>696</v>
      </c>
      <c r="H10" s="11">
        <v>6</v>
      </c>
      <c r="I10" s="11">
        <v>3</v>
      </c>
      <c r="J10" s="11">
        <v>8</v>
      </c>
      <c r="K10" s="11">
        <v>8</v>
      </c>
      <c r="L10" s="11">
        <f t="shared" si="1"/>
        <v>8.2758620689655178</v>
      </c>
      <c r="M10" s="11">
        <f t="shared" si="1"/>
        <v>8.2758620689655178</v>
      </c>
      <c r="N10" s="18">
        <f t="shared" si="2"/>
        <v>1.3793103448275863</v>
      </c>
      <c r="O10" s="18">
        <f t="shared" si="2"/>
        <v>2.7586206896551726</v>
      </c>
      <c r="R10" s="10" t="s">
        <v>28</v>
      </c>
      <c r="S10" s="11">
        <f t="shared" ref="S10:X20" si="5">SUMIF($D:$D,$R10,H:H)</f>
        <v>320</v>
      </c>
      <c r="T10" s="11">
        <f t="shared" si="5"/>
        <v>144</v>
      </c>
      <c r="U10" s="11">
        <f t="shared" si="5"/>
        <v>306</v>
      </c>
      <c r="V10" s="11">
        <f t="shared" si="5"/>
        <v>138</v>
      </c>
      <c r="W10" s="11">
        <f t="shared" si="5"/>
        <v>316.55172413793105</v>
      </c>
      <c r="X10" s="11">
        <f t="shared" si="5"/>
        <v>142.75862068965517</v>
      </c>
      <c r="Y10" s="18">
        <f>IFERROR(W10/S10,0)</f>
        <v>0.98922413793103448</v>
      </c>
      <c r="Z10" s="18">
        <f>IFERROR(X10/T10,0)</f>
        <v>0.99137931034482762</v>
      </c>
    </row>
    <row r="11" spans="1:26" x14ac:dyDescent="0.3">
      <c r="A11" s="9" t="s">
        <v>47</v>
      </c>
      <c r="B11" s="10" t="s">
        <v>419</v>
      </c>
      <c r="C11" s="10" t="s">
        <v>20</v>
      </c>
      <c r="D11" s="10" t="s">
        <v>38</v>
      </c>
      <c r="E11" s="10" t="s">
        <v>693</v>
      </c>
      <c r="F11" s="10" t="s">
        <v>694</v>
      </c>
      <c r="G11" s="10" t="s">
        <v>696</v>
      </c>
      <c r="H11" s="11">
        <v>48</v>
      </c>
      <c r="I11" s="11">
        <v>24</v>
      </c>
      <c r="J11" s="11">
        <v>23</v>
      </c>
      <c r="K11" s="11">
        <v>10</v>
      </c>
      <c r="L11" s="11">
        <f t="shared" si="1"/>
        <v>23.793103448275865</v>
      </c>
      <c r="M11" s="11">
        <f t="shared" si="1"/>
        <v>10.344827586206897</v>
      </c>
      <c r="N11" s="18">
        <f t="shared" si="2"/>
        <v>0.49568965517241387</v>
      </c>
      <c r="O11" s="18">
        <f t="shared" si="2"/>
        <v>0.43103448275862072</v>
      </c>
      <c r="R11" s="10" t="s">
        <v>48</v>
      </c>
      <c r="S11" s="11">
        <f t="shared" si="5"/>
        <v>202</v>
      </c>
      <c r="T11" s="11">
        <f t="shared" si="5"/>
        <v>88</v>
      </c>
      <c r="U11" s="11">
        <f t="shared" si="5"/>
        <v>164</v>
      </c>
      <c r="V11" s="11">
        <f t="shared" si="5"/>
        <v>68</v>
      </c>
      <c r="W11" s="11">
        <f t="shared" si="5"/>
        <v>169.65517241379308</v>
      </c>
      <c r="X11" s="11">
        <f t="shared" si="5"/>
        <v>70.34482758620689</v>
      </c>
      <c r="Y11" s="18">
        <f t="shared" ref="Y11:Z21" si="6">IFERROR(W11/S11,0)</f>
        <v>0.83987709115739151</v>
      </c>
      <c r="Z11" s="18">
        <f t="shared" si="6"/>
        <v>0.79937304075235105</v>
      </c>
    </row>
    <row r="12" spans="1:26" x14ac:dyDescent="0.3">
      <c r="A12" s="9" t="s">
        <v>240</v>
      </c>
      <c r="B12" s="10" t="s">
        <v>596</v>
      </c>
      <c r="C12" s="10" t="s">
        <v>20</v>
      </c>
      <c r="D12" s="10" t="s">
        <v>38</v>
      </c>
      <c r="E12" s="10" t="s">
        <v>707</v>
      </c>
      <c r="F12" s="10" t="s">
        <v>694</v>
      </c>
      <c r="G12" s="10" t="s">
        <v>696</v>
      </c>
      <c r="H12" s="11">
        <v>6</v>
      </c>
      <c r="I12" s="11">
        <v>3</v>
      </c>
      <c r="J12" s="11">
        <v>0</v>
      </c>
      <c r="K12" s="11">
        <v>0</v>
      </c>
      <c r="L12" s="11">
        <f t="shared" si="1"/>
        <v>0</v>
      </c>
      <c r="M12" s="11">
        <f t="shared" si="1"/>
        <v>0</v>
      </c>
      <c r="N12" s="18">
        <f t="shared" si="2"/>
        <v>0</v>
      </c>
      <c r="O12" s="18">
        <f t="shared" si="2"/>
        <v>0</v>
      </c>
      <c r="R12" s="10" t="s">
        <v>42</v>
      </c>
      <c r="S12" s="11">
        <f t="shared" si="5"/>
        <v>151</v>
      </c>
      <c r="T12" s="11">
        <f t="shared" si="5"/>
        <v>64</v>
      </c>
      <c r="U12" s="11">
        <f t="shared" si="5"/>
        <v>70</v>
      </c>
      <c r="V12" s="11">
        <f t="shared" si="5"/>
        <v>14</v>
      </c>
      <c r="W12" s="11">
        <f t="shared" si="5"/>
        <v>72.413793103448285</v>
      </c>
      <c r="X12" s="11">
        <f t="shared" si="5"/>
        <v>14.482758620689657</v>
      </c>
      <c r="Y12" s="18">
        <f t="shared" si="6"/>
        <v>0.47956154373144561</v>
      </c>
      <c r="Z12" s="18">
        <f t="shared" si="6"/>
        <v>0.22629310344827588</v>
      </c>
    </row>
    <row r="13" spans="1:26" x14ac:dyDescent="0.3">
      <c r="A13" s="9" t="s">
        <v>87</v>
      </c>
      <c r="B13" s="10" t="s">
        <v>456</v>
      </c>
      <c r="C13" s="10" t="s">
        <v>20</v>
      </c>
      <c r="D13" s="10" t="s">
        <v>38</v>
      </c>
      <c r="E13" s="10" t="s">
        <v>693</v>
      </c>
      <c r="F13" s="10" t="s">
        <v>694</v>
      </c>
      <c r="G13" s="10" t="s">
        <v>696</v>
      </c>
      <c r="H13" s="11">
        <v>25</v>
      </c>
      <c r="I13" s="11">
        <v>12</v>
      </c>
      <c r="J13" s="11">
        <v>19</v>
      </c>
      <c r="K13" s="11">
        <v>6</v>
      </c>
      <c r="L13" s="11">
        <f t="shared" si="1"/>
        <v>19.655172413793103</v>
      </c>
      <c r="M13" s="11">
        <f t="shared" si="1"/>
        <v>6.2068965517241379</v>
      </c>
      <c r="N13" s="18">
        <f t="shared" si="2"/>
        <v>0.78620689655172415</v>
      </c>
      <c r="O13" s="18">
        <f t="shared" si="2"/>
        <v>0.51724137931034486</v>
      </c>
      <c r="R13" s="10" t="s">
        <v>38</v>
      </c>
      <c r="S13" s="11">
        <f t="shared" si="5"/>
        <v>270</v>
      </c>
      <c r="T13" s="11">
        <f t="shared" si="5"/>
        <v>130</v>
      </c>
      <c r="U13" s="11">
        <f t="shared" si="5"/>
        <v>169</v>
      </c>
      <c r="V13" s="11">
        <f t="shared" si="5"/>
        <v>61</v>
      </c>
      <c r="W13" s="11">
        <f t="shared" si="5"/>
        <v>174.82758620689657</v>
      </c>
      <c r="X13" s="11">
        <f t="shared" si="5"/>
        <v>63.103448275862071</v>
      </c>
      <c r="Y13" s="18">
        <f t="shared" si="6"/>
        <v>0.64750957854406133</v>
      </c>
      <c r="Z13" s="18">
        <f t="shared" si="6"/>
        <v>0.48541114058355439</v>
      </c>
    </row>
    <row r="14" spans="1:26" x14ac:dyDescent="0.3">
      <c r="A14" s="9" t="s">
        <v>106</v>
      </c>
      <c r="B14" s="10" t="s">
        <v>475</v>
      </c>
      <c r="C14" s="10" t="s">
        <v>20</v>
      </c>
      <c r="D14" s="10" t="s">
        <v>38</v>
      </c>
      <c r="E14" s="10" t="s">
        <v>693</v>
      </c>
      <c r="F14" s="10" t="s">
        <v>694</v>
      </c>
      <c r="G14" s="10" t="s">
        <v>696</v>
      </c>
      <c r="H14" s="11">
        <v>18</v>
      </c>
      <c r="I14" s="11">
        <v>9</v>
      </c>
      <c r="J14" s="11">
        <v>2</v>
      </c>
      <c r="K14" s="11">
        <v>0</v>
      </c>
      <c r="L14" s="11">
        <f t="shared" si="1"/>
        <v>2.0689655172413794</v>
      </c>
      <c r="M14" s="11">
        <f t="shared" si="1"/>
        <v>0</v>
      </c>
      <c r="N14" s="18">
        <f t="shared" si="2"/>
        <v>0.1149425287356322</v>
      </c>
      <c r="O14" s="18">
        <f t="shared" si="2"/>
        <v>0</v>
      </c>
      <c r="R14" s="10" t="s">
        <v>32</v>
      </c>
      <c r="S14" s="11">
        <f t="shared" si="5"/>
        <v>378</v>
      </c>
      <c r="T14" s="11">
        <f t="shared" si="5"/>
        <v>182</v>
      </c>
      <c r="U14" s="11">
        <f t="shared" si="5"/>
        <v>267</v>
      </c>
      <c r="V14" s="11">
        <f t="shared" si="5"/>
        <v>71</v>
      </c>
      <c r="W14" s="11">
        <f t="shared" si="5"/>
        <v>276.20689655172413</v>
      </c>
      <c r="X14" s="11">
        <f t="shared" si="5"/>
        <v>73.448275862068968</v>
      </c>
      <c r="Y14" s="18">
        <f t="shared" si="6"/>
        <v>0.73070607553366174</v>
      </c>
      <c r="Z14" s="18">
        <f t="shared" si="6"/>
        <v>0.40356195528609323</v>
      </c>
    </row>
    <row r="15" spans="1:26" x14ac:dyDescent="0.3">
      <c r="A15" s="9" t="s">
        <v>91</v>
      </c>
      <c r="B15" s="10" t="s">
        <v>460</v>
      </c>
      <c r="C15" s="10" t="s">
        <v>20</v>
      </c>
      <c r="D15" s="10" t="s">
        <v>38</v>
      </c>
      <c r="E15" s="10" t="s">
        <v>693</v>
      </c>
      <c r="F15" s="10" t="s">
        <v>694</v>
      </c>
      <c r="G15" s="10" t="s">
        <v>696</v>
      </c>
      <c r="H15" s="11">
        <v>7</v>
      </c>
      <c r="I15" s="11">
        <v>3</v>
      </c>
      <c r="J15" s="11">
        <v>1</v>
      </c>
      <c r="K15" s="11">
        <v>0</v>
      </c>
      <c r="L15" s="11">
        <f t="shared" si="1"/>
        <v>1.0344827586206897</v>
      </c>
      <c r="M15" s="11">
        <f t="shared" si="1"/>
        <v>0</v>
      </c>
      <c r="N15" s="18">
        <f t="shared" si="2"/>
        <v>0.14778325123152711</v>
      </c>
      <c r="O15" s="18">
        <f t="shared" si="2"/>
        <v>0</v>
      </c>
      <c r="R15" s="10" t="s">
        <v>36</v>
      </c>
      <c r="S15" s="11">
        <f t="shared" si="5"/>
        <v>196</v>
      </c>
      <c r="T15" s="11">
        <f t="shared" si="5"/>
        <v>95</v>
      </c>
      <c r="U15" s="11">
        <f t="shared" si="5"/>
        <v>194</v>
      </c>
      <c r="V15" s="11">
        <f t="shared" si="5"/>
        <v>86</v>
      </c>
      <c r="W15" s="11">
        <f t="shared" si="5"/>
        <v>200.68965517241378</v>
      </c>
      <c r="X15" s="11">
        <f t="shared" si="5"/>
        <v>88.965517241379317</v>
      </c>
      <c r="Y15" s="18">
        <f t="shared" si="6"/>
        <v>1.023926812104152</v>
      </c>
      <c r="Z15" s="18">
        <f t="shared" si="6"/>
        <v>0.93647912885662443</v>
      </c>
    </row>
    <row r="16" spans="1:26" x14ac:dyDescent="0.3">
      <c r="A16" s="9" t="s">
        <v>98</v>
      </c>
      <c r="B16" s="10" t="s">
        <v>467</v>
      </c>
      <c r="C16" s="10" t="s">
        <v>20</v>
      </c>
      <c r="D16" s="10" t="s">
        <v>30</v>
      </c>
      <c r="E16" s="10" t="s">
        <v>693</v>
      </c>
      <c r="F16" s="10" t="s">
        <v>694</v>
      </c>
      <c r="G16" s="10" t="s">
        <v>696</v>
      </c>
      <c r="H16" s="11">
        <v>8</v>
      </c>
      <c r="I16" s="11">
        <v>4</v>
      </c>
      <c r="J16" s="11">
        <v>21</v>
      </c>
      <c r="K16" s="11">
        <v>18</v>
      </c>
      <c r="L16" s="11">
        <f t="shared" si="1"/>
        <v>21.724137931034484</v>
      </c>
      <c r="M16" s="11">
        <f t="shared" si="1"/>
        <v>18.620689655172413</v>
      </c>
      <c r="N16" s="18">
        <f t="shared" si="2"/>
        <v>2.7155172413793105</v>
      </c>
      <c r="O16" s="18">
        <f t="shared" si="2"/>
        <v>4.6551724137931032</v>
      </c>
      <c r="R16" s="10" t="s">
        <v>34</v>
      </c>
      <c r="S16" s="11">
        <f t="shared" si="5"/>
        <v>145</v>
      </c>
      <c r="T16" s="11">
        <f t="shared" si="5"/>
        <v>70</v>
      </c>
      <c r="U16" s="11">
        <f t="shared" si="5"/>
        <v>202</v>
      </c>
      <c r="V16" s="11">
        <f t="shared" si="5"/>
        <v>123</v>
      </c>
      <c r="W16" s="11">
        <f t="shared" si="5"/>
        <v>208.96551724137933</v>
      </c>
      <c r="X16" s="11">
        <f t="shared" si="5"/>
        <v>127.24137931034483</v>
      </c>
      <c r="Y16" s="18">
        <f t="shared" si="6"/>
        <v>1.4411414982164092</v>
      </c>
      <c r="Z16" s="18">
        <f t="shared" si="6"/>
        <v>1.8177339901477831</v>
      </c>
    </row>
    <row r="17" spans="1:26" x14ac:dyDescent="0.3">
      <c r="A17" s="9" t="s">
        <v>117</v>
      </c>
      <c r="B17" s="10" t="s">
        <v>485</v>
      </c>
      <c r="C17" s="10" t="s">
        <v>20</v>
      </c>
      <c r="D17" s="10" t="s">
        <v>38</v>
      </c>
      <c r="E17" s="10" t="s">
        <v>693</v>
      </c>
      <c r="F17" s="10" t="s">
        <v>694</v>
      </c>
      <c r="G17" s="10" t="s">
        <v>696</v>
      </c>
      <c r="H17" s="11">
        <v>28</v>
      </c>
      <c r="I17" s="11">
        <v>13</v>
      </c>
      <c r="J17" s="11">
        <v>20</v>
      </c>
      <c r="K17" s="11">
        <v>10</v>
      </c>
      <c r="L17" s="11">
        <f t="shared" si="1"/>
        <v>20.689655172413794</v>
      </c>
      <c r="M17" s="11">
        <f t="shared" si="1"/>
        <v>10.344827586206897</v>
      </c>
      <c r="N17" s="18">
        <f t="shared" si="2"/>
        <v>0.73891625615763545</v>
      </c>
      <c r="O17" s="18">
        <f t="shared" si="2"/>
        <v>0.79575596816976124</v>
      </c>
      <c r="R17" s="10" t="s">
        <v>46</v>
      </c>
      <c r="S17" s="11">
        <f t="shared" si="5"/>
        <v>382</v>
      </c>
      <c r="T17" s="11">
        <f t="shared" si="5"/>
        <v>172</v>
      </c>
      <c r="U17" s="11">
        <f t="shared" si="5"/>
        <v>492</v>
      </c>
      <c r="V17" s="11">
        <f t="shared" si="5"/>
        <v>70</v>
      </c>
      <c r="W17" s="11">
        <f t="shared" si="5"/>
        <v>508.96551724137936</v>
      </c>
      <c r="X17" s="11">
        <f t="shared" si="5"/>
        <v>72.41379310344827</v>
      </c>
      <c r="Y17" s="18">
        <f t="shared" si="6"/>
        <v>1.3323704639826686</v>
      </c>
      <c r="Z17" s="18">
        <f t="shared" si="6"/>
        <v>0.4210104250200481</v>
      </c>
    </row>
    <row r="18" spans="1:26" x14ac:dyDescent="0.3">
      <c r="A18" s="9" t="s">
        <v>252</v>
      </c>
      <c r="B18" s="10" t="s">
        <v>607</v>
      </c>
      <c r="C18" s="10" t="s">
        <v>20</v>
      </c>
      <c r="D18" s="10" t="s">
        <v>38</v>
      </c>
      <c r="E18" s="10" t="s">
        <v>707</v>
      </c>
      <c r="F18" s="10" t="s">
        <v>694</v>
      </c>
      <c r="G18" s="10" t="s">
        <v>696</v>
      </c>
      <c r="H18" s="11">
        <v>31</v>
      </c>
      <c r="I18" s="11">
        <v>15</v>
      </c>
      <c r="J18" s="11">
        <v>14</v>
      </c>
      <c r="K18" s="11">
        <v>4</v>
      </c>
      <c r="L18" s="11">
        <f t="shared" si="1"/>
        <v>14.482758620689657</v>
      </c>
      <c r="M18" s="11">
        <f t="shared" si="1"/>
        <v>4.1379310344827589</v>
      </c>
      <c r="N18" s="18">
        <f t="shared" si="2"/>
        <v>0.46718576195773087</v>
      </c>
      <c r="O18" s="18">
        <f t="shared" si="2"/>
        <v>0.27586206896551724</v>
      </c>
      <c r="R18" s="10" t="s">
        <v>40</v>
      </c>
      <c r="S18" s="11">
        <f t="shared" si="5"/>
        <v>205</v>
      </c>
      <c r="T18" s="11">
        <f t="shared" si="5"/>
        <v>88</v>
      </c>
      <c r="U18" s="11">
        <f t="shared" si="5"/>
        <v>116</v>
      </c>
      <c r="V18" s="11">
        <f t="shared" si="5"/>
        <v>36</v>
      </c>
      <c r="W18" s="11">
        <f t="shared" si="5"/>
        <v>120</v>
      </c>
      <c r="X18" s="11">
        <f t="shared" si="5"/>
        <v>37.241379310344833</v>
      </c>
      <c r="Y18" s="18">
        <f t="shared" si="6"/>
        <v>0.58536585365853655</v>
      </c>
      <c r="Z18" s="18">
        <f t="shared" si="6"/>
        <v>0.42319749216300945</v>
      </c>
    </row>
    <row r="19" spans="1:26" x14ac:dyDescent="0.3">
      <c r="A19" s="9" t="s">
        <v>29</v>
      </c>
      <c r="B19" s="10" t="s">
        <v>410</v>
      </c>
      <c r="C19" s="10" t="s">
        <v>20</v>
      </c>
      <c r="D19" s="10" t="s">
        <v>38</v>
      </c>
      <c r="E19" s="10" t="s">
        <v>693</v>
      </c>
      <c r="F19" s="10" t="s">
        <v>694</v>
      </c>
      <c r="G19" s="10" t="s">
        <v>696</v>
      </c>
      <c r="H19" s="11">
        <v>20</v>
      </c>
      <c r="I19" s="11">
        <v>9</v>
      </c>
      <c r="J19" s="11">
        <v>15</v>
      </c>
      <c r="K19" s="11">
        <v>8</v>
      </c>
      <c r="L19" s="11">
        <f t="shared" si="1"/>
        <v>15.517241379310345</v>
      </c>
      <c r="M19" s="11">
        <f t="shared" si="1"/>
        <v>8.2758620689655178</v>
      </c>
      <c r="N19" s="18">
        <f t="shared" si="2"/>
        <v>0.77586206896551724</v>
      </c>
      <c r="O19" s="18">
        <f t="shared" si="2"/>
        <v>0.91954022988505757</v>
      </c>
      <c r="R19" s="10" t="s">
        <v>30</v>
      </c>
      <c r="S19" s="11">
        <f t="shared" si="5"/>
        <v>307</v>
      </c>
      <c r="T19" s="11">
        <f t="shared" si="5"/>
        <v>150</v>
      </c>
      <c r="U19" s="11">
        <f t="shared" si="5"/>
        <v>426</v>
      </c>
      <c r="V19" s="11">
        <f t="shared" si="5"/>
        <v>341</v>
      </c>
      <c r="W19" s="11">
        <f t="shared" si="5"/>
        <v>440.68965517241372</v>
      </c>
      <c r="X19" s="11">
        <f t="shared" si="5"/>
        <v>352.75862068965517</v>
      </c>
      <c r="Y19" s="18">
        <f t="shared" si="6"/>
        <v>1.4354711894866896</v>
      </c>
      <c r="Z19" s="18">
        <f t="shared" si="6"/>
        <v>2.3517241379310345</v>
      </c>
    </row>
    <row r="20" spans="1:26" x14ac:dyDescent="0.3">
      <c r="A20" s="9" t="s">
        <v>69</v>
      </c>
      <c r="B20" s="10" t="s">
        <v>438</v>
      </c>
      <c r="C20" s="10" t="s">
        <v>20</v>
      </c>
      <c r="D20" s="10" t="s">
        <v>38</v>
      </c>
      <c r="E20" s="10" t="s">
        <v>693</v>
      </c>
      <c r="F20" s="10" t="s">
        <v>694</v>
      </c>
      <c r="G20" s="10" t="s">
        <v>696</v>
      </c>
      <c r="H20" s="11">
        <v>20</v>
      </c>
      <c r="I20" s="11">
        <v>9</v>
      </c>
      <c r="J20" s="11">
        <v>23</v>
      </c>
      <c r="K20" s="11">
        <v>7</v>
      </c>
      <c r="L20" s="11">
        <f t="shared" si="1"/>
        <v>23.793103448275865</v>
      </c>
      <c r="M20" s="11">
        <f t="shared" si="1"/>
        <v>7.2413793103448283</v>
      </c>
      <c r="N20" s="18">
        <f t="shared" si="2"/>
        <v>1.1896551724137931</v>
      </c>
      <c r="O20" s="18">
        <f t="shared" si="2"/>
        <v>0.80459770114942541</v>
      </c>
      <c r="R20" s="10" t="s">
        <v>44</v>
      </c>
      <c r="S20" s="11">
        <f t="shared" si="5"/>
        <v>220</v>
      </c>
      <c r="T20" s="11">
        <f t="shared" si="5"/>
        <v>99</v>
      </c>
      <c r="U20" s="11">
        <f t="shared" si="5"/>
        <v>180</v>
      </c>
      <c r="V20" s="11">
        <f t="shared" si="5"/>
        <v>77</v>
      </c>
      <c r="W20" s="11">
        <f t="shared" si="5"/>
        <v>186.20689655172416</v>
      </c>
      <c r="X20" s="11">
        <f t="shared" si="5"/>
        <v>79.655172413793096</v>
      </c>
      <c r="Y20" s="18">
        <f t="shared" si="6"/>
        <v>0.8463949843260189</v>
      </c>
      <c r="Z20" s="18">
        <f t="shared" si="6"/>
        <v>0.80459770114942519</v>
      </c>
    </row>
    <row r="21" spans="1:26" x14ac:dyDescent="0.3">
      <c r="A21" s="9" t="s">
        <v>105</v>
      </c>
      <c r="B21" s="10" t="s">
        <v>474</v>
      </c>
      <c r="C21" s="10" t="s">
        <v>20</v>
      </c>
      <c r="D21" s="10" t="s">
        <v>32</v>
      </c>
      <c r="E21" s="10" t="s">
        <v>693</v>
      </c>
      <c r="F21" s="10" t="s">
        <v>694</v>
      </c>
      <c r="G21" s="10" t="s">
        <v>696</v>
      </c>
      <c r="H21" s="11">
        <v>31</v>
      </c>
      <c r="I21" s="11">
        <v>15</v>
      </c>
      <c r="J21" s="11">
        <v>22</v>
      </c>
      <c r="K21" s="11">
        <v>2</v>
      </c>
      <c r="L21" s="11">
        <f t="shared" si="1"/>
        <v>22.758620689655171</v>
      </c>
      <c r="M21" s="11">
        <f t="shared" si="1"/>
        <v>2.0689655172413794</v>
      </c>
      <c r="N21" s="18">
        <f t="shared" si="2"/>
        <v>0.73414905450500556</v>
      </c>
      <c r="O21" s="18">
        <f t="shared" si="2"/>
        <v>0.13793103448275862</v>
      </c>
      <c r="R21" s="5" t="s">
        <v>67</v>
      </c>
      <c r="S21" s="13">
        <f>SUM(S10:S20)</f>
        <v>2776</v>
      </c>
      <c r="T21" s="13">
        <f t="shared" ref="T21:X21" si="7">SUM(T10:T20)</f>
        <v>1282</v>
      </c>
      <c r="U21" s="13">
        <f t="shared" si="7"/>
        <v>2586</v>
      </c>
      <c r="V21" s="13">
        <f t="shared" si="7"/>
        <v>1085</v>
      </c>
      <c r="W21" s="13">
        <f t="shared" si="7"/>
        <v>2675.1724137931037</v>
      </c>
      <c r="X21" s="13">
        <f t="shared" si="7"/>
        <v>1122.4137931034481</v>
      </c>
      <c r="Y21" s="14">
        <f t="shared" si="6"/>
        <v>0.96367882341250133</v>
      </c>
      <c r="Z21" s="14">
        <f t="shared" si="6"/>
        <v>0.87551777933186281</v>
      </c>
    </row>
    <row r="22" spans="1:26" x14ac:dyDescent="0.3">
      <c r="A22" s="9" t="s">
        <v>31</v>
      </c>
      <c r="B22" s="10" t="s">
        <v>411</v>
      </c>
      <c r="C22" s="10" t="s">
        <v>20</v>
      </c>
      <c r="D22" s="10" t="s">
        <v>32</v>
      </c>
      <c r="E22" s="10" t="s">
        <v>693</v>
      </c>
      <c r="F22" s="10" t="s">
        <v>694</v>
      </c>
      <c r="G22" s="10" t="s">
        <v>696</v>
      </c>
      <c r="H22" s="11">
        <v>26</v>
      </c>
      <c r="I22" s="11">
        <v>13</v>
      </c>
      <c r="J22" s="11">
        <v>19</v>
      </c>
      <c r="K22" s="11">
        <v>4</v>
      </c>
      <c r="L22" s="11">
        <f t="shared" si="1"/>
        <v>19.655172413793103</v>
      </c>
      <c r="M22" s="11">
        <f t="shared" si="1"/>
        <v>4.1379310344827589</v>
      </c>
      <c r="N22" s="18">
        <f t="shared" si="2"/>
        <v>0.75596816976127323</v>
      </c>
      <c r="O22" s="18">
        <f t="shared" si="2"/>
        <v>0.31830238726790455</v>
      </c>
    </row>
    <row r="23" spans="1:26" x14ac:dyDescent="0.3">
      <c r="A23" s="9" t="s">
        <v>25</v>
      </c>
      <c r="B23" s="10" t="s">
        <v>407</v>
      </c>
      <c r="C23" s="10" t="s">
        <v>20</v>
      </c>
      <c r="D23" s="10" t="s">
        <v>32</v>
      </c>
      <c r="E23" s="10" t="s">
        <v>693</v>
      </c>
      <c r="F23" s="10" t="s">
        <v>694</v>
      </c>
      <c r="G23" s="10" t="s">
        <v>696</v>
      </c>
      <c r="H23" s="11">
        <v>91</v>
      </c>
      <c r="I23" s="11">
        <v>44</v>
      </c>
      <c r="J23" s="11">
        <v>70</v>
      </c>
      <c r="K23" s="11">
        <v>18</v>
      </c>
      <c r="L23" s="11">
        <f t="shared" si="1"/>
        <v>72.41379310344827</v>
      </c>
      <c r="M23" s="11">
        <f t="shared" si="1"/>
        <v>18.620689655172413</v>
      </c>
      <c r="N23" s="18">
        <f t="shared" si="2"/>
        <v>0.79575596816976124</v>
      </c>
      <c r="O23" s="18">
        <f t="shared" si="2"/>
        <v>0.42319749216300939</v>
      </c>
    </row>
    <row r="24" spans="1:26" x14ac:dyDescent="0.3">
      <c r="A24" s="9" t="s">
        <v>70</v>
      </c>
      <c r="B24" s="10" t="s">
        <v>439</v>
      </c>
      <c r="C24" s="10" t="s">
        <v>20</v>
      </c>
      <c r="D24" s="10" t="s">
        <v>32</v>
      </c>
      <c r="E24" s="10" t="s">
        <v>693</v>
      </c>
      <c r="F24" s="10" t="s">
        <v>694</v>
      </c>
      <c r="G24" s="10" t="s">
        <v>696</v>
      </c>
      <c r="H24" s="11">
        <v>25</v>
      </c>
      <c r="I24" s="11">
        <v>12</v>
      </c>
      <c r="J24" s="11">
        <v>21</v>
      </c>
      <c r="K24" s="11">
        <v>4</v>
      </c>
      <c r="L24" s="11">
        <f t="shared" si="1"/>
        <v>21.724137931034484</v>
      </c>
      <c r="M24" s="11">
        <f t="shared" si="1"/>
        <v>4.1379310344827589</v>
      </c>
      <c r="N24" s="18">
        <f t="shared" si="2"/>
        <v>0.86896551724137938</v>
      </c>
      <c r="O24" s="18">
        <f t="shared" si="2"/>
        <v>0.34482758620689657</v>
      </c>
    </row>
    <row r="25" spans="1:26" x14ac:dyDescent="0.3">
      <c r="A25" s="9" t="s">
        <v>142</v>
      </c>
      <c r="B25" s="10" t="s">
        <v>500</v>
      </c>
      <c r="C25" s="10" t="s">
        <v>20</v>
      </c>
      <c r="D25" s="10" t="s">
        <v>32</v>
      </c>
      <c r="E25" s="10" t="s">
        <v>693</v>
      </c>
      <c r="F25" s="10" t="s">
        <v>694</v>
      </c>
      <c r="G25" s="10" t="s">
        <v>696</v>
      </c>
      <c r="H25" s="11">
        <v>34</v>
      </c>
      <c r="I25" s="11">
        <v>16</v>
      </c>
      <c r="J25" s="11">
        <v>22</v>
      </c>
      <c r="K25" s="11">
        <v>3</v>
      </c>
      <c r="L25" s="11">
        <f t="shared" si="1"/>
        <v>22.758620689655171</v>
      </c>
      <c r="M25" s="11">
        <f t="shared" si="1"/>
        <v>3.103448275862069</v>
      </c>
      <c r="N25" s="18">
        <f t="shared" si="2"/>
        <v>0.6693711967545638</v>
      </c>
      <c r="O25" s="18">
        <f t="shared" si="2"/>
        <v>0.19396551724137931</v>
      </c>
    </row>
    <row r="26" spans="1:26" x14ac:dyDescent="0.3">
      <c r="A26" s="9" t="s">
        <v>157</v>
      </c>
      <c r="B26" s="10" t="s">
        <v>515</v>
      </c>
      <c r="C26" s="10" t="s">
        <v>20</v>
      </c>
      <c r="D26" s="10" t="s">
        <v>32</v>
      </c>
      <c r="E26" s="10" t="s">
        <v>693</v>
      </c>
      <c r="F26" s="10" t="s">
        <v>694</v>
      </c>
      <c r="G26" s="10" t="s">
        <v>696</v>
      </c>
      <c r="H26" s="11">
        <v>75</v>
      </c>
      <c r="I26" s="11">
        <v>36</v>
      </c>
      <c r="J26" s="11">
        <v>59</v>
      </c>
      <c r="K26" s="11">
        <v>22</v>
      </c>
      <c r="L26" s="11">
        <f t="shared" si="1"/>
        <v>61.034482758620683</v>
      </c>
      <c r="M26" s="11">
        <f t="shared" si="1"/>
        <v>22.758620689655171</v>
      </c>
      <c r="N26" s="18">
        <f t="shared" si="2"/>
        <v>0.81379310344827582</v>
      </c>
      <c r="O26" s="18">
        <f t="shared" si="2"/>
        <v>0.63218390804597702</v>
      </c>
    </row>
    <row r="27" spans="1:26" x14ac:dyDescent="0.3">
      <c r="A27" s="9" t="s">
        <v>78</v>
      </c>
      <c r="B27" s="10" t="s">
        <v>447</v>
      </c>
      <c r="C27" s="10" t="s">
        <v>20</v>
      </c>
      <c r="D27" s="10" t="s">
        <v>32</v>
      </c>
      <c r="E27" s="10" t="s">
        <v>693</v>
      </c>
      <c r="F27" s="10" t="s">
        <v>694</v>
      </c>
      <c r="G27" s="10" t="s">
        <v>696</v>
      </c>
      <c r="H27" s="11">
        <v>38</v>
      </c>
      <c r="I27" s="11">
        <v>19</v>
      </c>
      <c r="J27" s="11">
        <v>26</v>
      </c>
      <c r="K27" s="11">
        <v>6</v>
      </c>
      <c r="L27" s="11">
        <f t="shared" si="1"/>
        <v>26.896551724137932</v>
      </c>
      <c r="M27" s="11">
        <f t="shared" si="1"/>
        <v>6.2068965517241379</v>
      </c>
      <c r="N27" s="18">
        <f t="shared" si="2"/>
        <v>0.7078039927404719</v>
      </c>
      <c r="O27" s="18">
        <f t="shared" si="2"/>
        <v>0.32667876588021777</v>
      </c>
    </row>
    <row r="28" spans="1:26" x14ac:dyDescent="0.3">
      <c r="A28" s="9" t="s">
        <v>135</v>
      </c>
      <c r="B28" s="10" t="s">
        <v>495</v>
      </c>
      <c r="C28" s="10" t="s">
        <v>20</v>
      </c>
      <c r="D28" s="10" t="s">
        <v>32</v>
      </c>
      <c r="E28" s="10" t="s">
        <v>693</v>
      </c>
      <c r="F28" s="10" t="s">
        <v>694</v>
      </c>
      <c r="G28" s="10" t="s">
        <v>696</v>
      </c>
      <c r="H28" s="11">
        <v>28</v>
      </c>
      <c r="I28" s="11">
        <v>13</v>
      </c>
      <c r="J28" s="11">
        <v>12</v>
      </c>
      <c r="K28" s="11">
        <v>7</v>
      </c>
      <c r="L28" s="11">
        <f t="shared" si="1"/>
        <v>12.413793103448276</v>
      </c>
      <c r="M28" s="11">
        <f t="shared" si="1"/>
        <v>7.2413793103448283</v>
      </c>
      <c r="N28" s="18">
        <f t="shared" si="2"/>
        <v>0.44334975369458129</v>
      </c>
      <c r="O28" s="18">
        <f t="shared" si="2"/>
        <v>0.55702917771883298</v>
      </c>
    </row>
    <row r="29" spans="1:26" x14ac:dyDescent="0.3">
      <c r="A29" s="9" t="s">
        <v>139</v>
      </c>
      <c r="B29" s="10" t="s">
        <v>497</v>
      </c>
      <c r="C29" s="10" t="s">
        <v>20</v>
      </c>
      <c r="D29" s="10" t="s">
        <v>32</v>
      </c>
      <c r="E29" s="10" t="s">
        <v>693</v>
      </c>
      <c r="F29" s="10" t="s">
        <v>694</v>
      </c>
      <c r="G29" s="10" t="s">
        <v>696</v>
      </c>
      <c r="H29" s="11">
        <v>30</v>
      </c>
      <c r="I29" s="11">
        <v>14</v>
      </c>
      <c r="J29" s="11">
        <v>16</v>
      </c>
      <c r="K29" s="11">
        <v>5</v>
      </c>
      <c r="L29" s="11">
        <f t="shared" si="1"/>
        <v>16.551724137931036</v>
      </c>
      <c r="M29" s="11">
        <f t="shared" si="1"/>
        <v>5.1724137931034484</v>
      </c>
      <c r="N29" s="18">
        <f t="shared" si="2"/>
        <v>0.55172413793103448</v>
      </c>
      <c r="O29" s="18">
        <f t="shared" si="2"/>
        <v>0.36945812807881773</v>
      </c>
    </row>
    <row r="30" spans="1:26" x14ac:dyDescent="0.3">
      <c r="A30" s="9" t="s">
        <v>145</v>
      </c>
      <c r="B30" s="10" t="s">
        <v>503</v>
      </c>
      <c r="C30" s="10" t="s">
        <v>20</v>
      </c>
      <c r="D30" s="10" t="s">
        <v>36</v>
      </c>
      <c r="E30" s="10" t="s">
        <v>693</v>
      </c>
      <c r="F30" s="10" t="s">
        <v>694</v>
      </c>
      <c r="G30" s="10" t="s">
        <v>697</v>
      </c>
      <c r="H30" s="11">
        <v>37</v>
      </c>
      <c r="I30" s="11">
        <v>18</v>
      </c>
      <c r="J30" s="11">
        <v>33</v>
      </c>
      <c r="K30" s="11">
        <v>13</v>
      </c>
      <c r="L30" s="11">
        <f t="shared" si="1"/>
        <v>34.137931034482762</v>
      </c>
      <c r="M30" s="11">
        <f t="shared" si="1"/>
        <v>13.448275862068966</v>
      </c>
      <c r="N30" s="18">
        <f t="shared" si="2"/>
        <v>0.92264678471575035</v>
      </c>
      <c r="O30" s="18">
        <f t="shared" si="2"/>
        <v>0.74712643678160928</v>
      </c>
    </row>
    <row r="31" spans="1:26" x14ac:dyDescent="0.3">
      <c r="A31" s="9" t="s">
        <v>97</v>
      </c>
      <c r="B31" s="10" t="s">
        <v>466</v>
      </c>
      <c r="C31" s="10" t="s">
        <v>20</v>
      </c>
      <c r="D31" s="10" t="s">
        <v>36</v>
      </c>
      <c r="E31" s="10" t="s">
        <v>693</v>
      </c>
      <c r="F31" s="10" t="s">
        <v>694</v>
      </c>
      <c r="G31" s="10" t="s">
        <v>697</v>
      </c>
      <c r="H31" s="11">
        <v>31</v>
      </c>
      <c r="I31" s="11">
        <v>15</v>
      </c>
      <c r="J31" s="11">
        <v>21</v>
      </c>
      <c r="K31" s="11">
        <v>4</v>
      </c>
      <c r="L31" s="11">
        <f t="shared" si="1"/>
        <v>21.724137931034484</v>
      </c>
      <c r="M31" s="11">
        <f t="shared" si="1"/>
        <v>4.1379310344827589</v>
      </c>
      <c r="N31" s="18">
        <f t="shared" si="2"/>
        <v>0.70077864293659631</v>
      </c>
      <c r="O31" s="18">
        <f t="shared" si="2"/>
        <v>0.27586206896551724</v>
      </c>
    </row>
    <row r="32" spans="1:26" x14ac:dyDescent="0.3">
      <c r="A32" s="9" t="s">
        <v>27</v>
      </c>
      <c r="B32" s="10" t="s">
        <v>409</v>
      </c>
      <c r="C32" s="10" t="s">
        <v>20</v>
      </c>
      <c r="D32" s="10" t="s">
        <v>36</v>
      </c>
      <c r="E32" s="10" t="s">
        <v>693</v>
      </c>
      <c r="F32" s="10" t="s">
        <v>694</v>
      </c>
      <c r="G32" s="10" t="s">
        <v>697</v>
      </c>
      <c r="H32" s="11">
        <v>44</v>
      </c>
      <c r="I32" s="11">
        <v>21</v>
      </c>
      <c r="J32" s="11">
        <v>47</v>
      </c>
      <c r="K32" s="11">
        <v>20</v>
      </c>
      <c r="L32" s="11">
        <f t="shared" si="1"/>
        <v>48.620689655172413</v>
      </c>
      <c r="M32" s="11">
        <f t="shared" si="1"/>
        <v>20.689655172413794</v>
      </c>
      <c r="N32" s="18">
        <f t="shared" si="2"/>
        <v>1.1050156739811912</v>
      </c>
      <c r="O32" s="18">
        <f t="shared" si="2"/>
        <v>0.98522167487684731</v>
      </c>
    </row>
    <row r="33" spans="1:15" x14ac:dyDescent="0.3">
      <c r="A33" s="9" t="s">
        <v>64</v>
      </c>
      <c r="B33" s="10" t="s">
        <v>435</v>
      </c>
      <c r="C33" s="10" t="s">
        <v>20</v>
      </c>
      <c r="D33" s="10" t="s">
        <v>34</v>
      </c>
      <c r="E33" s="10" t="s">
        <v>693</v>
      </c>
      <c r="F33" s="10" t="s">
        <v>694</v>
      </c>
      <c r="G33" s="10" t="s">
        <v>697</v>
      </c>
      <c r="H33" s="11">
        <v>21</v>
      </c>
      <c r="I33" s="11">
        <v>11</v>
      </c>
      <c r="J33" s="11">
        <v>24</v>
      </c>
      <c r="K33" s="11">
        <v>10</v>
      </c>
      <c r="L33" s="11">
        <f t="shared" si="1"/>
        <v>24.827586206896552</v>
      </c>
      <c r="M33" s="11">
        <f t="shared" si="1"/>
        <v>10.344827586206897</v>
      </c>
      <c r="N33" s="18">
        <f t="shared" si="2"/>
        <v>1.1822660098522166</v>
      </c>
      <c r="O33" s="18">
        <f t="shared" si="2"/>
        <v>0.94043887147335425</v>
      </c>
    </row>
    <row r="34" spans="1:15" x14ac:dyDescent="0.3">
      <c r="A34" s="9" t="s">
        <v>259</v>
      </c>
      <c r="B34" s="10" t="s">
        <v>614</v>
      </c>
      <c r="C34" s="10" t="s">
        <v>20</v>
      </c>
      <c r="D34" s="10" t="s">
        <v>34</v>
      </c>
      <c r="E34" s="10" t="s">
        <v>707</v>
      </c>
      <c r="F34" s="10" t="s">
        <v>694</v>
      </c>
      <c r="G34" s="10" t="s">
        <v>697</v>
      </c>
      <c r="H34" s="11">
        <v>2</v>
      </c>
      <c r="I34" s="11">
        <v>1</v>
      </c>
      <c r="J34" s="11">
        <v>0</v>
      </c>
      <c r="K34" s="11">
        <v>0</v>
      </c>
      <c r="L34" s="11">
        <f t="shared" si="1"/>
        <v>0</v>
      </c>
      <c r="M34" s="11">
        <f t="shared" si="1"/>
        <v>0</v>
      </c>
      <c r="N34" s="18">
        <f t="shared" si="2"/>
        <v>0</v>
      </c>
      <c r="O34" s="18">
        <f t="shared" si="2"/>
        <v>0</v>
      </c>
    </row>
    <row r="35" spans="1:15" x14ac:dyDescent="0.3">
      <c r="A35" s="9" t="s">
        <v>59</v>
      </c>
      <c r="B35" s="10" t="s">
        <v>430</v>
      </c>
      <c r="C35" s="10" t="s">
        <v>20</v>
      </c>
      <c r="D35" s="10" t="s">
        <v>36</v>
      </c>
      <c r="E35" s="10" t="s">
        <v>693</v>
      </c>
      <c r="F35" s="10" t="s">
        <v>694</v>
      </c>
      <c r="G35" s="10" t="s">
        <v>697</v>
      </c>
      <c r="H35" s="11">
        <v>17</v>
      </c>
      <c r="I35" s="11">
        <v>9</v>
      </c>
      <c r="J35" s="11">
        <v>23</v>
      </c>
      <c r="K35" s="11">
        <v>9</v>
      </c>
      <c r="L35" s="11">
        <f t="shared" si="1"/>
        <v>23.793103448275865</v>
      </c>
      <c r="M35" s="11">
        <f t="shared" si="1"/>
        <v>9.3103448275862064</v>
      </c>
      <c r="N35" s="18">
        <f t="shared" si="2"/>
        <v>1.3995943204868155</v>
      </c>
      <c r="O35" s="18">
        <f t="shared" si="2"/>
        <v>1.0344827586206895</v>
      </c>
    </row>
    <row r="36" spans="1:15" x14ac:dyDescent="0.3">
      <c r="A36" s="9" t="s">
        <v>250</v>
      </c>
      <c r="B36" s="10" t="s">
        <v>605</v>
      </c>
      <c r="C36" s="10" t="s">
        <v>20</v>
      </c>
      <c r="D36" s="10" t="s">
        <v>36</v>
      </c>
      <c r="E36" s="10" t="s">
        <v>708</v>
      </c>
      <c r="F36" s="10" t="s">
        <v>694</v>
      </c>
      <c r="G36" s="10" t="s">
        <v>697</v>
      </c>
      <c r="H36" s="11">
        <v>15</v>
      </c>
      <c r="I36" s="11">
        <v>7</v>
      </c>
      <c r="J36" s="11">
        <v>7</v>
      </c>
      <c r="K36" s="11">
        <v>2</v>
      </c>
      <c r="L36" s="11">
        <f t="shared" si="1"/>
        <v>7.2413793103448283</v>
      </c>
      <c r="M36" s="11">
        <f t="shared" si="1"/>
        <v>2.0689655172413794</v>
      </c>
      <c r="N36" s="18">
        <f t="shared" si="2"/>
        <v>0.48275862068965519</v>
      </c>
      <c r="O36" s="18">
        <f t="shared" si="2"/>
        <v>0.29556650246305421</v>
      </c>
    </row>
    <row r="37" spans="1:15" x14ac:dyDescent="0.3">
      <c r="A37" s="9" t="s">
        <v>120</v>
      </c>
      <c r="B37" s="10" t="s">
        <v>487</v>
      </c>
      <c r="C37" s="10" t="s">
        <v>20</v>
      </c>
      <c r="D37" s="10" t="s">
        <v>36</v>
      </c>
      <c r="E37" s="10" t="s">
        <v>693</v>
      </c>
      <c r="F37" s="10" t="s">
        <v>694</v>
      </c>
      <c r="G37" s="10" t="s">
        <v>697</v>
      </c>
      <c r="H37" s="11">
        <v>26</v>
      </c>
      <c r="I37" s="11">
        <v>13</v>
      </c>
      <c r="J37" s="11">
        <v>12</v>
      </c>
      <c r="K37" s="11">
        <v>1</v>
      </c>
      <c r="L37" s="11">
        <f t="shared" si="1"/>
        <v>12.413793103448276</v>
      </c>
      <c r="M37" s="11">
        <f t="shared" si="1"/>
        <v>1.0344827586206897</v>
      </c>
      <c r="N37" s="18">
        <f t="shared" si="2"/>
        <v>0.47745358090185674</v>
      </c>
      <c r="O37" s="18">
        <f t="shared" si="2"/>
        <v>7.9575596816976138E-2</v>
      </c>
    </row>
    <row r="38" spans="1:15" x14ac:dyDescent="0.3">
      <c r="A38" s="9" t="s">
        <v>121</v>
      </c>
      <c r="B38" s="10" t="s">
        <v>488</v>
      </c>
      <c r="C38" s="10" t="s">
        <v>20</v>
      </c>
      <c r="D38" s="10" t="s">
        <v>36</v>
      </c>
      <c r="E38" s="10" t="s">
        <v>693</v>
      </c>
      <c r="F38" s="10" t="s">
        <v>694</v>
      </c>
      <c r="G38" s="10" t="s">
        <v>697</v>
      </c>
      <c r="H38" s="11">
        <v>2</v>
      </c>
      <c r="I38" s="11">
        <v>1</v>
      </c>
      <c r="J38" s="11">
        <v>2</v>
      </c>
      <c r="K38" s="11">
        <v>2</v>
      </c>
      <c r="L38" s="11">
        <f t="shared" si="1"/>
        <v>2.0689655172413794</v>
      </c>
      <c r="M38" s="11">
        <f t="shared" si="1"/>
        <v>2.0689655172413794</v>
      </c>
      <c r="N38" s="18">
        <f t="shared" si="2"/>
        <v>1.0344827586206897</v>
      </c>
      <c r="O38" s="18">
        <f t="shared" si="2"/>
        <v>2.0689655172413794</v>
      </c>
    </row>
    <row r="39" spans="1:15" x14ac:dyDescent="0.3">
      <c r="A39" s="9" t="s">
        <v>222</v>
      </c>
      <c r="B39" s="10" t="s">
        <v>580</v>
      </c>
      <c r="C39" s="10" t="s">
        <v>20</v>
      </c>
      <c r="D39" s="10" t="s">
        <v>36</v>
      </c>
      <c r="E39" s="10" t="s">
        <v>693</v>
      </c>
      <c r="F39" s="10" t="s">
        <v>694</v>
      </c>
      <c r="G39" s="10" t="s">
        <v>697</v>
      </c>
      <c r="H39" s="11">
        <v>2</v>
      </c>
      <c r="I39" s="11">
        <v>1</v>
      </c>
      <c r="J39" s="11">
        <v>0</v>
      </c>
      <c r="K39" s="11">
        <v>0</v>
      </c>
      <c r="L39" s="11">
        <f t="shared" si="1"/>
        <v>0</v>
      </c>
      <c r="M39" s="11">
        <f t="shared" si="1"/>
        <v>0</v>
      </c>
      <c r="N39" s="18">
        <f t="shared" si="2"/>
        <v>0</v>
      </c>
      <c r="O39" s="18">
        <f t="shared" si="2"/>
        <v>0</v>
      </c>
    </row>
    <row r="40" spans="1:15" x14ac:dyDescent="0.3">
      <c r="A40" s="9" t="s">
        <v>77</v>
      </c>
      <c r="B40" s="10" t="s">
        <v>446</v>
      </c>
      <c r="C40" s="10" t="s">
        <v>20</v>
      </c>
      <c r="D40" s="10" t="s">
        <v>36</v>
      </c>
      <c r="E40" s="10" t="s">
        <v>693</v>
      </c>
      <c r="F40" s="10" t="s">
        <v>694</v>
      </c>
      <c r="G40" s="10" t="s">
        <v>697</v>
      </c>
      <c r="H40" s="11">
        <v>2</v>
      </c>
      <c r="I40" s="11">
        <v>1</v>
      </c>
      <c r="J40" s="11">
        <v>0</v>
      </c>
      <c r="K40" s="11">
        <v>0</v>
      </c>
      <c r="L40" s="11">
        <f t="shared" si="1"/>
        <v>0</v>
      </c>
      <c r="M40" s="11">
        <f t="shared" si="1"/>
        <v>0</v>
      </c>
      <c r="N40" s="18">
        <f t="shared" si="2"/>
        <v>0</v>
      </c>
      <c r="O40" s="18">
        <f t="shared" si="2"/>
        <v>0</v>
      </c>
    </row>
    <row r="41" spans="1:15" x14ac:dyDescent="0.3">
      <c r="A41" s="9" t="s">
        <v>126</v>
      </c>
      <c r="B41" s="10" t="s">
        <v>492</v>
      </c>
      <c r="C41" s="10" t="s">
        <v>20</v>
      </c>
      <c r="D41" s="10" t="s">
        <v>34</v>
      </c>
      <c r="E41" s="10" t="s">
        <v>693</v>
      </c>
      <c r="F41" s="10" t="s">
        <v>694</v>
      </c>
      <c r="G41" s="10" t="s">
        <v>697</v>
      </c>
      <c r="H41" s="11">
        <v>28</v>
      </c>
      <c r="I41" s="11">
        <v>13</v>
      </c>
      <c r="J41" s="11">
        <v>29</v>
      </c>
      <c r="K41" s="11">
        <v>13</v>
      </c>
      <c r="L41" s="11">
        <f t="shared" si="1"/>
        <v>30</v>
      </c>
      <c r="M41" s="11">
        <f t="shared" si="1"/>
        <v>13.448275862068966</v>
      </c>
      <c r="N41" s="18">
        <f t="shared" si="2"/>
        <v>1.0714285714285714</v>
      </c>
      <c r="O41" s="18">
        <f t="shared" si="2"/>
        <v>1.0344827586206897</v>
      </c>
    </row>
    <row r="42" spans="1:15" x14ac:dyDescent="0.3">
      <c r="A42" s="9" t="s">
        <v>287</v>
      </c>
      <c r="B42" s="10" t="s">
        <v>642</v>
      </c>
      <c r="C42" s="10" t="s">
        <v>20</v>
      </c>
      <c r="D42" s="10" t="s">
        <v>34</v>
      </c>
      <c r="E42" s="10" t="s">
        <v>708</v>
      </c>
      <c r="F42" s="10" t="s">
        <v>694</v>
      </c>
      <c r="G42" s="10" t="s">
        <v>697</v>
      </c>
      <c r="H42" s="11">
        <v>1</v>
      </c>
      <c r="I42" s="11">
        <v>0</v>
      </c>
      <c r="J42" s="11">
        <v>0</v>
      </c>
      <c r="K42" s="11">
        <v>0</v>
      </c>
      <c r="L42" s="11">
        <f t="shared" si="1"/>
        <v>0</v>
      </c>
      <c r="M42" s="11">
        <f t="shared" si="1"/>
        <v>0</v>
      </c>
      <c r="N42" s="18">
        <f t="shared" si="2"/>
        <v>0</v>
      </c>
      <c r="O42" s="18">
        <f t="shared" si="2"/>
        <v>0</v>
      </c>
    </row>
    <row r="43" spans="1:15" x14ac:dyDescent="0.3">
      <c r="A43" s="9" t="s">
        <v>159</v>
      </c>
      <c r="B43" s="10" t="s">
        <v>517</v>
      </c>
      <c r="C43" s="10" t="s">
        <v>20</v>
      </c>
      <c r="D43" s="10" t="s">
        <v>34</v>
      </c>
      <c r="E43" s="10" t="s">
        <v>693</v>
      </c>
      <c r="F43" s="10" t="s">
        <v>694</v>
      </c>
      <c r="G43" s="10" t="s">
        <v>697</v>
      </c>
      <c r="H43" s="11">
        <v>1</v>
      </c>
      <c r="I43" s="11">
        <v>0</v>
      </c>
      <c r="J43" s="11">
        <v>13</v>
      </c>
      <c r="K43" s="11">
        <v>12</v>
      </c>
      <c r="L43" s="11">
        <f t="shared" si="1"/>
        <v>13.448275862068966</v>
      </c>
      <c r="M43" s="11">
        <f t="shared" si="1"/>
        <v>12.413793103448276</v>
      </c>
      <c r="N43" s="18">
        <f t="shared" si="2"/>
        <v>13.448275862068966</v>
      </c>
      <c r="O43" s="18">
        <f t="shared" si="2"/>
        <v>0</v>
      </c>
    </row>
    <row r="44" spans="1:15" x14ac:dyDescent="0.3">
      <c r="A44" s="9" t="s">
        <v>137</v>
      </c>
      <c r="B44" s="10" t="s">
        <v>496</v>
      </c>
      <c r="C44" s="10" t="s">
        <v>20</v>
      </c>
      <c r="D44" s="10" t="s">
        <v>34</v>
      </c>
      <c r="E44" s="10" t="s">
        <v>693</v>
      </c>
      <c r="F44" s="10" t="s">
        <v>694</v>
      </c>
      <c r="G44" s="10" t="s">
        <v>697</v>
      </c>
      <c r="H44" s="11">
        <v>2</v>
      </c>
      <c r="I44" s="11">
        <v>1</v>
      </c>
      <c r="J44" s="11">
        <v>2</v>
      </c>
      <c r="K44" s="11">
        <v>2</v>
      </c>
      <c r="L44" s="11">
        <f t="shared" si="1"/>
        <v>2.0689655172413794</v>
      </c>
      <c r="M44" s="11">
        <f t="shared" si="1"/>
        <v>2.0689655172413794</v>
      </c>
      <c r="N44" s="18">
        <f t="shared" si="2"/>
        <v>1.0344827586206897</v>
      </c>
      <c r="O44" s="18">
        <f t="shared" si="2"/>
        <v>2.0689655172413794</v>
      </c>
    </row>
    <row r="45" spans="1:15" x14ac:dyDescent="0.3">
      <c r="A45" s="9" t="s">
        <v>71</v>
      </c>
      <c r="B45" s="10" t="s">
        <v>440</v>
      </c>
      <c r="C45" s="10" t="s">
        <v>20</v>
      </c>
      <c r="D45" s="10" t="s">
        <v>36</v>
      </c>
      <c r="E45" s="10" t="s">
        <v>693</v>
      </c>
      <c r="F45" s="10" t="s">
        <v>694</v>
      </c>
      <c r="G45" s="10" t="s">
        <v>697</v>
      </c>
      <c r="H45" s="11">
        <v>20</v>
      </c>
      <c r="I45" s="11">
        <v>9</v>
      </c>
      <c r="J45" s="11">
        <v>49</v>
      </c>
      <c r="K45" s="11">
        <v>35</v>
      </c>
      <c r="L45" s="11">
        <f t="shared" si="1"/>
        <v>50.689655172413794</v>
      </c>
      <c r="M45" s="11">
        <f t="shared" si="1"/>
        <v>36.206896551724135</v>
      </c>
      <c r="N45" s="18">
        <f t="shared" si="2"/>
        <v>2.5344827586206895</v>
      </c>
      <c r="O45" s="18">
        <f t="shared" si="2"/>
        <v>4.0229885057471257</v>
      </c>
    </row>
    <row r="46" spans="1:15" x14ac:dyDescent="0.3">
      <c r="A46" s="9" t="s">
        <v>95</v>
      </c>
      <c r="B46" s="10" t="s">
        <v>464</v>
      </c>
      <c r="C46" s="10" t="s">
        <v>20</v>
      </c>
      <c r="D46" s="10" t="s">
        <v>34</v>
      </c>
      <c r="E46" s="10" t="s">
        <v>693</v>
      </c>
      <c r="F46" s="10" t="s">
        <v>694</v>
      </c>
      <c r="G46" s="10" t="s">
        <v>697</v>
      </c>
      <c r="H46" s="11">
        <v>15</v>
      </c>
      <c r="I46" s="11">
        <v>7</v>
      </c>
      <c r="J46" s="11">
        <v>17</v>
      </c>
      <c r="K46" s="11">
        <v>5</v>
      </c>
      <c r="L46" s="11">
        <f t="shared" si="1"/>
        <v>17.586206896551722</v>
      </c>
      <c r="M46" s="11">
        <f t="shared" si="1"/>
        <v>5.1724137931034484</v>
      </c>
      <c r="N46" s="18">
        <f t="shared" si="2"/>
        <v>1.1724137931034482</v>
      </c>
      <c r="O46" s="18">
        <f t="shared" si="2"/>
        <v>0.73891625615763545</v>
      </c>
    </row>
    <row r="47" spans="1:15" x14ac:dyDescent="0.3">
      <c r="A47" s="9" t="s">
        <v>119</v>
      </c>
      <c r="B47" s="10" t="s">
        <v>486</v>
      </c>
      <c r="C47" s="10" t="s">
        <v>20</v>
      </c>
      <c r="D47" s="10" t="s">
        <v>34</v>
      </c>
      <c r="E47" s="10" t="s">
        <v>693</v>
      </c>
      <c r="F47" s="10" t="s">
        <v>694</v>
      </c>
      <c r="G47" s="10" t="s">
        <v>697</v>
      </c>
      <c r="H47" s="11">
        <v>13</v>
      </c>
      <c r="I47" s="11">
        <v>6</v>
      </c>
      <c r="J47" s="11">
        <v>22</v>
      </c>
      <c r="K47" s="11">
        <v>11</v>
      </c>
      <c r="L47" s="11">
        <f t="shared" si="1"/>
        <v>22.758620689655171</v>
      </c>
      <c r="M47" s="11">
        <f t="shared" si="1"/>
        <v>11.379310344827585</v>
      </c>
      <c r="N47" s="18">
        <f t="shared" si="2"/>
        <v>1.7506631299734747</v>
      </c>
      <c r="O47" s="18">
        <f t="shared" si="2"/>
        <v>1.8965517241379308</v>
      </c>
    </row>
    <row r="48" spans="1:15" x14ac:dyDescent="0.3">
      <c r="A48" s="9" t="s">
        <v>62</v>
      </c>
      <c r="B48" s="10" t="s">
        <v>433</v>
      </c>
      <c r="C48" s="10" t="s">
        <v>20</v>
      </c>
      <c r="D48" s="10" t="s">
        <v>34</v>
      </c>
      <c r="E48" s="10" t="s">
        <v>693</v>
      </c>
      <c r="F48" s="10" t="s">
        <v>694</v>
      </c>
      <c r="G48" s="10" t="s">
        <v>697</v>
      </c>
      <c r="H48" s="11">
        <v>17</v>
      </c>
      <c r="I48" s="11">
        <v>9</v>
      </c>
      <c r="J48" s="11">
        <v>48</v>
      </c>
      <c r="K48" s="11">
        <v>38</v>
      </c>
      <c r="L48" s="11">
        <f t="shared" si="1"/>
        <v>49.655172413793103</v>
      </c>
      <c r="M48" s="11">
        <f t="shared" si="1"/>
        <v>39.310344827586206</v>
      </c>
      <c r="N48" s="18">
        <f t="shared" si="2"/>
        <v>2.920892494929006</v>
      </c>
      <c r="O48" s="18">
        <f t="shared" si="2"/>
        <v>4.3678160919540225</v>
      </c>
    </row>
    <row r="49" spans="1:15" x14ac:dyDescent="0.3">
      <c r="A49" s="9" t="s">
        <v>26</v>
      </c>
      <c r="B49" s="10" t="s">
        <v>408</v>
      </c>
      <c r="C49" s="10" t="s">
        <v>20</v>
      </c>
      <c r="D49" s="10" t="s">
        <v>34</v>
      </c>
      <c r="E49" s="10" t="s">
        <v>693</v>
      </c>
      <c r="F49" s="10" t="s">
        <v>694</v>
      </c>
      <c r="G49" s="10" t="s">
        <v>697</v>
      </c>
      <c r="H49" s="11">
        <v>45</v>
      </c>
      <c r="I49" s="11">
        <v>22</v>
      </c>
      <c r="J49" s="11">
        <v>47</v>
      </c>
      <c r="K49" s="11">
        <v>32</v>
      </c>
      <c r="L49" s="11">
        <f t="shared" si="1"/>
        <v>48.620689655172413</v>
      </c>
      <c r="M49" s="11">
        <f t="shared" si="1"/>
        <v>33.103448275862071</v>
      </c>
      <c r="N49" s="18">
        <f t="shared" si="2"/>
        <v>1.0804597701149425</v>
      </c>
      <c r="O49" s="18">
        <f t="shared" si="2"/>
        <v>1.5047021943573669</v>
      </c>
    </row>
    <row r="50" spans="1:15" x14ac:dyDescent="0.3">
      <c r="A50" s="9" t="s">
        <v>72</v>
      </c>
      <c r="B50" s="10" t="s">
        <v>441</v>
      </c>
      <c r="C50" s="10" t="s">
        <v>20</v>
      </c>
      <c r="D50" s="10" t="s">
        <v>30</v>
      </c>
      <c r="E50" s="10" t="s">
        <v>693</v>
      </c>
      <c r="F50" s="10" t="s">
        <v>694</v>
      </c>
      <c r="G50" s="10" t="s">
        <v>696</v>
      </c>
      <c r="H50" s="11">
        <v>34</v>
      </c>
      <c r="I50" s="11">
        <v>16</v>
      </c>
      <c r="J50" s="11">
        <v>39</v>
      </c>
      <c r="K50" s="11">
        <v>29</v>
      </c>
      <c r="L50" s="11">
        <f t="shared" si="1"/>
        <v>40.344827586206897</v>
      </c>
      <c r="M50" s="11">
        <f t="shared" si="1"/>
        <v>30</v>
      </c>
      <c r="N50" s="18">
        <f t="shared" si="2"/>
        <v>1.1866125760649087</v>
      </c>
      <c r="O50" s="18">
        <f t="shared" si="2"/>
        <v>1.875</v>
      </c>
    </row>
    <row r="51" spans="1:15" x14ac:dyDescent="0.3">
      <c r="A51" s="9" t="s">
        <v>23</v>
      </c>
      <c r="B51" s="10" t="s">
        <v>406</v>
      </c>
      <c r="C51" s="10" t="s">
        <v>20</v>
      </c>
      <c r="D51" s="10" t="s">
        <v>30</v>
      </c>
      <c r="E51" s="10" t="s">
        <v>693</v>
      </c>
      <c r="F51" s="10" t="s">
        <v>694</v>
      </c>
      <c r="G51" s="10" t="s">
        <v>696</v>
      </c>
      <c r="H51" s="11">
        <v>48</v>
      </c>
      <c r="I51" s="11">
        <v>24</v>
      </c>
      <c r="J51" s="11">
        <v>55</v>
      </c>
      <c r="K51" s="11">
        <v>44</v>
      </c>
      <c r="L51" s="11">
        <f t="shared" si="1"/>
        <v>56.896551724137929</v>
      </c>
      <c r="M51" s="11">
        <f t="shared" si="1"/>
        <v>45.517241379310342</v>
      </c>
      <c r="N51" s="18">
        <f t="shared" si="2"/>
        <v>1.1853448275862069</v>
      </c>
      <c r="O51" s="18">
        <f t="shared" si="2"/>
        <v>1.8965517241379308</v>
      </c>
    </row>
    <row r="52" spans="1:15" x14ac:dyDescent="0.3">
      <c r="A52" s="9" t="s">
        <v>162</v>
      </c>
      <c r="B52" s="10" t="s">
        <v>520</v>
      </c>
      <c r="C52" s="10" t="s">
        <v>20</v>
      </c>
      <c r="D52" s="10" t="s">
        <v>30</v>
      </c>
      <c r="E52" s="10" t="s">
        <v>693</v>
      </c>
      <c r="F52" s="10" t="s">
        <v>694</v>
      </c>
      <c r="G52" s="10" t="s">
        <v>696</v>
      </c>
      <c r="H52" s="11">
        <v>60</v>
      </c>
      <c r="I52" s="11">
        <v>29</v>
      </c>
      <c r="J52" s="11">
        <v>104</v>
      </c>
      <c r="K52" s="11">
        <v>93</v>
      </c>
      <c r="L52" s="11">
        <f t="shared" si="1"/>
        <v>107.58620689655173</v>
      </c>
      <c r="M52" s="11">
        <f t="shared" si="1"/>
        <v>96.206896551724142</v>
      </c>
      <c r="N52" s="18">
        <f t="shared" si="2"/>
        <v>1.7931034482758621</v>
      </c>
      <c r="O52" s="18">
        <f t="shared" si="2"/>
        <v>3.3174791914387636</v>
      </c>
    </row>
    <row r="53" spans="1:15" x14ac:dyDescent="0.3">
      <c r="A53" s="9" t="s">
        <v>251</v>
      </c>
      <c r="B53" s="10" t="s">
        <v>606</v>
      </c>
      <c r="C53" s="10" t="s">
        <v>20</v>
      </c>
      <c r="D53" s="10" t="s">
        <v>30</v>
      </c>
      <c r="E53" s="10" t="s">
        <v>707</v>
      </c>
      <c r="F53" s="10" t="s">
        <v>694</v>
      </c>
      <c r="G53" s="10" t="s">
        <v>696</v>
      </c>
      <c r="H53" s="11">
        <v>1</v>
      </c>
      <c r="I53" s="11">
        <v>1</v>
      </c>
      <c r="J53" s="11">
        <v>1</v>
      </c>
      <c r="K53" s="11">
        <v>0</v>
      </c>
      <c r="L53" s="11">
        <f t="shared" si="1"/>
        <v>1.0344827586206897</v>
      </c>
      <c r="M53" s="11">
        <f t="shared" si="1"/>
        <v>0</v>
      </c>
      <c r="N53" s="18">
        <f t="shared" si="2"/>
        <v>1.0344827586206897</v>
      </c>
      <c r="O53" s="18">
        <f t="shared" si="2"/>
        <v>0</v>
      </c>
    </row>
    <row r="54" spans="1:15" x14ac:dyDescent="0.3">
      <c r="A54" s="9" t="s">
        <v>21</v>
      </c>
      <c r="B54" s="10" t="s">
        <v>405</v>
      </c>
      <c r="C54" s="10" t="s">
        <v>20</v>
      </c>
      <c r="D54" s="10" t="s">
        <v>30</v>
      </c>
      <c r="E54" s="10" t="s">
        <v>693</v>
      </c>
      <c r="F54" s="10" t="s">
        <v>694</v>
      </c>
      <c r="G54" s="10" t="s">
        <v>696</v>
      </c>
      <c r="H54" s="11">
        <v>29</v>
      </c>
      <c r="I54" s="11">
        <v>14</v>
      </c>
      <c r="J54" s="11">
        <v>50</v>
      </c>
      <c r="K54" s="11">
        <v>44</v>
      </c>
      <c r="L54" s="11">
        <f t="shared" si="1"/>
        <v>51.724137931034477</v>
      </c>
      <c r="M54" s="11">
        <f t="shared" si="1"/>
        <v>45.517241379310342</v>
      </c>
      <c r="N54" s="18">
        <f t="shared" si="2"/>
        <v>1.7835909631391198</v>
      </c>
      <c r="O54" s="18">
        <f t="shared" si="2"/>
        <v>3.2512315270935956</v>
      </c>
    </row>
    <row r="55" spans="1:15" x14ac:dyDescent="0.3">
      <c r="A55" s="9" t="s">
        <v>220</v>
      </c>
      <c r="B55" s="10" t="s">
        <v>578</v>
      </c>
      <c r="C55" s="10" t="s">
        <v>20</v>
      </c>
      <c r="D55" s="10" t="s">
        <v>30</v>
      </c>
      <c r="E55" s="10" t="s">
        <v>693</v>
      </c>
      <c r="F55" s="10" t="s">
        <v>694</v>
      </c>
      <c r="G55" s="10" t="s">
        <v>696</v>
      </c>
      <c r="H55" s="11">
        <v>6</v>
      </c>
      <c r="I55" s="11">
        <v>3</v>
      </c>
      <c r="J55" s="11">
        <v>15</v>
      </c>
      <c r="K55" s="11">
        <v>15</v>
      </c>
      <c r="L55" s="11">
        <f t="shared" si="1"/>
        <v>15.517241379310345</v>
      </c>
      <c r="M55" s="11">
        <f t="shared" si="1"/>
        <v>15.517241379310345</v>
      </c>
      <c r="N55" s="18">
        <f t="shared" si="2"/>
        <v>2.5862068965517242</v>
      </c>
      <c r="O55" s="18">
        <f t="shared" si="2"/>
        <v>5.1724137931034484</v>
      </c>
    </row>
    <row r="56" spans="1:15" x14ac:dyDescent="0.3">
      <c r="A56" s="9" t="s">
        <v>150</v>
      </c>
      <c r="B56" s="10" t="s">
        <v>508</v>
      </c>
      <c r="C56" s="10" t="s">
        <v>20</v>
      </c>
      <c r="D56" s="10" t="s">
        <v>30</v>
      </c>
      <c r="E56" s="10" t="s">
        <v>693</v>
      </c>
      <c r="F56" s="10" t="s">
        <v>694</v>
      </c>
      <c r="G56" s="10" t="s">
        <v>696</v>
      </c>
      <c r="H56" s="11">
        <v>34</v>
      </c>
      <c r="I56" s="11">
        <v>16</v>
      </c>
      <c r="J56" s="11">
        <v>40</v>
      </c>
      <c r="K56" s="11">
        <v>26</v>
      </c>
      <c r="L56" s="11">
        <f t="shared" si="1"/>
        <v>41.379310344827587</v>
      </c>
      <c r="M56" s="11">
        <f t="shared" si="1"/>
        <v>26.896551724137932</v>
      </c>
      <c r="N56" s="18">
        <f t="shared" si="2"/>
        <v>1.2170385395537526</v>
      </c>
      <c r="O56" s="18">
        <f t="shared" si="2"/>
        <v>1.6810344827586208</v>
      </c>
    </row>
    <row r="57" spans="1:15" x14ac:dyDescent="0.3">
      <c r="A57" s="9" t="s">
        <v>113</v>
      </c>
      <c r="B57" s="10" t="s">
        <v>482</v>
      </c>
      <c r="C57" s="10" t="s">
        <v>20</v>
      </c>
      <c r="D57" s="10" t="s">
        <v>30</v>
      </c>
      <c r="E57" s="10" t="s">
        <v>693</v>
      </c>
      <c r="F57" s="10" t="s">
        <v>694</v>
      </c>
      <c r="G57" s="10" t="s">
        <v>696</v>
      </c>
      <c r="H57" s="11">
        <v>2</v>
      </c>
      <c r="I57" s="11">
        <v>1</v>
      </c>
      <c r="J57" s="11">
        <v>12</v>
      </c>
      <c r="K57" s="11">
        <v>11</v>
      </c>
      <c r="L57" s="11">
        <f t="shared" si="1"/>
        <v>12.413793103448276</v>
      </c>
      <c r="M57" s="11">
        <f t="shared" si="1"/>
        <v>11.379310344827585</v>
      </c>
      <c r="N57" s="18">
        <f t="shared" si="2"/>
        <v>6.2068965517241379</v>
      </c>
      <c r="O57" s="18">
        <f t="shared" si="2"/>
        <v>11.379310344827585</v>
      </c>
    </row>
    <row r="58" spans="1:15" x14ac:dyDescent="0.3">
      <c r="A58" s="9" t="s">
        <v>109</v>
      </c>
      <c r="B58" s="10" t="s">
        <v>478</v>
      </c>
      <c r="C58" s="10" t="s">
        <v>20</v>
      </c>
      <c r="D58" s="10" t="s">
        <v>30</v>
      </c>
      <c r="E58" s="10" t="s">
        <v>693</v>
      </c>
      <c r="F58" s="10" t="s">
        <v>694</v>
      </c>
      <c r="G58" s="10" t="s">
        <v>696</v>
      </c>
      <c r="H58" s="11">
        <v>29</v>
      </c>
      <c r="I58" s="11">
        <v>14</v>
      </c>
      <c r="J58" s="11">
        <v>35</v>
      </c>
      <c r="K58" s="11">
        <v>23</v>
      </c>
      <c r="L58" s="11">
        <f t="shared" si="1"/>
        <v>36.206896551724135</v>
      </c>
      <c r="M58" s="11">
        <f t="shared" si="1"/>
        <v>23.793103448275865</v>
      </c>
      <c r="N58" s="18">
        <f t="shared" si="2"/>
        <v>1.2485136741973839</v>
      </c>
      <c r="O58" s="18">
        <f t="shared" si="2"/>
        <v>1.6995073891625618</v>
      </c>
    </row>
    <row r="59" spans="1:15" x14ac:dyDescent="0.3">
      <c r="A59" s="9" t="s">
        <v>33</v>
      </c>
      <c r="B59" s="10" t="s">
        <v>412</v>
      </c>
      <c r="C59" s="10" t="s">
        <v>20</v>
      </c>
      <c r="D59" s="10" t="s">
        <v>30</v>
      </c>
      <c r="E59" s="10" t="s">
        <v>693</v>
      </c>
      <c r="F59" s="10" t="s">
        <v>694</v>
      </c>
      <c r="G59" s="10" t="s">
        <v>696</v>
      </c>
      <c r="H59" s="11">
        <v>24</v>
      </c>
      <c r="I59" s="11">
        <v>12</v>
      </c>
      <c r="J59" s="11">
        <v>18</v>
      </c>
      <c r="K59" s="11">
        <v>16</v>
      </c>
      <c r="L59" s="11">
        <f t="shared" si="1"/>
        <v>18.620689655172413</v>
      </c>
      <c r="M59" s="11">
        <f t="shared" si="1"/>
        <v>16.551724137931036</v>
      </c>
      <c r="N59" s="18">
        <f t="shared" si="2"/>
        <v>0.77586206896551724</v>
      </c>
      <c r="O59" s="18">
        <f t="shared" si="2"/>
        <v>1.3793103448275863</v>
      </c>
    </row>
    <row r="60" spans="1:15" x14ac:dyDescent="0.3">
      <c r="A60" s="9" t="s">
        <v>68</v>
      </c>
      <c r="B60" s="10" t="s">
        <v>437</v>
      </c>
      <c r="C60" s="10" t="s">
        <v>22</v>
      </c>
      <c r="D60" s="10" t="s">
        <v>28</v>
      </c>
      <c r="E60" s="10" t="s">
        <v>693</v>
      </c>
      <c r="F60" s="10" t="s">
        <v>694</v>
      </c>
      <c r="G60" s="10" t="s">
        <v>695</v>
      </c>
      <c r="H60" s="11">
        <v>15</v>
      </c>
      <c r="I60" s="11">
        <v>7</v>
      </c>
      <c r="J60" s="11">
        <v>0</v>
      </c>
      <c r="K60" s="11">
        <v>0</v>
      </c>
      <c r="L60" s="11">
        <f t="shared" si="1"/>
        <v>0</v>
      </c>
      <c r="M60" s="11">
        <f t="shared" si="1"/>
        <v>0</v>
      </c>
      <c r="N60" s="18">
        <f t="shared" si="2"/>
        <v>0</v>
      </c>
      <c r="O60" s="18">
        <f t="shared" si="2"/>
        <v>0</v>
      </c>
    </row>
    <row r="61" spans="1:15" x14ac:dyDescent="0.3">
      <c r="A61" s="9" t="s">
        <v>19</v>
      </c>
      <c r="B61" s="10" t="s">
        <v>404</v>
      </c>
      <c r="C61" s="10" t="s">
        <v>22</v>
      </c>
      <c r="D61" s="10" t="s">
        <v>28</v>
      </c>
      <c r="E61" s="10" t="s">
        <v>693</v>
      </c>
      <c r="F61" s="10" t="s">
        <v>694</v>
      </c>
      <c r="G61" s="10" t="s">
        <v>695</v>
      </c>
      <c r="H61" s="11">
        <v>96</v>
      </c>
      <c r="I61" s="11">
        <v>43</v>
      </c>
      <c r="J61" s="11">
        <v>85</v>
      </c>
      <c r="K61" s="11">
        <v>39</v>
      </c>
      <c r="L61" s="11">
        <f t="shared" si="1"/>
        <v>87.931034482758619</v>
      </c>
      <c r="M61" s="11">
        <f t="shared" si="1"/>
        <v>40.344827586206897</v>
      </c>
      <c r="N61" s="18">
        <f t="shared" si="2"/>
        <v>0.91594827586206895</v>
      </c>
      <c r="O61" s="18">
        <f t="shared" si="2"/>
        <v>0.9382518043303929</v>
      </c>
    </row>
    <row r="62" spans="1:15" x14ac:dyDescent="0.3">
      <c r="A62" s="9" t="s">
        <v>140</v>
      </c>
      <c r="B62" s="10" t="s">
        <v>498</v>
      </c>
      <c r="C62" s="10" t="s">
        <v>22</v>
      </c>
      <c r="D62" s="10" t="s">
        <v>28</v>
      </c>
      <c r="E62" s="10" t="s">
        <v>693</v>
      </c>
      <c r="F62" s="10" t="s">
        <v>694</v>
      </c>
      <c r="G62" s="10" t="s">
        <v>695</v>
      </c>
      <c r="H62" s="11">
        <v>24</v>
      </c>
      <c r="I62" s="11">
        <v>11</v>
      </c>
      <c r="J62" s="11">
        <v>25</v>
      </c>
      <c r="K62" s="11">
        <v>6</v>
      </c>
      <c r="L62" s="11">
        <f t="shared" si="1"/>
        <v>25.862068965517238</v>
      </c>
      <c r="M62" s="11">
        <f t="shared" si="1"/>
        <v>6.2068965517241379</v>
      </c>
      <c r="N62" s="18">
        <f t="shared" si="2"/>
        <v>1.0775862068965516</v>
      </c>
      <c r="O62" s="18">
        <f t="shared" si="2"/>
        <v>0.56426332288401249</v>
      </c>
    </row>
    <row r="63" spans="1:15" x14ac:dyDescent="0.3">
      <c r="A63" s="9" t="s">
        <v>102</v>
      </c>
      <c r="B63" s="10" t="s">
        <v>471</v>
      </c>
      <c r="C63" s="10" t="s">
        <v>22</v>
      </c>
      <c r="D63" s="10" t="s">
        <v>28</v>
      </c>
      <c r="E63" s="10" t="s">
        <v>693</v>
      </c>
      <c r="F63" s="10" t="s">
        <v>694</v>
      </c>
      <c r="G63" s="10" t="s">
        <v>695</v>
      </c>
      <c r="H63" s="11">
        <v>6</v>
      </c>
      <c r="I63" s="11">
        <v>3</v>
      </c>
      <c r="J63" s="11">
        <v>4</v>
      </c>
      <c r="K63" s="11">
        <v>3</v>
      </c>
      <c r="L63" s="11">
        <f t="shared" si="1"/>
        <v>4.1379310344827589</v>
      </c>
      <c r="M63" s="11">
        <f t="shared" si="1"/>
        <v>3.103448275862069</v>
      </c>
      <c r="N63" s="18">
        <f t="shared" si="2"/>
        <v>0.68965517241379315</v>
      </c>
      <c r="O63" s="18">
        <f t="shared" si="2"/>
        <v>1.0344827586206897</v>
      </c>
    </row>
    <row r="64" spans="1:15" x14ac:dyDescent="0.3">
      <c r="A64" s="9" t="s">
        <v>51</v>
      </c>
      <c r="B64" s="10" t="s">
        <v>422</v>
      </c>
      <c r="C64" s="10" t="s">
        <v>22</v>
      </c>
      <c r="D64" s="10" t="s">
        <v>28</v>
      </c>
      <c r="E64" s="10" t="s">
        <v>693</v>
      </c>
      <c r="F64" s="10" t="s">
        <v>694</v>
      </c>
      <c r="G64" s="10" t="s">
        <v>695</v>
      </c>
      <c r="H64" s="11">
        <v>20</v>
      </c>
      <c r="I64" s="11">
        <v>9</v>
      </c>
      <c r="J64" s="11">
        <v>70</v>
      </c>
      <c r="K64" s="11">
        <v>61</v>
      </c>
      <c r="L64" s="11">
        <f t="shared" si="1"/>
        <v>72.41379310344827</v>
      </c>
      <c r="M64" s="11">
        <f t="shared" si="1"/>
        <v>63.103448275862071</v>
      </c>
      <c r="N64" s="18">
        <f t="shared" si="2"/>
        <v>3.6206896551724137</v>
      </c>
      <c r="O64" s="18">
        <f t="shared" si="2"/>
        <v>7.0114942528735638</v>
      </c>
    </row>
    <row r="65" spans="1:15" x14ac:dyDescent="0.3">
      <c r="A65" s="9" t="s">
        <v>81</v>
      </c>
      <c r="B65" s="10" t="s">
        <v>450</v>
      </c>
      <c r="C65" s="10" t="s">
        <v>22</v>
      </c>
      <c r="D65" s="10" t="s">
        <v>28</v>
      </c>
      <c r="E65" s="10" t="s">
        <v>693</v>
      </c>
      <c r="F65" s="10" t="s">
        <v>694</v>
      </c>
      <c r="G65" s="10" t="s">
        <v>695</v>
      </c>
      <c r="H65" s="11">
        <v>25</v>
      </c>
      <c r="I65" s="11">
        <v>11</v>
      </c>
      <c r="J65" s="11">
        <v>20</v>
      </c>
      <c r="K65" s="11">
        <v>5</v>
      </c>
      <c r="L65" s="11">
        <f t="shared" si="1"/>
        <v>20.689655172413794</v>
      </c>
      <c r="M65" s="11">
        <f t="shared" si="1"/>
        <v>5.1724137931034484</v>
      </c>
      <c r="N65" s="18">
        <f t="shared" si="2"/>
        <v>0.82758620689655171</v>
      </c>
      <c r="O65" s="18">
        <f t="shared" si="2"/>
        <v>0.47021943573667713</v>
      </c>
    </row>
    <row r="66" spans="1:15" x14ac:dyDescent="0.3">
      <c r="A66" s="9" t="s">
        <v>161</v>
      </c>
      <c r="B66" s="10" t="s">
        <v>519</v>
      </c>
      <c r="C66" s="10" t="s">
        <v>22</v>
      </c>
      <c r="D66" s="10" t="s">
        <v>48</v>
      </c>
      <c r="E66" s="10" t="s">
        <v>693</v>
      </c>
      <c r="F66" s="10" t="s">
        <v>694</v>
      </c>
      <c r="G66" s="10" t="s">
        <v>699</v>
      </c>
      <c r="H66" s="11">
        <v>57</v>
      </c>
      <c r="I66" s="11">
        <v>26</v>
      </c>
      <c r="J66" s="11">
        <v>33</v>
      </c>
      <c r="K66" s="11">
        <v>19</v>
      </c>
      <c r="L66" s="11">
        <f t="shared" si="1"/>
        <v>34.137931034482762</v>
      </c>
      <c r="M66" s="11">
        <f t="shared" si="1"/>
        <v>19.655172413793103</v>
      </c>
      <c r="N66" s="18">
        <f t="shared" si="2"/>
        <v>0.59891107078039929</v>
      </c>
      <c r="O66" s="18">
        <f t="shared" si="2"/>
        <v>0.75596816976127323</v>
      </c>
    </row>
    <row r="67" spans="1:15" x14ac:dyDescent="0.3">
      <c r="A67" s="9" t="s">
        <v>61</v>
      </c>
      <c r="B67" s="10" t="s">
        <v>432</v>
      </c>
      <c r="C67" s="10" t="s">
        <v>22</v>
      </c>
      <c r="D67" s="10" t="s">
        <v>48</v>
      </c>
      <c r="E67" s="10" t="s">
        <v>693</v>
      </c>
      <c r="F67" s="10" t="s">
        <v>694</v>
      </c>
      <c r="G67" s="10" t="s">
        <v>699</v>
      </c>
      <c r="H67" s="11">
        <v>25</v>
      </c>
      <c r="I67" s="11">
        <v>11</v>
      </c>
      <c r="J67" s="11">
        <v>20</v>
      </c>
      <c r="K67" s="11">
        <v>8</v>
      </c>
      <c r="L67" s="11">
        <f t="shared" si="1"/>
        <v>20.689655172413794</v>
      </c>
      <c r="M67" s="11">
        <f t="shared" si="1"/>
        <v>8.2758620689655178</v>
      </c>
      <c r="N67" s="18">
        <f t="shared" si="2"/>
        <v>0.82758620689655171</v>
      </c>
      <c r="O67" s="18">
        <f t="shared" si="2"/>
        <v>0.75235109717868343</v>
      </c>
    </row>
    <row r="68" spans="1:15" x14ac:dyDescent="0.3">
      <c r="A68" s="9" t="s">
        <v>54</v>
      </c>
      <c r="B68" s="10" t="s">
        <v>425</v>
      </c>
      <c r="C68" s="10" t="s">
        <v>22</v>
      </c>
      <c r="D68" s="10" t="s">
        <v>48</v>
      </c>
      <c r="E68" s="10" t="s">
        <v>693</v>
      </c>
      <c r="F68" s="10" t="s">
        <v>694</v>
      </c>
      <c r="G68" s="10" t="s">
        <v>699</v>
      </c>
      <c r="H68" s="11">
        <v>29</v>
      </c>
      <c r="I68" s="11">
        <v>13</v>
      </c>
      <c r="J68" s="11">
        <v>17</v>
      </c>
      <c r="K68" s="11">
        <v>5</v>
      </c>
      <c r="L68" s="11">
        <f t="shared" si="1"/>
        <v>17.586206896551722</v>
      </c>
      <c r="M68" s="11">
        <f t="shared" si="1"/>
        <v>5.1724137931034484</v>
      </c>
      <c r="N68" s="18">
        <f t="shared" si="2"/>
        <v>0.60642092746730081</v>
      </c>
      <c r="O68" s="18">
        <f t="shared" si="2"/>
        <v>0.39787798408488062</v>
      </c>
    </row>
    <row r="69" spans="1:15" x14ac:dyDescent="0.3">
      <c r="A69" s="9" t="s">
        <v>76</v>
      </c>
      <c r="B69" s="10" t="s">
        <v>445</v>
      </c>
      <c r="C69" s="10" t="s">
        <v>22</v>
      </c>
      <c r="D69" s="10" t="s">
        <v>48</v>
      </c>
      <c r="E69" s="10" t="s">
        <v>693</v>
      </c>
      <c r="F69" s="10" t="s">
        <v>694</v>
      </c>
      <c r="G69" s="10" t="s">
        <v>699</v>
      </c>
      <c r="H69" s="11">
        <v>5</v>
      </c>
      <c r="I69" s="11">
        <v>2</v>
      </c>
      <c r="J69" s="11">
        <v>3</v>
      </c>
      <c r="K69" s="11">
        <v>0</v>
      </c>
      <c r="L69" s="11">
        <f t="shared" si="1"/>
        <v>3.103448275862069</v>
      </c>
      <c r="M69" s="11">
        <f t="shared" si="1"/>
        <v>0</v>
      </c>
      <c r="N69" s="18">
        <f t="shared" si="2"/>
        <v>0.62068965517241381</v>
      </c>
      <c r="O69" s="18">
        <f t="shared" si="2"/>
        <v>0</v>
      </c>
    </row>
    <row r="70" spans="1:15" x14ac:dyDescent="0.3">
      <c r="A70" s="9" t="s">
        <v>84</v>
      </c>
      <c r="B70" s="10" t="s">
        <v>453</v>
      </c>
      <c r="C70" s="10" t="s">
        <v>22</v>
      </c>
      <c r="D70" s="10" t="s">
        <v>48</v>
      </c>
      <c r="E70" s="10" t="s">
        <v>693</v>
      </c>
      <c r="F70" s="10" t="s">
        <v>694</v>
      </c>
      <c r="G70" s="10" t="s">
        <v>699</v>
      </c>
      <c r="H70" s="11">
        <v>2</v>
      </c>
      <c r="I70" s="11">
        <v>1</v>
      </c>
      <c r="J70" s="11">
        <v>16</v>
      </c>
      <c r="K70" s="11">
        <v>5</v>
      </c>
      <c r="L70" s="11">
        <f t="shared" ref="L70:M132" si="8">IFERROR((J70/$A$1*$B$1),0)</f>
        <v>16.551724137931036</v>
      </c>
      <c r="M70" s="11">
        <f t="shared" si="8"/>
        <v>5.1724137931034484</v>
      </c>
      <c r="N70" s="18">
        <f t="shared" ref="N70:O132" si="9">IFERROR(L70/H70,0)</f>
        <v>8.2758620689655178</v>
      </c>
      <c r="O70" s="18">
        <f t="shared" si="9"/>
        <v>5.1724137931034484</v>
      </c>
    </row>
    <row r="71" spans="1:15" x14ac:dyDescent="0.3">
      <c r="A71" s="9" t="s">
        <v>66</v>
      </c>
      <c r="B71" s="10" t="s">
        <v>436</v>
      </c>
      <c r="C71" s="10" t="s">
        <v>22</v>
      </c>
      <c r="D71" s="10" t="s">
        <v>42</v>
      </c>
      <c r="E71" s="10" t="s">
        <v>693</v>
      </c>
      <c r="F71" s="10" t="s">
        <v>694</v>
      </c>
      <c r="G71" s="10" t="s">
        <v>699</v>
      </c>
      <c r="H71" s="11">
        <v>25</v>
      </c>
      <c r="I71" s="11">
        <v>11</v>
      </c>
      <c r="J71" s="11">
        <v>4</v>
      </c>
      <c r="K71" s="11">
        <v>1</v>
      </c>
      <c r="L71" s="11">
        <f t="shared" si="8"/>
        <v>4.1379310344827589</v>
      </c>
      <c r="M71" s="11">
        <f t="shared" si="8"/>
        <v>1.0344827586206897</v>
      </c>
      <c r="N71" s="18">
        <f t="shared" si="9"/>
        <v>0.16551724137931034</v>
      </c>
      <c r="O71" s="18">
        <f t="shared" si="9"/>
        <v>9.4043887147335428E-2</v>
      </c>
    </row>
    <row r="72" spans="1:15" x14ac:dyDescent="0.3">
      <c r="A72" s="9" t="s">
        <v>58</v>
      </c>
      <c r="B72" s="10" t="s">
        <v>429</v>
      </c>
      <c r="C72" s="10" t="s">
        <v>22</v>
      </c>
      <c r="D72" s="10" t="s">
        <v>48</v>
      </c>
      <c r="E72" s="10" t="s">
        <v>693</v>
      </c>
      <c r="F72" s="10" t="s">
        <v>694</v>
      </c>
      <c r="G72" s="10" t="s">
        <v>699</v>
      </c>
      <c r="H72" s="11">
        <v>34</v>
      </c>
      <c r="I72" s="11">
        <v>15</v>
      </c>
      <c r="J72" s="11">
        <v>31</v>
      </c>
      <c r="K72" s="11">
        <v>9</v>
      </c>
      <c r="L72" s="11">
        <f t="shared" si="8"/>
        <v>32.068965517241374</v>
      </c>
      <c r="M72" s="11">
        <f t="shared" si="8"/>
        <v>9.3103448275862064</v>
      </c>
      <c r="N72" s="18">
        <f t="shared" si="9"/>
        <v>0.94320486815415805</v>
      </c>
      <c r="O72" s="18">
        <f t="shared" si="9"/>
        <v>0.62068965517241381</v>
      </c>
    </row>
    <row r="73" spans="1:15" x14ac:dyDescent="0.3">
      <c r="A73" s="9" t="s">
        <v>86</v>
      </c>
      <c r="B73" s="10" t="s">
        <v>455</v>
      </c>
      <c r="C73" s="10" t="s">
        <v>22</v>
      </c>
      <c r="D73" s="10" t="s">
        <v>48</v>
      </c>
      <c r="E73" s="10" t="s">
        <v>693</v>
      </c>
      <c r="F73" s="10" t="s">
        <v>694</v>
      </c>
      <c r="G73" s="10" t="s">
        <v>699</v>
      </c>
      <c r="H73" s="11">
        <v>19</v>
      </c>
      <c r="I73" s="11">
        <v>8</v>
      </c>
      <c r="J73" s="11">
        <v>17</v>
      </c>
      <c r="K73" s="11">
        <v>5</v>
      </c>
      <c r="L73" s="11">
        <f t="shared" si="8"/>
        <v>17.586206896551722</v>
      </c>
      <c r="M73" s="11">
        <f t="shared" si="8"/>
        <v>5.1724137931034484</v>
      </c>
      <c r="N73" s="18">
        <f t="shared" si="9"/>
        <v>0.925589836660617</v>
      </c>
      <c r="O73" s="18">
        <f t="shared" si="9"/>
        <v>0.64655172413793105</v>
      </c>
    </row>
    <row r="74" spans="1:15" x14ac:dyDescent="0.3">
      <c r="A74" s="9" t="s">
        <v>88</v>
      </c>
      <c r="B74" s="10" t="s">
        <v>457</v>
      </c>
      <c r="C74" s="10" t="s">
        <v>22</v>
      </c>
      <c r="D74" s="10" t="s">
        <v>48</v>
      </c>
      <c r="E74" s="10" t="s">
        <v>693</v>
      </c>
      <c r="F74" s="10" t="s">
        <v>694</v>
      </c>
      <c r="G74" s="10" t="s">
        <v>699</v>
      </c>
      <c r="H74" s="11">
        <v>3</v>
      </c>
      <c r="I74" s="11">
        <v>1</v>
      </c>
      <c r="J74" s="11">
        <v>2</v>
      </c>
      <c r="K74" s="11">
        <v>0</v>
      </c>
      <c r="L74" s="11">
        <f t="shared" si="8"/>
        <v>2.0689655172413794</v>
      </c>
      <c r="M74" s="11">
        <f t="shared" si="8"/>
        <v>0</v>
      </c>
      <c r="N74" s="18">
        <f t="shared" si="9"/>
        <v>0.68965517241379315</v>
      </c>
      <c r="O74" s="18">
        <f t="shared" si="9"/>
        <v>0</v>
      </c>
    </row>
    <row r="75" spans="1:15" x14ac:dyDescent="0.3">
      <c r="A75" s="9" t="s">
        <v>56</v>
      </c>
      <c r="B75" s="10" t="s">
        <v>427</v>
      </c>
      <c r="C75" s="10" t="s">
        <v>22</v>
      </c>
      <c r="D75" s="10" t="s">
        <v>48</v>
      </c>
      <c r="E75" s="10" t="s">
        <v>693</v>
      </c>
      <c r="F75" s="10" t="s">
        <v>694</v>
      </c>
      <c r="G75" s="10" t="s">
        <v>699</v>
      </c>
      <c r="H75" s="11">
        <v>19</v>
      </c>
      <c r="I75" s="11">
        <v>8</v>
      </c>
      <c r="J75" s="11">
        <v>25</v>
      </c>
      <c r="K75" s="11">
        <v>17</v>
      </c>
      <c r="L75" s="11">
        <f t="shared" si="8"/>
        <v>25.862068965517238</v>
      </c>
      <c r="M75" s="11">
        <f t="shared" si="8"/>
        <v>17.586206896551722</v>
      </c>
      <c r="N75" s="18">
        <f t="shared" si="9"/>
        <v>1.3611615245009072</v>
      </c>
      <c r="O75" s="18">
        <f t="shared" si="9"/>
        <v>2.1982758620689653</v>
      </c>
    </row>
    <row r="76" spans="1:15" x14ac:dyDescent="0.3">
      <c r="A76" s="9" t="s">
        <v>101</v>
      </c>
      <c r="B76" s="10" t="s">
        <v>470</v>
      </c>
      <c r="C76" s="10" t="s">
        <v>22</v>
      </c>
      <c r="D76" s="10" t="s">
        <v>48</v>
      </c>
      <c r="E76" s="10" t="s">
        <v>693</v>
      </c>
      <c r="F76" s="10" t="s">
        <v>694</v>
      </c>
      <c r="G76" s="10" t="s">
        <v>699</v>
      </c>
      <c r="H76" s="11">
        <v>7</v>
      </c>
      <c r="I76" s="11">
        <v>3</v>
      </c>
      <c r="J76" s="11">
        <v>0</v>
      </c>
      <c r="K76" s="11">
        <v>0</v>
      </c>
      <c r="L76" s="11">
        <f t="shared" si="8"/>
        <v>0</v>
      </c>
      <c r="M76" s="11">
        <f t="shared" si="8"/>
        <v>0</v>
      </c>
      <c r="N76" s="18">
        <f t="shared" si="9"/>
        <v>0</v>
      </c>
      <c r="O76" s="18">
        <f t="shared" si="9"/>
        <v>0</v>
      </c>
    </row>
    <row r="77" spans="1:15" x14ac:dyDescent="0.3">
      <c r="A77" s="9" t="s">
        <v>80</v>
      </c>
      <c r="B77" s="10" t="s">
        <v>449</v>
      </c>
      <c r="C77" s="10" t="s">
        <v>22</v>
      </c>
      <c r="D77" s="10" t="s">
        <v>28</v>
      </c>
      <c r="E77" s="10" t="s">
        <v>693</v>
      </c>
      <c r="F77" s="10" t="s">
        <v>694</v>
      </c>
      <c r="G77" s="10" t="s">
        <v>695</v>
      </c>
      <c r="H77" s="11">
        <v>7</v>
      </c>
      <c r="I77" s="11">
        <v>3</v>
      </c>
      <c r="J77" s="11">
        <v>2</v>
      </c>
      <c r="K77" s="11">
        <v>0</v>
      </c>
      <c r="L77" s="11">
        <f t="shared" si="8"/>
        <v>2.0689655172413794</v>
      </c>
      <c r="M77" s="11">
        <f t="shared" si="8"/>
        <v>0</v>
      </c>
      <c r="N77" s="18">
        <f t="shared" si="9"/>
        <v>0.29556650246305421</v>
      </c>
      <c r="O77" s="18">
        <f t="shared" si="9"/>
        <v>0</v>
      </c>
    </row>
    <row r="78" spans="1:15" x14ac:dyDescent="0.3">
      <c r="A78" s="9" t="s">
        <v>127</v>
      </c>
      <c r="B78" s="10" t="s">
        <v>493</v>
      </c>
      <c r="C78" s="10" t="s">
        <v>22</v>
      </c>
      <c r="D78" s="10" t="s">
        <v>28</v>
      </c>
      <c r="E78" s="10" t="s">
        <v>693</v>
      </c>
      <c r="F78" s="10" t="s">
        <v>694</v>
      </c>
      <c r="G78" s="10" t="s">
        <v>695</v>
      </c>
      <c r="H78" s="11">
        <v>41</v>
      </c>
      <c r="I78" s="11">
        <v>19</v>
      </c>
      <c r="J78" s="11">
        <v>37</v>
      </c>
      <c r="K78" s="11">
        <v>9</v>
      </c>
      <c r="L78" s="11">
        <f t="shared" si="8"/>
        <v>38.275862068965523</v>
      </c>
      <c r="M78" s="11">
        <f t="shared" si="8"/>
        <v>9.3103448275862064</v>
      </c>
      <c r="N78" s="18">
        <f t="shared" si="9"/>
        <v>0.9335576114381835</v>
      </c>
      <c r="O78" s="18">
        <f t="shared" si="9"/>
        <v>0.49001814882032663</v>
      </c>
    </row>
    <row r="79" spans="1:15" x14ac:dyDescent="0.3">
      <c r="A79" s="9" t="s">
        <v>83</v>
      </c>
      <c r="B79" s="10" t="s">
        <v>452</v>
      </c>
      <c r="C79" s="10" t="s">
        <v>22</v>
      </c>
      <c r="D79" s="10" t="s">
        <v>28</v>
      </c>
      <c r="E79" s="10" t="s">
        <v>693</v>
      </c>
      <c r="F79" s="10" t="s">
        <v>694</v>
      </c>
      <c r="G79" s="10" t="s">
        <v>695</v>
      </c>
      <c r="H79" s="11">
        <v>18</v>
      </c>
      <c r="I79" s="11">
        <v>8</v>
      </c>
      <c r="J79" s="11">
        <v>13</v>
      </c>
      <c r="K79" s="11">
        <v>3</v>
      </c>
      <c r="L79" s="11">
        <f t="shared" si="8"/>
        <v>13.448275862068966</v>
      </c>
      <c r="M79" s="11">
        <f t="shared" si="8"/>
        <v>3.103448275862069</v>
      </c>
      <c r="N79" s="18">
        <f t="shared" si="9"/>
        <v>0.74712643678160928</v>
      </c>
      <c r="O79" s="18">
        <f t="shared" si="9"/>
        <v>0.38793103448275862</v>
      </c>
    </row>
    <row r="80" spans="1:15" x14ac:dyDescent="0.3">
      <c r="A80" s="9" t="s">
        <v>75</v>
      </c>
      <c r="B80" s="10" t="s">
        <v>444</v>
      </c>
      <c r="C80" s="10" t="s">
        <v>22</v>
      </c>
      <c r="D80" s="10" t="s">
        <v>28</v>
      </c>
      <c r="E80" s="10" t="s">
        <v>693</v>
      </c>
      <c r="F80" s="10" t="s">
        <v>694</v>
      </c>
      <c r="G80" s="10" t="s">
        <v>695</v>
      </c>
      <c r="H80" s="11">
        <v>10</v>
      </c>
      <c r="I80" s="11">
        <v>4</v>
      </c>
      <c r="J80" s="11">
        <v>8</v>
      </c>
      <c r="K80" s="11">
        <v>0</v>
      </c>
      <c r="L80" s="11">
        <f t="shared" si="8"/>
        <v>8.2758620689655178</v>
      </c>
      <c r="M80" s="11">
        <f t="shared" si="8"/>
        <v>0</v>
      </c>
      <c r="N80" s="18">
        <f t="shared" si="9"/>
        <v>0.82758620689655182</v>
      </c>
      <c r="O80" s="18">
        <f t="shared" si="9"/>
        <v>0</v>
      </c>
    </row>
    <row r="81" spans="1:15" x14ac:dyDescent="0.3">
      <c r="A81" s="9" t="s">
        <v>104</v>
      </c>
      <c r="B81" s="10" t="s">
        <v>473</v>
      </c>
      <c r="C81" s="10" t="s">
        <v>22</v>
      </c>
      <c r="D81" s="10" t="s">
        <v>28</v>
      </c>
      <c r="E81" s="10" t="s">
        <v>693</v>
      </c>
      <c r="F81" s="10" t="s">
        <v>694</v>
      </c>
      <c r="G81" s="10" t="s">
        <v>695</v>
      </c>
      <c r="H81" s="11">
        <v>20</v>
      </c>
      <c r="I81" s="11">
        <v>9</v>
      </c>
      <c r="J81" s="11">
        <v>11</v>
      </c>
      <c r="K81" s="11">
        <v>3</v>
      </c>
      <c r="L81" s="11">
        <f t="shared" si="8"/>
        <v>11.379310344827585</v>
      </c>
      <c r="M81" s="11">
        <f t="shared" si="8"/>
        <v>3.103448275862069</v>
      </c>
      <c r="N81" s="18">
        <f t="shared" si="9"/>
        <v>0.56896551724137923</v>
      </c>
      <c r="O81" s="18">
        <f t="shared" si="9"/>
        <v>0.34482758620689657</v>
      </c>
    </row>
    <row r="82" spans="1:15" x14ac:dyDescent="0.3">
      <c r="A82" s="9" t="s">
        <v>103</v>
      </c>
      <c r="B82" s="10" t="s">
        <v>472</v>
      </c>
      <c r="C82" s="10" t="s">
        <v>22</v>
      </c>
      <c r="D82" s="10" t="s">
        <v>44</v>
      </c>
      <c r="E82" s="10" t="s">
        <v>693</v>
      </c>
      <c r="F82" s="10" t="s">
        <v>694</v>
      </c>
      <c r="G82" s="10" t="s">
        <v>695</v>
      </c>
      <c r="H82" s="11">
        <v>8</v>
      </c>
      <c r="I82" s="11">
        <v>4</v>
      </c>
      <c r="J82" s="11">
        <v>15</v>
      </c>
      <c r="K82" s="11">
        <v>3</v>
      </c>
      <c r="L82" s="11">
        <f t="shared" si="8"/>
        <v>15.517241379310345</v>
      </c>
      <c r="M82" s="11">
        <f t="shared" si="8"/>
        <v>3.103448275862069</v>
      </c>
      <c r="N82" s="18">
        <f t="shared" si="9"/>
        <v>1.9396551724137931</v>
      </c>
      <c r="O82" s="18">
        <f t="shared" si="9"/>
        <v>0.77586206896551724</v>
      </c>
    </row>
    <row r="83" spans="1:15" x14ac:dyDescent="0.3">
      <c r="A83" s="9" t="s">
        <v>53</v>
      </c>
      <c r="B83" s="10" t="s">
        <v>424</v>
      </c>
      <c r="C83" s="10" t="s">
        <v>22</v>
      </c>
      <c r="D83" s="10" t="s">
        <v>28</v>
      </c>
      <c r="E83" s="10" t="s">
        <v>693</v>
      </c>
      <c r="F83" s="10" t="s">
        <v>694</v>
      </c>
      <c r="G83" s="10" t="s">
        <v>695</v>
      </c>
      <c r="H83" s="11">
        <v>37</v>
      </c>
      <c r="I83" s="11">
        <v>17</v>
      </c>
      <c r="J83" s="11">
        <v>30</v>
      </c>
      <c r="K83" s="11">
        <v>9</v>
      </c>
      <c r="L83" s="11">
        <f t="shared" si="8"/>
        <v>31.03448275862069</v>
      </c>
      <c r="M83" s="11">
        <f t="shared" si="8"/>
        <v>9.3103448275862064</v>
      </c>
      <c r="N83" s="18">
        <f t="shared" si="9"/>
        <v>0.83876980428704573</v>
      </c>
      <c r="O83" s="18">
        <f t="shared" si="9"/>
        <v>0.54766734279918861</v>
      </c>
    </row>
    <row r="84" spans="1:15" x14ac:dyDescent="0.3">
      <c r="A84" s="9" t="s">
        <v>144</v>
      </c>
      <c r="B84" s="10" t="s">
        <v>502</v>
      </c>
      <c r="C84" s="10" t="s">
        <v>22</v>
      </c>
      <c r="D84" s="10" t="s">
        <v>44</v>
      </c>
      <c r="E84" s="10" t="s">
        <v>693</v>
      </c>
      <c r="F84" s="10" t="s">
        <v>694</v>
      </c>
      <c r="G84" s="10" t="s">
        <v>695</v>
      </c>
      <c r="H84" s="11">
        <v>19</v>
      </c>
      <c r="I84" s="11">
        <v>8</v>
      </c>
      <c r="J84" s="11">
        <v>7</v>
      </c>
      <c r="K84" s="11">
        <v>1</v>
      </c>
      <c r="L84" s="11">
        <f t="shared" si="8"/>
        <v>7.2413793103448283</v>
      </c>
      <c r="M84" s="11">
        <f t="shared" si="8"/>
        <v>1.0344827586206897</v>
      </c>
      <c r="N84" s="18">
        <f t="shared" si="9"/>
        <v>0.38112522686025413</v>
      </c>
      <c r="O84" s="18">
        <f t="shared" si="9"/>
        <v>0.12931034482758622</v>
      </c>
    </row>
    <row r="85" spans="1:15" x14ac:dyDescent="0.3">
      <c r="A85" s="9" t="s">
        <v>93</v>
      </c>
      <c r="B85" s="10" t="s">
        <v>462</v>
      </c>
      <c r="C85" s="10" t="s">
        <v>22</v>
      </c>
      <c r="D85" s="10" t="s">
        <v>42</v>
      </c>
      <c r="E85" s="10" t="s">
        <v>693</v>
      </c>
      <c r="F85" s="10" t="s">
        <v>694</v>
      </c>
      <c r="G85" s="10" t="s">
        <v>699</v>
      </c>
      <c r="H85" s="11">
        <v>10</v>
      </c>
      <c r="I85" s="11">
        <v>4</v>
      </c>
      <c r="J85" s="11">
        <v>8</v>
      </c>
      <c r="K85" s="11">
        <v>0</v>
      </c>
      <c r="L85" s="11">
        <f t="shared" si="8"/>
        <v>8.2758620689655178</v>
      </c>
      <c r="M85" s="11">
        <f t="shared" si="8"/>
        <v>0</v>
      </c>
      <c r="N85" s="18">
        <f t="shared" si="9"/>
        <v>0.82758620689655182</v>
      </c>
      <c r="O85" s="18">
        <f t="shared" si="9"/>
        <v>0</v>
      </c>
    </row>
    <row r="86" spans="1:15" x14ac:dyDescent="0.3">
      <c r="A86" s="9" t="s">
        <v>124</v>
      </c>
      <c r="B86" s="10" t="s">
        <v>490</v>
      </c>
      <c r="C86" s="10" t="s">
        <v>22</v>
      </c>
      <c r="D86" s="10" t="s">
        <v>42</v>
      </c>
      <c r="E86" s="10" t="s">
        <v>693</v>
      </c>
      <c r="F86" s="10" t="s">
        <v>694</v>
      </c>
      <c r="G86" s="10" t="s">
        <v>699</v>
      </c>
      <c r="H86" s="11">
        <v>23</v>
      </c>
      <c r="I86" s="11">
        <v>10</v>
      </c>
      <c r="J86" s="11">
        <v>17</v>
      </c>
      <c r="K86" s="11">
        <v>6</v>
      </c>
      <c r="L86" s="11">
        <f t="shared" si="8"/>
        <v>17.586206896551722</v>
      </c>
      <c r="M86" s="11">
        <f t="shared" si="8"/>
        <v>6.2068965517241379</v>
      </c>
      <c r="N86" s="18">
        <f t="shared" si="9"/>
        <v>0.76461769115442269</v>
      </c>
      <c r="O86" s="18">
        <f t="shared" si="9"/>
        <v>0.62068965517241381</v>
      </c>
    </row>
    <row r="87" spans="1:15" x14ac:dyDescent="0.3">
      <c r="A87" s="9" t="s">
        <v>147</v>
      </c>
      <c r="B87" s="10" t="s">
        <v>505</v>
      </c>
      <c r="C87" s="10" t="s">
        <v>22</v>
      </c>
      <c r="D87" s="10" t="s">
        <v>42</v>
      </c>
      <c r="E87" s="10" t="s">
        <v>693</v>
      </c>
      <c r="F87" s="10" t="s">
        <v>694</v>
      </c>
      <c r="G87" s="10" t="s">
        <v>699</v>
      </c>
      <c r="H87" s="11">
        <v>1</v>
      </c>
      <c r="I87" s="11">
        <v>0</v>
      </c>
      <c r="J87" s="11">
        <v>0</v>
      </c>
      <c r="K87" s="11">
        <v>0</v>
      </c>
      <c r="L87" s="11">
        <f t="shared" si="8"/>
        <v>0</v>
      </c>
      <c r="M87" s="11">
        <f t="shared" si="8"/>
        <v>0</v>
      </c>
      <c r="N87" s="18">
        <f t="shared" si="9"/>
        <v>0</v>
      </c>
      <c r="O87" s="18">
        <f t="shared" si="9"/>
        <v>0</v>
      </c>
    </row>
    <row r="88" spans="1:15" x14ac:dyDescent="0.3">
      <c r="A88" s="9" t="s">
        <v>39</v>
      </c>
      <c r="B88" s="10" t="s">
        <v>415</v>
      </c>
      <c r="C88" s="10" t="s">
        <v>22</v>
      </c>
      <c r="D88" s="10" t="s">
        <v>42</v>
      </c>
      <c r="E88" s="10" t="s">
        <v>693</v>
      </c>
      <c r="F88" s="10" t="s">
        <v>694</v>
      </c>
      <c r="G88" s="10" t="s">
        <v>699</v>
      </c>
      <c r="H88" s="11">
        <v>1</v>
      </c>
      <c r="I88" s="11">
        <v>0</v>
      </c>
      <c r="J88" s="11">
        <v>0</v>
      </c>
      <c r="K88" s="11">
        <v>0</v>
      </c>
      <c r="L88" s="11">
        <f t="shared" si="8"/>
        <v>0</v>
      </c>
      <c r="M88" s="11">
        <f t="shared" si="8"/>
        <v>0</v>
      </c>
      <c r="N88" s="18">
        <f t="shared" si="9"/>
        <v>0</v>
      </c>
      <c r="O88" s="18">
        <f t="shared" si="9"/>
        <v>0</v>
      </c>
    </row>
    <row r="89" spans="1:15" x14ac:dyDescent="0.3">
      <c r="A89" s="9" t="s">
        <v>125</v>
      </c>
      <c r="B89" s="10" t="s">
        <v>491</v>
      </c>
      <c r="C89" s="10" t="s">
        <v>22</v>
      </c>
      <c r="D89" s="10" t="s">
        <v>42</v>
      </c>
      <c r="E89" s="10" t="s">
        <v>693</v>
      </c>
      <c r="F89" s="10" t="s">
        <v>694</v>
      </c>
      <c r="G89" s="10" t="s">
        <v>698</v>
      </c>
      <c r="H89" s="11">
        <v>23</v>
      </c>
      <c r="I89" s="11">
        <v>10</v>
      </c>
      <c r="J89" s="11">
        <v>11</v>
      </c>
      <c r="K89" s="11">
        <v>0</v>
      </c>
      <c r="L89" s="11">
        <f t="shared" si="8"/>
        <v>11.379310344827585</v>
      </c>
      <c r="M89" s="11">
        <f t="shared" si="8"/>
        <v>0</v>
      </c>
      <c r="N89" s="18">
        <f t="shared" si="9"/>
        <v>0.49475262368815587</v>
      </c>
      <c r="O89" s="18">
        <f t="shared" si="9"/>
        <v>0</v>
      </c>
    </row>
    <row r="90" spans="1:15" x14ac:dyDescent="0.3">
      <c r="A90" s="9" t="s">
        <v>63</v>
      </c>
      <c r="B90" s="10" t="s">
        <v>434</v>
      </c>
      <c r="C90" s="10" t="s">
        <v>22</v>
      </c>
      <c r="D90" s="10" t="s">
        <v>42</v>
      </c>
      <c r="E90" s="10" t="s">
        <v>693</v>
      </c>
      <c r="F90" s="10" t="s">
        <v>694</v>
      </c>
      <c r="G90" s="10" t="s">
        <v>699</v>
      </c>
      <c r="H90" s="11">
        <v>16</v>
      </c>
      <c r="I90" s="11">
        <v>7</v>
      </c>
      <c r="J90" s="11">
        <v>3</v>
      </c>
      <c r="K90" s="11">
        <v>0</v>
      </c>
      <c r="L90" s="11">
        <f t="shared" si="8"/>
        <v>3.103448275862069</v>
      </c>
      <c r="M90" s="11">
        <f t="shared" si="8"/>
        <v>0</v>
      </c>
      <c r="N90" s="18">
        <f t="shared" si="9"/>
        <v>0.19396551724137931</v>
      </c>
      <c r="O90" s="18">
        <f t="shared" si="9"/>
        <v>0</v>
      </c>
    </row>
    <row r="91" spans="1:15" x14ac:dyDescent="0.3">
      <c r="A91" s="9" t="s">
        <v>130</v>
      </c>
      <c r="B91" s="10" t="s">
        <v>494</v>
      </c>
      <c r="C91" s="10" t="s">
        <v>22</v>
      </c>
      <c r="D91" s="10" t="s">
        <v>42</v>
      </c>
      <c r="E91" s="10" t="s">
        <v>693</v>
      </c>
      <c r="F91" s="10" t="s">
        <v>694</v>
      </c>
      <c r="G91" s="10" t="s">
        <v>699</v>
      </c>
      <c r="H91" s="11">
        <v>28</v>
      </c>
      <c r="I91" s="11">
        <v>12</v>
      </c>
      <c r="J91" s="11">
        <v>12</v>
      </c>
      <c r="K91" s="11">
        <v>3</v>
      </c>
      <c r="L91" s="11">
        <f t="shared" si="8"/>
        <v>12.413793103448276</v>
      </c>
      <c r="M91" s="11">
        <f t="shared" si="8"/>
        <v>3.103448275862069</v>
      </c>
      <c r="N91" s="18">
        <f t="shared" si="9"/>
        <v>0.44334975369458129</v>
      </c>
      <c r="O91" s="18">
        <f t="shared" si="9"/>
        <v>0.25862068965517243</v>
      </c>
    </row>
    <row r="92" spans="1:15" x14ac:dyDescent="0.3">
      <c r="A92" s="9" t="s">
        <v>155</v>
      </c>
      <c r="B92" s="10" t="s">
        <v>513</v>
      </c>
      <c r="C92" s="10" t="s">
        <v>22</v>
      </c>
      <c r="D92" s="10" t="s">
        <v>42</v>
      </c>
      <c r="E92" s="10" t="s">
        <v>693</v>
      </c>
      <c r="F92" s="10" t="s">
        <v>694</v>
      </c>
      <c r="G92" s="10" t="s">
        <v>699</v>
      </c>
      <c r="H92" s="11">
        <v>10</v>
      </c>
      <c r="I92" s="11">
        <v>4</v>
      </c>
      <c r="J92" s="11">
        <v>7</v>
      </c>
      <c r="K92" s="11">
        <v>3</v>
      </c>
      <c r="L92" s="11">
        <f t="shared" si="8"/>
        <v>7.2413793103448283</v>
      </c>
      <c r="M92" s="11">
        <f t="shared" si="8"/>
        <v>3.103448275862069</v>
      </c>
      <c r="N92" s="18">
        <f t="shared" si="9"/>
        <v>0.72413793103448287</v>
      </c>
      <c r="O92" s="18">
        <f t="shared" si="9"/>
        <v>0.77586206896551724</v>
      </c>
    </row>
    <row r="93" spans="1:15" x14ac:dyDescent="0.3">
      <c r="A93" s="9" t="s">
        <v>90</v>
      </c>
      <c r="B93" s="10" t="s">
        <v>459</v>
      </c>
      <c r="C93" s="10" t="s">
        <v>22</v>
      </c>
      <c r="D93" s="10" t="s">
        <v>42</v>
      </c>
      <c r="E93" s="10" t="s">
        <v>693</v>
      </c>
      <c r="F93" s="10" t="s">
        <v>694</v>
      </c>
      <c r="G93" s="10" t="s">
        <v>699</v>
      </c>
      <c r="H93" s="11">
        <v>14</v>
      </c>
      <c r="I93" s="11">
        <v>6</v>
      </c>
      <c r="J93" s="11">
        <v>8</v>
      </c>
      <c r="K93" s="11">
        <v>1</v>
      </c>
      <c r="L93" s="11">
        <f t="shared" si="8"/>
        <v>8.2758620689655178</v>
      </c>
      <c r="M93" s="11">
        <f t="shared" si="8"/>
        <v>1.0344827586206897</v>
      </c>
      <c r="N93" s="18">
        <f t="shared" si="9"/>
        <v>0.59113300492610843</v>
      </c>
      <c r="O93" s="18">
        <f t="shared" si="9"/>
        <v>0.17241379310344829</v>
      </c>
    </row>
    <row r="94" spans="1:15" x14ac:dyDescent="0.3">
      <c r="A94" s="9" t="s">
        <v>149</v>
      </c>
      <c r="B94" s="10" t="s">
        <v>507</v>
      </c>
      <c r="C94" s="10" t="s">
        <v>22</v>
      </c>
      <c r="D94" s="10" t="s">
        <v>46</v>
      </c>
      <c r="E94" s="10" t="s">
        <v>693</v>
      </c>
      <c r="F94" s="10" t="s">
        <v>694</v>
      </c>
      <c r="G94" s="10" t="s">
        <v>700</v>
      </c>
      <c r="H94" s="11">
        <v>31</v>
      </c>
      <c r="I94" s="11">
        <v>14</v>
      </c>
      <c r="J94" s="11">
        <v>37</v>
      </c>
      <c r="K94" s="11">
        <v>8</v>
      </c>
      <c r="L94" s="11">
        <f t="shared" si="8"/>
        <v>38.275862068965523</v>
      </c>
      <c r="M94" s="11">
        <f t="shared" si="8"/>
        <v>8.2758620689655178</v>
      </c>
      <c r="N94" s="18">
        <f t="shared" si="9"/>
        <v>1.2347052280311459</v>
      </c>
      <c r="O94" s="18">
        <f t="shared" si="9"/>
        <v>0.59113300492610843</v>
      </c>
    </row>
    <row r="95" spans="1:15" x14ac:dyDescent="0.3">
      <c r="A95" s="9" t="s">
        <v>85</v>
      </c>
      <c r="B95" s="10" t="s">
        <v>454</v>
      </c>
      <c r="C95" s="10" t="s">
        <v>22</v>
      </c>
      <c r="D95" s="10" t="s">
        <v>46</v>
      </c>
      <c r="E95" s="10" t="s">
        <v>693</v>
      </c>
      <c r="F95" s="10" t="s">
        <v>694</v>
      </c>
      <c r="G95" s="10" t="s">
        <v>700</v>
      </c>
      <c r="H95" s="11">
        <v>24</v>
      </c>
      <c r="I95" s="11">
        <v>11</v>
      </c>
      <c r="J95" s="11">
        <v>32</v>
      </c>
      <c r="K95" s="11">
        <v>3</v>
      </c>
      <c r="L95" s="11">
        <f t="shared" si="8"/>
        <v>33.103448275862071</v>
      </c>
      <c r="M95" s="11">
        <f t="shared" si="8"/>
        <v>3.103448275862069</v>
      </c>
      <c r="N95" s="18">
        <f t="shared" si="9"/>
        <v>1.3793103448275863</v>
      </c>
      <c r="O95" s="18">
        <f t="shared" si="9"/>
        <v>0.28213166144200624</v>
      </c>
    </row>
    <row r="96" spans="1:15" x14ac:dyDescent="0.3">
      <c r="A96" s="9" t="s">
        <v>152</v>
      </c>
      <c r="B96" s="10" t="s">
        <v>510</v>
      </c>
      <c r="C96" s="10" t="s">
        <v>22</v>
      </c>
      <c r="D96" s="10" t="s">
        <v>46</v>
      </c>
      <c r="E96" s="10" t="s">
        <v>693</v>
      </c>
      <c r="F96" s="10" t="s">
        <v>694</v>
      </c>
      <c r="G96" s="10" t="s">
        <v>700</v>
      </c>
      <c r="H96" s="11">
        <v>22</v>
      </c>
      <c r="I96" s="11">
        <v>10</v>
      </c>
      <c r="J96" s="11">
        <v>28</v>
      </c>
      <c r="K96" s="11">
        <v>1</v>
      </c>
      <c r="L96" s="11">
        <f t="shared" si="8"/>
        <v>28.965517241379313</v>
      </c>
      <c r="M96" s="11">
        <f t="shared" si="8"/>
        <v>1.0344827586206897</v>
      </c>
      <c r="N96" s="18">
        <f t="shared" si="9"/>
        <v>1.3166144200626961</v>
      </c>
      <c r="O96" s="18">
        <f t="shared" si="9"/>
        <v>0.10344827586206898</v>
      </c>
    </row>
    <row r="97" spans="1:15" x14ac:dyDescent="0.3">
      <c r="A97" s="9" t="s">
        <v>60</v>
      </c>
      <c r="B97" s="10" t="s">
        <v>431</v>
      </c>
      <c r="C97" s="10" t="s">
        <v>22</v>
      </c>
      <c r="D97" s="10" t="s">
        <v>46</v>
      </c>
      <c r="E97" s="10" t="s">
        <v>693</v>
      </c>
      <c r="F97" s="10" t="s">
        <v>694</v>
      </c>
      <c r="G97" s="10" t="s">
        <v>700</v>
      </c>
      <c r="H97" s="11">
        <v>34</v>
      </c>
      <c r="I97" s="11">
        <v>15</v>
      </c>
      <c r="J97" s="11">
        <v>43</v>
      </c>
      <c r="K97" s="11">
        <v>10</v>
      </c>
      <c r="L97" s="11">
        <f t="shared" si="8"/>
        <v>44.482758620689658</v>
      </c>
      <c r="M97" s="11">
        <f t="shared" si="8"/>
        <v>10.344827586206897</v>
      </c>
      <c r="N97" s="18">
        <f t="shared" si="9"/>
        <v>1.3083164300202841</v>
      </c>
      <c r="O97" s="18">
        <f t="shared" si="9"/>
        <v>0.68965517241379315</v>
      </c>
    </row>
    <row r="98" spans="1:15" x14ac:dyDescent="0.3">
      <c r="A98" s="9" t="s">
        <v>148</v>
      </c>
      <c r="B98" s="10" t="s">
        <v>506</v>
      </c>
      <c r="C98" s="10" t="s">
        <v>22</v>
      </c>
      <c r="D98" s="10" t="s">
        <v>46</v>
      </c>
      <c r="E98" s="10" t="s">
        <v>693</v>
      </c>
      <c r="F98" s="10" t="s">
        <v>694</v>
      </c>
      <c r="G98" s="10" t="s">
        <v>700</v>
      </c>
      <c r="H98" s="11">
        <v>20</v>
      </c>
      <c r="I98" s="11">
        <v>9</v>
      </c>
      <c r="J98" s="11">
        <v>24</v>
      </c>
      <c r="K98" s="11">
        <v>1</v>
      </c>
      <c r="L98" s="11">
        <f t="shared" si="8"/>
        <v>24.827586206896552</v>
      </c>
      <c r="M98" s="11">
        <f t="shared" si="8"/>
        <v>1.0344827586206897</v>
      </c>
      <c r="N98" s="18">
        <f t="shared" si="9"/>
        <v>1.2413793103448276</v>
      </c>
      <c r="O98" s="18">
        <f t="shared" si="9"/>
        <v>0.1149425287356322</v>
      </c>
    </row>
    <row r="99" spans="1:15" x14ac:dyDescent="0.3">
      <c r="A99" s="9" t="s">
        <v>57</v>
      </c>
      <c r="B99" s="10" t="s">
        <v>428</v>
      </c>
      <c r="C99" s="10" t="s">
        <v>22</v>
      </c>
      <c r="D99" s="10" t="s">
        <v>46</v>
      </c>
      <c r="E99" s="10" t="s">
        <v>693</v>
      </c>
      <c r="F99" s="10" t="s">
        <v>694</v>
      </c>
      <c r="G99" s="10" t="s">
        <v>700</v>
      </c>
      <c r="H99" s="11">
        <v>29</v>
      </c>
      <c r="I99" s="11">
        <v>13</v>
      </c>
      <c r="J99" s="11">
        <v>36</v>
      </c>
      <c r="K99" s="11">
        <v>2</v>
      </c>
      <c r="L99" s="11">
        <f t="shared" si="8"/>
        <v>37.241379310344826</v>
      </c>
      <c r="M99" s="11">
        <f t="shared" si="8"/>
        <v>2.0689655172413794</v>
      </c>
      <c r="N99" s="18">
        <f t="shared" si="9"/>
        <v>1.2841854934601664</v>
      </c>
      <c r="O99" s="18">
        <f t="shared" si="9"/>
        <v>0.15915119363395228</v>
      </c>
    </row>
    <row r="100" spans="1:15" x14ac:dyDescent="0.3">
      <c r="A100" s="9" t="s">
        <v>49</v>
      </c>
      <c r="B100" s="10" t="s">
        <v>420</v>
      </c>
      <c r="C100" s="10" t="s">
        <v>22</v>
      </c>
      <c r="D100" s="10" t="s">
        <v>46</v>
      </c>
      <c r="E100" s="10" t="s">
        <v>693</v>
      </c>
      <c r="F100" s="10" t="s">
        <v>694</v>
      </c>
      <c r="G100" s="10" t="s">
        <v>700</v>
      </c>
      <c r="H100" s="11">
        <v>24</v>
      </c>
      <c r="I100" s="11">
        <v>11</v>
      </c>
      <c r="J100" s="11">
        <v>33</v>
      </c>
      <c r="K100" s="11">
        <v>5</v>
      </c>
      <c r="L100" s="11">
        <f t="shared" si="8"/>
        <v>34.137931034482762</v>
      </c>
      <c r="M100" s="11">
        <f t="shared" si="8"/>
        <v>5.1724137931034484</v>
      </c>
      <c r="N100" s="18">
        <f t="shared" si="9"/>
        <v>1.4224137931034484</v>
      </c>
      <c r="O100" s="18">
        <f t="shared" si="9"/>
        <v>0.47021943573667713</v>
      </c>
    </row>
    <row r="101" spans="1:15" x14ac:dyDescent="0.3">
      <c r="A101" s="9" t="s">
        <v>52</v>
      </c>
      <c r="B101" s="10" t="s">
        <v>423</v>
      </c>
      <c r="C101" s="10" t="s">
        <v>22</v>
      </c>
      <c r="D101" s="10" t="s">
        <v>46</v>
      </c>
      <c r="E101" s="10" t="s">
        <v>693</v>
      </c>
      <c r="F101" s="10" t="s">
        <v>694</v>
      </c>
      <c r="G101" s="10" t="s">
        <v>700</v>
      </c>
      <c r="H101" s="11">
        <v>51</v>
      </c>
      <c r="I101" s="11">
        <v>23</v>
      </c>
      <c r="J101" s="11">
        <v>67</v>
      </c>
      <c r="K101" s="11">
        <v>14</v>
      </c>
      <c r="L101" s="11">
        <f t="shared" si="8"/>
        <v>69.310344827586206</v>
      </c>
      <c r="M101" s="11">
        <f t="shared" si="8"/>
        <v>14.482758620689657</v>
      </c>
      <c r="N101" s="18">
        <f t="shared" si="9"/>
        <v>1.3590263691683571</v>
      </c>
      <c r="O101" s="18">
        <f t="shared" si="9"/>
        <v>0.62968515742128939</v>
      </c>
    </row>
    <row r="102" spans="1:15" x14ac:dyDescent="0.3">
      <c r="A102" s="9" t="s">
        <v>156</v>
      </c>
      <c r="B102" s="10" t="s">
        <v>514</v>
      </c>
      <c r="C102" s="10" t="s">
        <v>22</v>
      </c>
      <c r="D102" s="10" t="s">
        <v>46</v>
      </c>
      <c r="E102" s="10" t="s">
        <v>693</v>
      </c>
      <c r="F102" s="10" t="s">
        <v>694</v>
      </c>
      <c r="G102" s="10" t="s">
        <v>700</v>
      </c>
      <c r="H102" s="11">
        <v>25</v>
      </c>
      <c r="I102" s="11">
        <v>11</v>
      </c>
      <c r="J102" s="11">
        <v>34</v>
      </c>
      <c r="K102" s="11">
        <v>7</v>
      </c>
      <c r="L102" s="11">
        <f t="shared" si="8"/>
        <v>35.172413793103445</v>
      </c>
      <c r="M102" s="11">
        <f t="shared" si="8"/>
        <v>7.2413793103448283</v>
      </c>
      <c r="N102" s="18">
        <f t="shared" si="9"/>
        <v>1.4068965517241379</v>
      </c>
      <c r="O102" s="18">
        <f t="shared" si="9"/>
        <v>0.65830721003134807</v>
      </c>
    </row>
    <row r="103" spans="1:15" x14ac:dyDescent="0.3">
      <c r="A103" s="9" t="s">
        <v>154</v>
      </c>
      <c r="B103" s="10" t="s">
        <v>512</v>
      </c>
      <c r="C103" s="10" t="s">
        <v>22</v>
      </c>
      <c r="D103" s="10" t="s">
        <v>46</v>
      </c>
      <c r="E103" s="10" t="s">
        <v>693</v>
      </c>
      <c r="F103" s="10" t="s">
        <v>694</v>
      </c>
      <c r="G103" s="10" t="s">
        <v>700</v>
      </c>
      <c r="H103" s="11">
        <v>34</v>
      </c>
      <c r="I103" s="11">
        <v>15</v>
      </c>
      <c r="J103" s="11">
        <v>45</v>
      </c>
      <c r="K103" s="11">
        <v>3</v>
      </c>
      <c r="L103" s="11">
        <f t="shared" si="8"/>
        <v>46.551724137931032</v>
      </c>
      <c r="M103" s="11">
        <f t="shared" si="8"/>
        <v>3.103448275862069</v>
      </c>
      <c r="N103" s="18">
        <f t="shared" si="9"/>
        <v>1.3691683569979716</v>
      </c>
      <c r="O103" s="18">
        <f t="shared" si="9"/>
        <v>0.20689655172413793</v>
      </c>
    </row>
    <row r="104" spans="1:15" x14ac:dyDescent="0.3">
      <c r="A104" s="9" t="s">
        <v>153</v>
      </c>
      <c r="B104" s="10" t="s">
        <v>511</v>
      </c>
      <c r="C104" s="10" t="s">
        <v>22</v>
      </c>
      <c r="D104" s="10" t="s">
        <v>46</v>
      </c>
      <c r="E104" s="10" t="s">
        <v>693</v>
      </c>
      <c r="F104" s="10" t="s">
        <v>694</v>
      </c>
      <c r="G104" s="10" t="s">
        <v>700</v>
      </c>
      <c r="H104" s="11">
        <v>48</v>
      </c>
      <c r="I104" s="11">
        <v>22</v>
      </c>
      <c r="J104" s="11">
        <v>60</v>
      </c>
      <c r="K104" s="11">
        <v>10</v>
      </c>
      <c r="L104" s="11">
        <f t="shared" si="8"/>
        <v>62.068965517241381</v>
      </c>
      <c r="M104" s="11">
        <f t="shared" si="8"/>
        <v>10.344827586206897</v>
      </c>
      <c r="N104" s="18">
        <f t="shared" si="9"/>
        <v>1.2931034482758621</v>
      </c>
      <c r="O104" s="18">
        <f t="shared" si="9"/>
        <v>0.47021943573667713</v>
      </c>
    </row>
    <row r="105" spans="1:15" x14ac:dyDescent="0.3">
      <c r="A105" s="9" t="s">
        <v>143</v>
      </c>
      <c r="B105" s="10" t="s">
        <v>501</v>
      </c>
      <c r="C105" s="10" t="s">
        <v>22</v>
      </c>
      <c r="D105" s="10" t="s">
        <v>46</v>
      </c>
      <c r="E105" s="10" t="s">
        <v>693</v>
      </c>
      <c r="F105" s="10" t="s">
        <v>694</v>
      </c>
      <c r="G105" s="10" t="s">
        <v>700</v>
      </c>
      <c r="H105" s="11">
        <v>15</v>
      </c>
      <c r="I105" s="11">
        <v>7</v>
      </c>
      <c r="J105" s="11">
        <v>21</v>
      </c>
      <c r="K105" s="11">
        <v>5</v>
      </c>
      <c r="L105" s="11">
        <f t="shared" si="8"/>
        <v>21.724137931034484</v>
      </c>
      <c r="M105" s="11">
        <f t="shared" si="8"/>
        <v>5.1724137931034484</v>
      </c>
      <c r="N105" s="18">
        <f t="shared" si="9"/>
        <v>1.4482758620689655</v>
      </c>
      <c r="O105" s="18">
        <f t="shared" si="9"/>
        <v>0.73891625615763545</v>
      </c>
    </row>
    <row r="106" spans="1:15" x14ac:dyDescent="0.3">
      <c r="A106" s="9" t="s">
        <v>141</v>
      </c>
      <c r="B106" s="10" t="s">
        <v>499</v>
      </c>
      <c r="C106" s="10" t="s">
        <v>22</v>
      </c>
      <c r="D106" s="10" t="s">
        <v>46</v>
      </c>
      <c r="E106" s="10" t="s">
        <v>693</v>
      </c>
      <c r="F106" s="10" t="s">
        <v>694</v>
      </c>
      <c r="G106" s="10" t="s">
        <v>700</v>
      </c>
      <c r="H106" s="11">
        <v>25</v>
      </c>
      <c r="I106" s="11">
        <v>11</v>
      </c>
      <c r="J106" s="11">
        <v>32</v>
      </c>
      <c r="K106" s="11">
        <v>1</v>
      </c>
      <c r="L106" s="11">
        <f t="shared" si="8"/>
        <v>33.103448275862071</v>
      </c>
      <c r="M106" s="11">
        <f t="shared" si="8"/>
        <v>1.0344827586206897</v>
      </c>
      <c r="N106" s="18">
        <f t="shared" si="9"/>
        <v>1.3241379310344827</v>
      </c>
      <c r="O106" s="18">
        <f t="shared" si="9"/>
        <v>9.4043887147335428E-2</v>
      </c>
    </row>
    <row r="107" spans="1:15" x14ac:dyDescent="0.3">
      <c r="A107" s="9" t="s">
        <v>115</v>
      </c>
      <c r="B107" s="10" t="s">
        <v>484</v>
      </c>
      <c r="C107" s="10" t="s">
        <v>22</v>
      </c>
      <c r="D107" s="10" t="s">
        <v>40</v>
      </c>
      <c r="E107" s="10" t="s">
        <v>693</v>
      </c>
      <c r="F107" s="10" t="s">
        <v>694</v>
      </c>
      <c r="G107" s="10" t="s">
        <v>698</v>
      </c>
      <c r="H107" s="11">
        <v>10</v>
      </c>
      <c r="I107" s="11">
        <v>4</v>
      </c>
      <c r="J107" s="11">
        <v>4</v>
      </c>
      <c r="K107" s="11">
        <v>1</v>
      </c>
      <c r="L107" s="11">
        <f t="shared" si="8"/>
        <v>4.1379310344827589</v>
      </c>
      <c r="M107" s="11">
        <f t="shared" si="8"/>
        <v>1.0344827586206897</v>
      </c>
      <c r="N107" s="18">
        <f t="shared" si="9"/>
        <v>0.41379310344827591</v>
      </c>
      <c r="O107" s="18">
        <f t="shared" si="9"/>
        <v>0.25862068965517243</v>
      </c>
    </row>
    <row r="108" spans="1:15" x14ac:dyDescent="0.3">
      <c r="A108" s="9" t="s">
        <v>158</v>
      </c>
      <c r="B108" s="10" t="s">
        <v>516</v>
      </c>
      <c r="C108" s="10" t="s">
        <v>22</v>
      </c>
      <c r="D108" s="10" t="s">
        <v>40</v>
      </c>
      <c r="E108" s="10" t="s">
        <v>693</v>
      </c>
      <c r="F108" s="10" t="s">
        <v>694</v>
      </c>
      <c r="G108" s="10" t="s">
        <v>698</v>
      </c>
      <c r="H108" s="11">
        <v>3</v>
      </c>
      <c r="I108" s="11">
        <v>1</v>
      </c>
      <c r="J108" s="11">
        <v>0</v>
      </c>
      <c r="K108" s="11">
        <v>0</v>
      </c>
      <c r="L108" s="11">
        <f t="shared" si="8"/>
        <v>0</v>
      </c>
      <c r="M108" s="11">
        <f t="shared" si="8"/>
        <v>0</v>
      </c>
      <c r="N108" s="18">
        <f t="shared" si="9"/>
        <v>0</v>
      </c>
      <c r="O108" s="18">
        <f t="shared" si="9"/>
        <v>0</v>
      </c>
    </row>
    <row r="109" spans="1:15" x14ac:dyDescent="0.3">
      <c r="A109" s="9" t="s">
        <v>35</v>
      </c>
      <c r="B109" s="10" t="s">
        <v>413</v>
      </c>
      <c r="C109" s="10" t="s">
        <v>22</v>
      </c>
      <c r="D109" s="10" t="s">
        <v>40</v>
      </c>
      <c r="E109" s="10" t="s">
        <v>693</v>
      </c>
      <c r="F109" s="10" t="s">
        <v>694</v>
      </c>
      <c r="G109" s="10" t="s">
        <v>698</v>
      </c>
      <c r="H109" s="11">
        <v>25</v>
      </c>
      <c r="I109" s="11">
        <v>11</v>
      </c>
      <c r="J109" s="11">
        <v>18</v>
      </c>
      <c r="K109" s="11">
        <v>9</v>
      </c>
      <c r="L109" s="11">
        <f t="shared" si="8"/>
        <v>18.620689655172413</v>
      </c>
      <c r="M109" s="11">
        <f t="shared" si="8"/>
        <v>9.3103448275862064</v>
      </c>
      <c r="N109" s="18">
        <f t="shared" si="9"/>
        <v>0.74482758620689649</v>
      </c>
      <c r="O109" s="18">
        <f t="shared" si="9"/>
        <v>0.84639498432601878</v>
      </c>
    </row>
    <row r="110" spans="1:15" x14ac:dyDescent="0.3">
      <c r="A110" s="9" t="s">
        <v>94</v>
      </c>
      <c r="B110" s="10" t="s">
        <v>463</v>
      </c>
      <c r="C110" s="10" t="s">
        <v>22</v>
      </c>
      <c r="D110" s="10" t="s">
        <v>40</v>
      </c>
      <c r="E110" s="10" t="s">
        <v>693</v>
      </c>
      <c r="F110" s="10" t="s">
        <v>694</v>
      </c>
      <c r="G110" s="10" t="s">
        <v>698</v>
      </c>
      <c r="H110" s="11">
        <v>19</v>
      </c>
      <c r="I110" s="11">
        <v>8</v>
      </c>
      <c r="J110" s="11">
        <v>18</v>
      </c>
      <c r="K110" s="11">
        <v>6</v>
      </c>
      <c r="L110" s="11">
        <f t="shared" si="8"/>
        <v>18.620689655172413</v>
      </c>
      <c r="M110" s="11">
        <f t="shared" si="8"/>
        <v>6.2068965517241379</v>
      </c>
      <c r="N110" s="18">
        <f t="shared" si="9"/>
        <v>0.98003629764065325</v>
      </c>
      <c r="O110" s="18">
        <f t="shared" si="9"/>
        <v>0.77586206896551724</v>
      </c>
    </row>
    <row r="111" spans="1:15" x14ac:dyDescent="0.3">
      <c r="A111" s="9" t="s">
        <v>50</v>
      </c>
      <c r="B111" s="10" t="s">
        <v>421</v>
      </c>
      <c r="C111" s="10" t="s">
        <v>22</v>
      </c>
      <c r="D111" s="10" t="s">
        <v>40</v>
      </c>
      <c r="E111" s="10" t="s">
        <v>693</v>
      </c>
      <c r="F111" s="10" t="s">
        <v>694</v>
      </c>
      <c r="G111" s="10" t="s">
        <v>698</v>
      </c>
      <c r="H111" s="11">
        <v>32</v>
      </c>
      <c r="I111" s="11">
        <v>14</v>
      </c>
      <c r="J111" s="11">
        <v>23</v>
      </c>
      <c r="K111" s="11">
        <v>7</v>
      </c>
      <c r="L111" s="11">
        <f t="shared" si="8"/>
        <v>23.793103448275865</v>
      </c>
      <c r="M111" s="11">
        <f t="shared" si="8"/>
        <v>7.2413793103448283</v>
      </c>
      <c r="N111" s="18">
        <f t="shared" si="9"/>
        <v>0.74353448275862077</v>
      </c>
      <c r="O111" s="18">
        <f t="shared" si="9"/>
        <v>0.51724137931034486</v>
      </c>
    </row>
    <row r="112" spans="1:15" x14ac:dyDescent="0.3">
      <c r="A112" s="9" t="s">
        <v>96</v>
      </c>
      <c r="B112" s="10" t="s">
        <v>465</v>
      </c>
      <c r="C112" s="10" t="s">
        <v>22</v>
      </c>
      <c r="D112" s="10" t="s">
        <v>40</v>
      </c>
      <c r="E112" s="10" t="s">
        <v>693</v>
      </c>
      <c r="F112" s="10" t="s">
        <v>694</v>
      </c>
      <c r="G112" s="10" t="s">
        <v>698</v>
      </c>
      <c r="H112" s="11">
        <v>16</v>
      </c>
      <c r="I112" s="11">
        <v>7</v>
      </c>
      <c r="J112" s="11">
        <v>2</v>
      </c>
      <c r="K112" s="11">
        <v>0</v>
      </c>
      <c r="L112" s="11">
        <f t="shared" si="8"/>
        <v>2.0689655172413794</v>
      </c>
      <c r="M112" s="11">
        <f t="shared" si="8"/>
        <v>0</v>
      </c>
      <c r="N112" s="18">
        <f t="shared" si="9"/>
        <v>0.12931034482758622</v>
      </c>
      <c r="O112" s="18">
        <f t="shared" si="9"/>
        <v>0</v>
      </c>
    </row>
    <row r="113" spans="1:15" x14ac:dyDescent="0.3">
      <c r="A113" s="9" t="s">
        <v>108</v>
      </c>
      <c r="B113" s="10" t="s">
        <v>477</v>
      </c>
      <c r="C113" s="10" t="s">
        <v>22</v>
      </c>
      <c r="D113" s="10" t="s">
        <v>40</v>
      </c>
      <c r="E113" s="10" t="s">
        <v>693</v>
      </c>
      <c r="F113" s="10" t="s">
        <v>694</v>
      </c>
      <c r="G113" s="10" t="s">
        <v>698</v>
      </c>
      <c r="H113" s="11">
        <v>6</v>
      </c>
      <c r="I113" s="11">
        <v>3</v>
      </c>
      <c r="J113" s="11">
        <v>1</v>
      </c>
      <c r="K113" s="11">
        <v>0</v>
      </c>
      <c r="L113" s="11">
        <f t="shared" si="8"/>
        <v>1.0344827586206897</v>
      </c>
      <c r="M113" s="11">
        <f t="shared" si="8"/>
        <v>0</v>
      </c>
      <c r="N113" s="18">
        <f t="shared" si="9"/>
        <v>0.17241379310344829</v>
      </c>
      <c r="O113" s="18">
        <f t="shared" si="9"/>
        <v>0</v>
      </c>
    </row>
    <row r="114" spans="1:15" x14ac:dyDescent="0.3">
      <c r="A114" s="9" t="s">
        <v>79</v>
      </c>
      <c r="B114" s="10" t="s">
        <v>448</v>
      </c>
      <c r="C114" s="10" t="s">
        <v>22</v>
      </c>
      <c r="D114" s="10" t="s">
        <v>40</v>
      </c>
      <c r="E114" s="10" t="s">
        <v>693</v>
      </c>
      <c r="F114" s="10" t="s">
        <v>694</v>
      </c>
      <c r="G114" s="10" t="s">
        <v>698</v>
      </c>
      <c r="H114" s="11">
        <v>28</v>
      </c>
      <c r="I114" s="11">
        <v>12</v>
      </c>
      <c r="J114" s="11">
        <v>10</v>
      </c>
      <c r="K114" s="11">
        <v>1</v>
      </c>
      <c r="L114" s="11">
        <f t="shared" si="8"/>
        <v>10.344827586206897</v>
      </c>
      <c r="M114" s="11">
        <f t="shared" si="8"/>
        <v>1.0344827586206897</v>
      </c>
      <c r="N114" s="18">
        <f t="shared" si="9"/>
        <v>0.36945812807881773</v>
      </c>
      <c r="O114" s="18">
        <f t="shared" si="9"/>
        <v>8.6206896551724144E-2</v>
      </c>
    </row>
    <row r="115" spans="1:15" x14ac:dyDescent="0.3">
      <c r="A115" s="9" t="s">
        <v>107</v>
      </c>
      <c r="B115" s="10" t="s">
        <v>476</v>
      </c>
      <c r="C115" s="10" t="s">
        <v>22</v>
      </c>
      <c r="D115" s="10" t="s">
        <v>40</v>
      </c>
      <c r="E115" s="10" t="s">
        <v>693</v>
      </c>
      <c r="F115" s="10" t="s">
        <v>694</v>
      </c>
      <c r="G115" s="10" t="s">
        <v>698</v>
      </c>
      <c r="H115" s="11">
        <v>16</v>
      </c>
      <c r="I115" s="11">
        <v>7</v>
      </c>
      <c r="J115" s="11">
        <v>7</v>
      </c>
      <c r="K115" s="11">
        <v>2</v>
      </c>
      <c r="L115" s="11">
        <f t="shared" si="8"/>
        <v>7.2413793103448283</v>
      </c>
      <c r="M115" s="11">
        <f t="shared" si="8"/>
        <v>2.0689655172413794</v>
      </c>
      <c r="N115" s="18">
        <f t="shared" si="9"/>
        <v>0.45258620689655177</v>
      </c>
      <c r="O115" s="18">
        <f t="shared" si="9"/>
        <v>0.29556650246305421</v>
      </c>
    </row>
    <row r="116" spans="1:15" x14ac:dyDescent="0.3">
      <c r="A116" s="9" t="s">
        <v>41</v>
      </c>
      <c r="B116" s="10" t="s">
        <v>416</v>
      </c>
      <c r="C116" s="10" t="s">
        <v>22</v>
      </c>
      <c r="D116" s="10" t="s">
        <v>40</v>
      </c>
      <c r="E116" s="10" t="s">
        <v>693</v>
      </c>
      <c r="F116" s="10" t="s">
        <v>694</v>
      </c>
      <c r="G116" s="10" t="s">
        <v>698</v>
      </c>
      <c r="H116" s="11">
        <v>3</v>
      </c>
      <c r="I116" s="11">
        <v>1</v>
      </c>
      <c r="J116" s="11">
        <v>2</v>
      </c>
      <c r="K116" s="11">
        <v>1</v>
      </c>
      <c r="L116" s="11">
        <f t="shared" si="8"/>
        <v>2.0689655172413794</v>
      </c>
      <c r="M116" s="11">
        <f t="shared" si="8"/>
        <v>1.0344827586206897</v>
      </c>
      <c r="N116" s="18">
        <f t="shared" si="9"/>
        <v>0.68965517241379315</v>
      </c>
      <c r="O116" s="18">
        <f t="shared" si="9"/>
        <v>1.0344827586206897</v>
      </c>
    </row>
    <row r="117" spans="1:15" x14ac:dyDescent="0.3">
      <c r="A117" s="9" t="s">
        <v>89</v>
      </c>
      <c r="B117" s="10" t="s">
        <v>458</v>
      </c>
      <c r="C117" s="10" t="s">
        <v>22</v>
      </c>
      <c r="D117" s="10" t="s">
        <v>40</v>
      </c>
      <c r="E117" s="10" t="s">
        <v>693</v>
      </c>
      <c r="F117" s="10" t="s">
        <v>694</v>
      </c>
      <c r="G117" s="10" t="s">
        <v>698</v>
      </c>
      <c r="H117" s="11">
        <v>12</v>
      </c>
      <c r="I117" s="11">
        <v>5</v>
      </c>
      <c r="J117" s="11">
        <v>4</v>
      </c>
      <c r="K117" s="11">
        <v>1</v>
      </c>
      <c r="L117" s="11">
        <f t="shared" si="8"/>
        <v>4.1379310344827589</v>
      </c>
      <c r="M117" s="11">
        <f t="shared" si="8"/>
        <v>1.0344827586206897</v>
      </c>
      <c r="N117" s="18">
        <f t="shared" si="9"/>
        <v>0.34482758620689657</v>
      </c>
      <c r="O117" s="18">
        <f t="shared" si="9"/>
        <v>0.20689655172413796</v>
      </c>
    </row>
    <row r="118" spans="1:15" x14ac:dyDescent="0.3">
      <c r="A118" s="9" t="s">
        <v>160</v>
      </c>
      <c r="B118" s="10" t="s">
        <v>518</v>
      </c>
      <c r="C118" s="10" t="s">
        <v>22</v>
      </c>
      <c r="D118" s="10" t="s">
        <v>40</v>
      </c>
      <c r="E118" s="10" t="s">
        <v>693</v>
      </c>
      <c r="F118" s="10" t="s">
        <v>694</v>
      </c>
      <c r="G118" s="10" t="s">
        <v>698</v>
      </c>
      <c r="H118" s="11">
        <v>23</v>
      </c>
      <c r="I118" s="11">
        <v>10</v>
      </c>
      <c r="J118" s="11">
        <v>24</v>
      </c>
      <c r="K118" s="11">
        <v>7</v>
      </c>
      <c r="L118" s="11">
        <f t="shared" si="8"/>
        <v>24.827586206896552</v>
      </c>
      <c r="M118" s="11">
        <f t="shared" si="8"/>
        <v>7.2413793103448283</v>
      </c>
      <c r="N118" s="18">
        <f t="shared" si="9"/>
        <v>1.0794602698650675</v>
      </c>
      <c r="O118" s="18">
        <f t="shared" si="9"/>
        <v>0.72413793103448287</v>
      </c>
    </row>
    <row r="119" spans="1:15" x14ac:dyDescent="0.3">
      <c r="A119" s="9" t="s">
        <v>92</v>
      </c>
      <c r="B119" s="10" t="s">
        <v>461</v>
      </c>
      <c r="C119" s="10" t="s">
        <v>22</v>
      </c>
      <c r="D119" s="10" t="s">
        <v>40</v>
      </c>
      <c r="E119" s="10" t="s">
        <v>693</v>
      </c>
      <c r="F119" s="10" t="s">
        <v>694</v>
      </c>
      <c r="G119" s="10" t="s">
        <v>698</v>
      </c>
      <c r="H119" s="11">
        <v>12</v>
      </c>
      <c r="I119" s="11">
        <v>5</v>
      </c>
      <c r="J119" s="11">
        <v>3</v>
      </c>
      <c r="K119" s="11">
        <v>1</v>
      </c>
      <c r="L119" s="11">
        <f t="shared" si="8"/>
        <v>3.103448275862069</v>
      </c>
      <c r="M119" s="11">
        <f t="shared" si="8"/>
        <v>1.0344827586206897</v>
      </c>
      <c r="N119" s="18">
        <f t="shared" si="9"/>
        <v>0.25862068965517243</v>
      </c>
      <c r="O119" s="18">
        <f t="shared" si="9"/>
        <v>0.20689655172413796</v>
      </c>
    </row>
    <row r="120" spans="1:15" x14ac:dyDescent="0.3">
      <c r="A120" s="9" t="s">
        <v>43</v>
      </c>
      <c r="B120" s="10" t="s">
        <v>417</v>
      </c>
      <c r="C120" s="10" t="s">
        <v>22</v>
      </c>
      <c r="D120" s="10" t="s">
        <v>44</v>
      </c>
      <c r="E120" s="10" t="s">
        <v>693</v>
      </c>
      <c r="F120" s="10" t="s">
        <v>694</v>
      </c>
      <c r="G120" s="10" t="s">
        <v>698</v>
      </c>
      <c r="H120" s="11">
        <v>86</v>
      </c>
      <c r="I120" s="11">
        <v>39</v>
      </c>
      <c r="J120" s="11">
        <v>80</v>
      </c>
      <c r="K120" s="11">
        <v>44</v>
      </c>
      <c r="L120" s="11">
        <f t="shared" si="8"/>
        <v>82.758620689655174</v>
      </c>
      <c r="M120" s="11">
        <f t="shared" si="8"/>
        <v>45.517241379310342</v>
      </c>
      <c r="N120" s="18">
        <f t="shared" si="9"/>
        <v>0.96230954290296711</v>
      </c>
      <c r="O120" s="18">
        <f t="shared" si="9"/>
        <v>1.1671087533156499</v>
      </c>
    </row>
    <row r="121" spans="1:15" x14ac:dyDescent="0.3">
      <c r="A121" s="9" t="s">
        <v>114</v>
      </c>
      <c r="B121" s="10" t="s">
        <v>483</v>
      </c>
      <c r="C121" s="10" t="s">
        <v>22</v>
      </c>
      <c r="D121" s="10" t="s">
        <v>44</v>
      </c>
      <c r="E121" s="10" t="s">
        <v>693</v>
      </c>
      <c r="F121" s="10" t="s">
        <v>694</v>
      </c>
      <c r="G121" s="10" t="s">
        <v>698</v>
      </c>
      <c r="H121" s="11">
        <v>3</v>
      </c>
      <c r="I121" s="11">
        <v>1</v>
      </c>
      <c r="J121" s="11">
        <v>0</v>
      </c>
      <c r="K121" s="11">
        <v>0</v>
      </c>
      <c r="L121" s="11">
        <f t="shared" si="8"/>
        <v>0</v>
      </c>
      <c r="M121" s="11">
        <f t="shared" si="8"/>
        <v>0</v>
      </c>
      <c r="N121" s="18">
        <f t="shared" si="9"/>
        <v>0</v>
      </c>
      <c r="O121" s="18">
        <f t="shared" si="9"/>
        <v>0</v>
      </c>
    </row>
    <row r="122" spans="1:15" x14ac:dyDescent="0.3">
      <c r="A122" s="9" t="s">
        <v>99</v>
      </c>
      <c r="B122" s="10" t="s">
        <v>468</v>
      </c>
      <c r="C122" s="10" t="s">
        <v>22</v>
      </c>
      <c r="D122" s="10" t="s">
        <v>44</v>
      </c>
      <c r="E122" s="10" t="s">
        <v>693</v>
      </c>
      <c r="F122" s="10" t="s">
        <v>694</v>
      </c>
      <c r="G122" s="10" t="s">
        <v>698</v>
      </c>
      <c r="H122" s="11">
        <v>8</v>
      </c>
      <c r="I122" s="11">
        <v>4</v>
      </c>
      <c r="J122" s="11">
        <v>14</v>
      </c>
      <c r="K122" s="11">
        <v>1</v>
      </c>
      <c r="L122" s="11">
        <f t="shared" si="8"/>
        <v>14.482758620689657</v>
      </c>
      <c r="M122" s="11">
        <f t="shared" si="8"/>
        <v>1.0344827586206897</v>
      </c>
      <c r="N122" s="18">
        <f t="shared" si="9"/>
        <v>1.8103448275862071</v>
      </c>
      <c r="O122" s="18">
        <f t="shared" si="9"/>
        <v>0.25862068965517243</v>
      </c>
    </row>
    <row r="123" spans="1:15" x14ac:dyDescent="0.3">
      <c r="A123" s="9" t="s">
        <v>73</v>
      </c>
      <c r="B123" s="10" t="s">
        <v>442</v>
      </c>
      <c r="C123" s="10" t="s">
        <v>22</v>
      </c>
      <c r="D123" s="10" t="s">
        <v>44</v>
      </c>
      <c r="E123" s="10" t="s">
        <v>693</v>
      </c>
      <c r="F123" s="10" t="s">
        <v>694</v>
      </c>
      <c r="G123" s="10" t="s">
        <v>699</v>
      </c>
      <c r="H123" s="11">
        <v>4</v>
      </c>
      <c r="I123" s="11">
        <v>2</v>
      </c>
      <c r="J123" s="11">
        <v>2</v>
      </c>
      <c r="K123" s="11">
        <v>1</v>
      </c>
      <c r="L123" s="11">
        <f t="shared" si="8"/>
        <v>2.0689655172413794</v>
      </c>
      <c r="M123" s="11">
        <f t="shared" si="8"/>
        <v>1.0344827586206897</v>
      </c>
      <c r="N123" s="18">
        <f t="shared" si="9"/>
        <v>0.51724137931034486</v>
      </c>
      <c r="O123" s="18">
        <f t="shared" si="9"/>
        <v>0.51724137931034486</v>
      </c>
    </row>
    <row r="124" spans="1:15" x14ac:dyDescent="0.3">
      <c r="A124" s="9" t="s">
        <v>253</v>
      </c>
      <c r="B124" s="10" t="s">
        <v>608</v>
      </c>
      <c r="C124" s="10" t="s">
        <v>22</v>
      </c>
      <c r="D124" s="10" t="s">
        <v>28</v>
      </c>
      <c r="E124" s="10" t="s">
        <v>707</v>
      </c>
      <c r="F124" s="10" t="s">
        <v>694</v>
      </c>
      <c r="G124" s="10" t="s">
        <v>695</v>
      </c>
      <c r="H124" s="11">
        <v>1</v>
      </c>
      <c r="I124" s="11">
        <v>0</v>
      </c>
      <c r="J124" s="11">
        <v>1</v>
      </c>
      <c r="K124" s="11">
        <v>0</v>
      </c>
      <c r="L124" s="11">
        <f t="shared" si="8"/>
        <v>1.0344827586206897</v>
      </c>
      <c r="M124" s="11">
        <f t="shared" si="8"/>
        <v>0</v>
      </c>
      <c r="N124" s="18">
        <f t="shared" si="9"/>
        <v>1.0344827586206897</v>
      </c>
      <c r="O124" s="18">
        <f t="shared" si="9"/>
        <v>0</v>
      </c>
    </row>
    <row r="125" spans="1:15" x14ac:dyDescent="0.3">
      <c r="A125" s="9" t="s">
        <v>249</v>
      </c>
      <c r="B125" s="10" t="s">
        <v>604</v>
      </c>
      <c r="C125" s="10" t="s">
        <v>22</v>
      </c>
      <c r="D125" s="10" t="s">
        <v>48</v>
      </c>
      <c r="E125" s="10" t="s">
        <v>707</v>
      </c>
      <c r="F125" s="10" t="s">
        <v>694</v>
      </c>
      <c r="G125" s="10" t="s">
        <v>699</v>
      </c>
      <c r="H125" s="11">
        <v>1</v>
      </c>
      <c r="I125" s="11">
        <v>0</v>
      </c>
      <c r="J125" s="11">
        <v>0</v>
      </c>
      <c r="K125" s="11">
        <v>0</v>
      </c>
      <c r="L125" s="11">
        <f t="shared" si="8"/>
        <v>0</v>
      </c>
      <c r="M125" s="11">
        <f t="shared" si="8"/>
        <v>0</v>
      </c>
      <c r="N125" s="18">
        <f t="shared" si="9"/>
        <v>0</v>
      </c>
      <c r="O125" s="18">
        <f t="shared" si="9"/>
        <v>0</v>
      </c>
    </row>
    <row r="126" spans="1:15" x14ac:dyDescent="0.3">
      <c r="A126" s="9" t="s">
        <v>151</v>
      </c>
      <c r="B126" s="10" t="s">
        <v>509</v>
      </c>
      <c r="C126" s="10" t="s">
        <v>22</v>
      </c>
      <c r="D126" s="10" t="s">
        <v>48</v>
      </c>
      <c r="E126" s="10" t="s">
        <v>693</v>
      </c>
      <c r="F126" s="10" t="s">
        <v>701</v>
      </c>
      <c r="G126" s="10" t="s">
        <v>699</v>
      </c>
      <c r="H126" s="11">
        <v>1</v>
      </c>
      <c r="I126" s="11">
        <v>0</v>
      </c>
      <c r="J126" s="11">
        <v>0</v>
      </c>
      <c r="K126" s="11">
        <v>0</v>
      </c>
      <c r="L126" s="11">
        <f t="shared" si="8"/>
        <v>0</v>
      </c>
      <c r="M126" s="11">
        <f t="shared" si="8"/>
        <v>0</v>
      </c>
      <c r="N126" s="18">
        <f t="shared" si="9"/>
        <v>0</v>
      </c>
      <c r="O126" s="18">
        <f t="shared" si="9"/>
        <v>0</v>
      </c>
    </row>
    <row r="127" spans="1:15" x14ac:dyDescent="0.3">
      <c r="A127" s="9" t="s">
        <v>82</v>
      </c>
      <c r="B127" s="10" t="s">
        <v>451</v>
      </c>
      <c r="C127" s="10" t="s">
        <v>22</v>
      </c>
      <c r="D127" s="10" t="s">
        <v>44</v>
      </c>
      <c r="E127" s="10" t="s">
        <v>693</v>
      </c>
      <c r="F127" s="10" t="s">
        <v>694</v>
      </c>
      <c r="G127" s="10" t="s">
        <v>698</v>
      </c>
      <c r="H127" s="11">
        <v>3</v>
      </c>
      <c r="I127" s="11">
        <v>1</v>
      </c>
      <c r="J127" s="11">
        <v>7</v>
      </c>
      <c r="K127" s="11">
        <v>2</v>
      </c>
      <c r="L127" s="11">
        <f t="shared" si="8"/>
        <v>7.2413793103448283</v>
      </c>
      <c r="M127" s="11">
        <f t="shared" si="8"/>
        <v>2.0689655172413794</v>
      </c>
      <c r="N127" s="18">
        <f t="shared" si="9"/>
        <v>2.4137931034482762</v>
      </c>
      <c r="O127" s="18">
        <f t="shared" si="9"/>
        <v>2.0689655172413794</v>
      </c>
    </row>
    <row r="128" spans="1:15" x14ac:dyDescent="0.3">
      <c r="A128" s="9" t="s">
        <v>122</v>
      </c>
      <c r="B128" s="10" t="s">
        <v>489</v>
      </c>
      <c r="C128" s="10" t="s">
        <v>22</v>
      </c>
      <c r="D128" s="10" t="s">
        <v>44</v>
      </c>
      <c r="E128" s="10" t="s">
        <v>693</v>
      </c>
      <c r="F128" s="10" t="s">
        <v>694</v>
      </c>
      <c r="G128" s="10" t="s">
        <v>698</v>
      </c>
      <c r="H128" s="11">
        <v>34</v>
      </c>
      <c r="I128" s="11">
        <v>15</v>
      </c>
      <c r="J128" s="11">
        <v>22</v>
      </c>
      <c r="K128" s="11">
        <v>10</v>
      </c>
      <c r="L128" s="11">
        <f t="shared" si="8"/>
        <v>22.758620689655171</v>
      </c>
      <c r="M128" s="11">
        <f t="shared" si="8"/>
        <v>10.344827586206897</v>
      </c>
      <c r="N128" s="18">
        <f t="shared" si="9"/>
        <v>0.6693711967545638</v>
      </c>
      <c r="O128" s="18">
        <f t="shared" si="9"/>
        <v>0.68965517241379315</v>
      </c>
    </row>
    <row r="129" spans="1:15" x14ac:dyDescent="0.3">
      <c r="A129" s="9" t="s">
        <v>193</v>
      </c>
      <c r="B129" s="10" t="s">
        <v>551</v>
      </c>
      <c r="C129" s="10" t="s">
        <v>22</v>
      </c>
      <c r="D129" s="10" t="s">
        <v>44</v>
      </c>
      <c r="E129" s="10" t="s">
        <v>693</v>
      </c>
      <c r="F129" s="10" t="s">
        <v>694</v>
      </c>
      <c r="G129" s="10" t="s">
        <v>698</v>
      </c>
      <c r="H129" s="11">
        <v>1</v>
      </c>
      <c r="I129" s="11">
        <v>0</v>
      </c>
      <c r="J129" s="11">
        <v>2</v>
      </c>
      <c r="K129" s="11">
        <v>1</v>
      </c>
      <c r="L129" s="11">
        <f t="shared" si="8"/>
        <v>2.0689655172413794</v>
      </c>
      <c r="M129" s="11">
        <f t="shared" si="8"/>
        <v>1.0344827586206897</v>
      </c>
      <c r="N129" s="18">
        <f t="shared" si="9"/>
        <v>2.0689655172413794</v>
      </c>
      <c r="O129" s="18">
        <f t="shared" si="9"/>
        <v>0</v>
      </c>
    </row>
    <row r="130" spans="1:15" x14ac:dyDescent="0.3">
      <c r="A130" s="9" t="s">
        <v>110</v>
      </c>
      <c r="B130" s="10" t="s">
        <v>479</v>
      </c>
      <c r="C130" s="10" t="s">
        <v>22</v>
      </c>
      <c r="D130" s="10" t="s">
        <v>44</v>
      </c>
      <c r="E130" s="10" t="s">
        <v>693</v>
      </c>
      <c r="F130" s="10" t="s">
        <v>694</v>
      </c>
      <c r="G130" s="10" t="s">
        <v>698</v>
      </c>
      <c r="H130" s="11">
        <v>6</v>
      </c>
      <c r="I130" s="11">
        <v>3</v>
      </c>
      <c r="J130" s="11">
        <v>1</v>
      </c>
      <c r="K130" s="11">
        <v>0</v>
      </c>
      <c r="L130" s="11">
        <f t="shared" si="8"/>
        <v>1.0344827586206897</v>
      </c>
      <c r="M130" s="11">
        <f t="shared" si="8"/>
        <v>0</v>
      </c>
      <c r="N130" s="18">
        <f t="shared" si="9"/>
        <v>0.17241379310344829</v>
      </c>
      <c r="O130" s="18">
        <f t="shared" si="9"/>
        <v>0</v>
      </c>
    </row>
    <row r="131" spans="1:15" x14ac:dyDescent="0.3">
      <c r="A131" s="9" t="s">
        <v>45</v>
      </c>
      <c r="B131" s="10" t="s">
        <v>418</v>
      </c>
      <c r="C131" s="10" t="s">
        <v>22</v>
      </c>
      <c r="D131" s="10" t="s">
        <v>44</v>
      </c>
      <c r="E131" s="10" t="s">
        <v>693</v>
      </c>
      <c r="F131" s="10" t="s">
        <v>694</v>
      </c>
      <c r="G131" s="10" t="s">
        <v>698</v>
      </c>
      <c r="H131" s="11">
        <v>48</v>
      </c>
      <c r="I131" s="11">
        <v>22</v>
      </c>
      <c r="J131" s="11">
        <v>30</v>
      </c>
      <c r="K131" s="11">
        <v>14</v>
      </c>
      <c r="L131" s="11">
        <f t="shared" si="8"/>
        <v>31.03448275862069</v>
      </c>
      <c r="M131" s="11">
        <f t="shared" si="8"/>
        <v>14.482758620689657</v>
      </c>
      <c r="N131" s="18">
        <f t="shared" si="9"/>
        <v>0.64655172413793105</v>
      </c>
      <c r="O131" s="18">
        <f t="shared" si="9"/>
        <v>0.65830721003134807</v>
      </c>
    </row>
    <row r="132" spans="1:15" x14ac:dyDescent="0.3">
      <c r="A132" s="5" t="s">
        <v>24</v>
      </c>
      <c r="B132" s="8"/>
      <c r="C132" s="8"/>
      <c r="D132" s="8"/>
      <c r="E132" s="8"/>
      <c r="F132" s="8"/>
      <c r="G132" s="8"/>
      <c r="H132" s="13">
        <f>SUM(H5:H131)</f>
        <v>2776</v>
      </c>
      <c r="I132" s="13">
        <f>SUM(I5:I131)</f>
        <v>1282</v>
      </c>
      <c r="J132" s="13">
        <f t="shared" ref="J132:K132" si="10">SUM(J5:J131)</f>
        <v>2586</v>
      </c>
      <c r="K132" s="13">
        <f t="shared" si="10"/>
        <v>1085</v>
      </c>
      <c r="L132" s="13">
        <f t="shared" si="8"/>
        <v>2675.1724137931033</v>
      </c>
      <c r="M132" s="13">
        <f t="shared" si="8"/>
        <v>1122.4137931034484</v>
      </c>
      <c r="N132" s="14">
        <f t="shared" si="9"/>
        <v>0.96367882341250122</v>
      </c>
      <c r="O132" s="14">
        <f t="shared" si="9"/>
        <v>0.87551777933186303</v>
      </c>
    </row>
    <row r="145" spans="1:26" s="16" customFormat="1" ht="23.35" customHeight="1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  <c r="Z145"/>
    </row>
  </sheetData>
  <autoFilter ref="A4:O132" xr:uid="{60EBAEF1-B3ED-49C0-9A75-083393D4FE3D}"/>
  <mergeCells count="2">
    <mergeCell ref="A3:O3"/>
    <mergeCell ref="R3:Z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18FB-075F-42E5-9DC5-95A3F28C1B60}">
  <dimension ref="A1:CD190"/>
  <sheetViews>
    <sheetView showGridLines="0" zoomScale="70" zoomScaleNormal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1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6" customWidth="1"/>
    <col min="12" max="19" width="16" hidden="1" customWidth="1"/>
    <col min="20" max="23" width="16" customWidth="1"/>
    <col min="24" max="31" width="16" hidden="1" customWidth="1"/>
    <col min="32" max="35" width="16" customWidth="1"/>
    <col min="36" max="43" width="16" hidden="1" customWidth="1"/>
    <col min="46" max="46" width="23" bestFit="1" customWidth="1"/>
    <col min="47" max="47" width="13.88671875" bestFit="1" customWidth="1"/>
    <col min="48" max="50" width="13.88671875" customWidth="1"/>
    <col min="51" max="58" width="13.88671875" hidden="1" customWidth="1"/>
    <col min="59" max="62" width="16.44140625" customWidth="1"/>
    <col min="63" max="70" width="16.44140625" hidden="1" customWidth="1"/>
    <col min="71" max="74" width="16.5546875" customWidth="1"/>
    <col min="75" max="82" width="16.5546875" hidden="1" customWidth="1"/>
  </cols>
  <sheetData>
    <row r="1" spans="1:82" x14ac:dyDescent="0.3">
      <c r="A1" s="1">
        <v>29</v>
      </c>
      <c r="B1" s="1">
        <v>30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82" x14ac:dyDescent="0.3">
      <c r="A2" s="17"/>
      <c r="B2" s="17"/>
      <c r="T2">
        <v>2</v>
      </c>
      <c r="U2">
        <v>3</v>
      </c>
      <c r="V2">
        <v>4</v>
      </c>
      <c r="W2">
        <v>5</v>
      </c>
      <c r="X2">
        <v>6</v>
      </c>
      <c r="Y2">
        <v>7</v>
      </c>
      <c r="Z2">
        <v>8</v>
      </c>
      <c r="AA2">
        <v>9</v>
      </c>
      <c r="AB2">
        <v>10</v>
      </c>
      <c r="AC2">
        <v>11</v>
      </c>
      <c r="AD2">
        <v>12</v>
      </c>
      <c r="AE2">
        <v>13</v>
      </c>
    </row>
    <row r="3" spans="1:82" s="4" customFormat="1" ht="23.5" customHeight="1" x14ac:dyDescent="0.3">
      <c r="A3" s="2" t="str">
        <f>"SAMSUNG S26 FE (08 - "&amp;A1&amp;" SEPTEMBER 2026)"</f>
        <v>SAMSUNG S26 FE (08 - 29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T3" s="2" t="str">
        <f>A3</f>
        <v>SAMSUNG S26 FE (08 - 29 SEPTEMBER 2026)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327</v>
      </c>
      <c r="I4" s="8" t="s">
        <v>328</v>
      </c>
      <c r="J4" s="8" t="s">
        <v>329</v>
      </c>
      <c r="K4" s="8" t="s">
        <v>330</v>
      </c>
      <c r="L4" s="8" t="s">
        <v>331</v>
      </c>
      <c r="M4" s="8" t="s">
        <v>332</v>
      </c>
      <c r="N4" s="8" t="s">
        <v>333</v>
      </c>
      <c r="O4" s="8" t="s">
        <v>334</v>
      </c>
      <c r="P4" s="8" t="s">
        <v>335</v>
      </c>
      <c r="Q4" s="8" t="s">
        <v>336</v>
      </c>
      <c r="R4" s="8" t="s">
        <v>337</v>
      </c>
      <c r="S4" s="8" t="s">
        <v>338</v>
      </c>
      <c r="T4" s="8" t="s">
        <v>339</v>
      </c>
      <c r="U4" s="8" t="s">
        <v>340</v>
      </c>
      <c r="V4" s="8" t="s">
        <v>341</v>
      </c>
      <c r="W4" s="8" t="s">
        <v>342</v>
      </c>
      <c r="X4" s="8" t="s">
        <v>343</v>
      </c>
      <c r="Y4" s="8" t="s">
        <v>344</v>
      </c>
      <c r="Z4" s="8" t="s">
        <v>345</v>
      </c>
      <c r="AA4" s="8" t="s">
        <v>346</v>
      </c>
      <c r="AB4" s="8" t="s">
        <v>347</v>
      </c>
      <c r="AC4" s="8" t="s">
        <v>348</v>
      </c>
      <c r="AD4" s="8" t="s">
        <v>349</v>
      </c>
      <c r="AE4" s="8" t="s">
        <v>350</v>
      </c>
      <c r="AF4" s="8" t="s">
        <v>351</v>
      </c>
      <c r="AG4" s="8" t="s">
        <v>352</v>
      </c>
      <c r="AH4" s="8" t="s">
        <v>353</v>
      </c>
      <c r="AI4" s="8" t="s">
        <v>354</v>
      </c>
      <c r="AJ4" s="8" t="s">
        <v>355</v>
      </c>
      <c r="AK4" s="8" t="s">
        <v>356</v>
      </c>
      <c r="AL4" s="8" t="s">
        <v>357</v>
      </c>
      <c r="AM4" s="8" t="s">
        <v>358</v>
      </c>
      <c r="AN4" s="8" t="s">
        <v>359</v>
      </c>
      <c r="AO4" s="8" t="s">
        <v>360</v>
      </c>
      <c r="AP4" s="8" t="s">
        <v>361</v>
      </c>
      <c r="AQ4" s="8" t="s">
        <v>362</v>
      </c>
      <c r="AT4" s="8" t="s">
        <v>2</v>
      </c>
      <c r="AU4" s="8" t="s">
        <v>327</v>
      </c>
      <c r="AV4" s="8" t="s">
        <v>328</v>
      </c>
      <c r="AW4" s="8" t="s">
        <v>329</v>
      </c>
      <c r="AX4" s="8" t="s">
        <v>330</v>
      </c>
      <c r="AY4" s="8" t="s">
        <v>331</v>
      </c>
      <c r="AZ4" s="8" t="s">
        <v>332</v>
      </c>
      <c r="BA4" s="8" t="s">
        <v>333</v>
      </c>
      <c r="BB4" s="8" t="s">
        <v>334</v>
      </c>
      <c r="BC4" s="8" t="s">
        <v>335</v>
      </c>
      <c r="BD4" s="8" t="s">
        <v>336</v>
      </c>
      <c r="BE4" s="8" t="s">
        <v>337</v>
      </c>
      <c r="BF4" s="8" t="s">
        <v>338</v>
      </c>
      <c r="BG4" s="8" t="s">
        <v>339</v>
      </c>
      <c r="BH4" s="8" t="s">
        <v>340</v>
      </c>
      <c r="BI4" s="8" t="s">
        <v>341</v>
      </c>
      <c r="BJ4" s="8" t="s">
        <v>342</v>
      </c>
      <c r="BK4" s="8" t="s">
        <v>343</v>
      </c>
      <c r="BL4" s="8" t="s">
        <v>344</v>
      </c>
      <c r="BM4" s="8" t="s">
        <v>345</v>
      </c>
      <c r="BN4" s="8" t="s">
        <v>346</v>
      </c>
      <c r="BO4" s="8" t="s">
        <v>347</v>
      </c>
      <c r="BP4" s="8" t="s">
        <v>348</v>
      </c>
      <c r="BQ4" s="8" t="s">
        <v>349</v>
      </c>
      <c r="BR4" s="8" t="s">
        <v>350</v>
      </c>
      <c r="BS4" s="8" t="s">
        <v>351</v>
      </c>
      <c r="BT4" s="8" t="s">
        <v>352</v>
      </c>
      <c r="BU4" s="8" t="s">
        <v>353</v>
      </c>
      <c r="BV4" s="8" t="s">
        <v>354</v>
      </c>
      <c r="BW4" s="8" t="s">
        <v>355</v>
      </c>
      <c r="BX4" s="8" t="s">
        <v>356</v>
      </c>
      <c r="BY4" s="8" t="s">
        <v>357</v>
      </c>
      <c r="BZ4" s="8" t="s">
        <v>358</v>
      </c>
      <c r="CA4" s="8" t="s">
        <v>359</v>
      </c>
      <c r="CB4" s="8" t="s">
        <v>363</v>
      </c>
      <c r="CC4" s="8" t="s">
        <v>361</v>
      </c>
      <c r="CD4" s="8" t="s">
        <v>362</v>
      </c>
    </row>
    <row r="5" spans="1:82" x14ac:dyDescent="0.3">
      <c r="A5" s="9" t="s">
        <v>125</v>
      </c>
      <c r="B5" s="10" t="s">
        <v>491</v>
      </c>
      <c r="C5" s="10" t="s">
        <v>22</v>
      </c>
      <c r="D5" s="10" t="s">
        <v>42</v>
      </c>
      <c r="E5" s="10" t="s">
        <v>693</v>
      </c>
      <c r="F5" s="10" t="s">
        <v>694</v>
      </c>
      <c r="G5" s="10" t="s">
        <v>698</v>
      </c>
      <c r="H5" s="11">
        <v>3.1012987012987101</v>
      </c>
      <c r="I5" s="11">
        <v>3.8010152284263796</v>
      </c>
      <c r="J5" s="11">
        <v>0</v>
      </c>
      <c r="K5" s="11">
        <v>5.1438979963570404</v>
      </c>
      <c r="L5" s="11">
        <v>3.9094076655052192</v>
      </c>
      <c r="M5" s="11">
        <v>2.7045454545454737</v>
      </c>
      <c r="N5" s="11">
        <v>1.3105590062111734</v>
      </c>
      <c r="O5" s="11">
        <v>0</v>
      </c>
      <c r="P5" s="11">
        <v>3.9076212471131502</v>
      </c>
      <c r="Q5" s="11">
        <v>5.232653061224493</v>
      </c>
      <c r="R5" s="11">
        <v>3.9734345351043339</v>
      </c>
      <c r="S5" s="11">
        <v>1.3308957952467966</v>
      </c>
      <c r="T5" s="11">
        <v>4</v>
      </c>
      <c r="U5" s="11">
        <v>2</v>
      </c>
      <c r="V5" s="11">
        <v>4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 t="s">
        <v>403</v>
      </c>
      <c r="AE5" s="11" t="s">
        <v>403</v>
      </c>
      <c r="AF5" s="18">
        <f>IFERROR(T5/H5,0)</f>
        <v>1.2897822445561102</v>
      </c>
      <c r="AG5" s="18">
        <f t="shared" ref="AG5:AQ20" si="0">IFERROR(U5/I5,0)</f>
        <v>0.52617521367521591</v>
      </c>
      <c r="AH5" s="18">
        <f t="shared" si="0"/>
        <v>0</v>
      </c>
      <c r="AI5" s="18">
        <f t="shared" si="0"/>
        <v>0</v>
      </c>
      <c r="AJ5" s="18">
        <f t="shared" si="0"/>
        <v>0</v>
      </c>
      <c r="AK5" s="18">
        <f t="shared" si="0"/>
        <v>0</v>
      </c>
      <c r="AL5" s="18">
        <f t="shared" si="0"/>
        <v>0</v>
      </c>
      <c r="AM5" s="18">
        <f t="shared" si="0"/>
        <v>0</v>
      </c>
      <c r="AN5" s="18">
        <f t="shared" si="0"/>
        <v>0</v>
      </c>
      <c r="AO5" s="18">
        <f t="shared" si="0"/>
        <v>0</v>
      </c>
      <c r="AP5" s="18">
        <f t="shared" si="0"/>
        <v>0</v>
      </c>
      <c r="AQ5" s="18">
        <f t="shared" si="0"/>
        <v>0</v>
      </c>
      <c r="AT5" s="10" t="s">
        <v>20</v>
      </c>
      <c r="AU5" s="11">
        <f>SUMIF($C:$C,$AT5,H:H)</f>
        <v>51.171428571428727</v>
      </c>
      <c r="AV5" s="11">
        <f t="shared" ref="AV5:BK7" si="1">SUMIF($C:$C,$AT5,I:I)</f>
        <v>51.313705583756125</v>
      </c>
      <c r="AW5" s="11">
        <f t="shared" si="1"/>
        <v>70.543677758318566</v>
      </c>
      <c r="AX5" s="11">
        <f t="shared" si="1"/>
        <v>25.719489981785202</v>
      </c>
      <c r="AY5" s="11">
        <f t="shared" si="1"/>
        <v>36.487804878048713</v>
      </c>
      <c r="AZ5" s="11">
        <f t="shared" si="1"/>
        <v>41.56818181818209</v>
      </c>
      <c r="BA5" s="11">
        <f t="shared" si="1"/>
        <v>24.900621118012296</v>
      </c>
      <c r="BB5" s="11">
        <f t="shared" si="1"/>
        <v>29.743271221532254</v>
      </c>
      <c r="BC5" s="11">
        <f t="shared" si="1"/>
        <v>24.748267898383272</v>
      </c>
      <c r="BD5" s="11">
        <f t="shared" si="1"/>
        <v>28.471428571428589</v>
      </c>
      <c r="BE5" s="11">
        <f t="shared" si="1"/>
        <v>43.707779886147669</v>
      </c>
      <c r="BF5" s="11">
        <f t="shared" si="1"/>
        <v>41.257769652650694</v>
      </c>
      <c r="BG5" s="11">
        <f t="shared" si="1"/>
        <v>32</v>
      </c>
      <c r="BH5" s="11">
        <f t="shared" si="1"/>
        <v>29</v>
      </c>
      <c r="BI5" s="11">
        <f t="shared" si="1"/>
        <v>34</v>
      </c>
      <c r="BJ5" s="11">
        <f t="shared" si="1"/>
        <v>6</v>
      </c>
      <c r="BK5" s="11">
        <f t="shared" si="1"/>
        <v>0</v>
      </c>
      <c r="BL5" s="11">
        <f t="shared" ref="BL5:BR7" si="2">SUMIF($C:$C,$AT5,Y:Y)</f>
        <v>0</v>
      </c>
      <c r="BM5" s="11">
        <f t="shared" si="2"/>
        <v>0</v>
      </c>
      <c r="BN5" s="11">
        <f t="shared" si="2"/>
        <v>0</v>
      </c>
      <c r="BO5" s="11">
        <f t="shared" si="2"/>
        <v>0</v>
      </c>
      <c r="BP5" s="11">
        <f t="shared" si="2"/>
        <v>0</v>
      </c>
      <c r="BQ5" s="11">
        <f t="shared" si="2"/>
        <v>0</v>
      </c>
      <c r="BR5" s="11">
        <f t="shared" si="2"/>
        <v>0</v>
      </c>
      <c r="BS5" s="18">
        <f>IFERROR(BG5/AU5,0)</f>
        <v>0.62534896705750787</v>
      </c>
      <c r="BT5" s="18">
        <f t="shared" ref="BT5:CD8" si="3">IFERROR(BH5/AV5,0)</f>
        <v>0.56515115542893568</v>
      </c>
      <c r="BU5" s="18">
        <f t="shared" si="3"/>
        <v>0.48197090200603687</v>
      </c>
      <c r="BV5" s="18">
        <f t="shared" si="3"/>
        <v>0.23328611898016871</v>
      </c>
      <c r="BW5" s="18">
        <f t="shared" si="3"/>
        <v>0</v>
      </c>
      <c r="BX5" s="18">
        <f t="shared" si="3"/>
        <v>0</v>
      </c>
      <c r="BY5" s="18">
        <f t="shared" si="3"/>
        <v>0</v>
      </c>
      <c r="BZ5" s="18">
        <f t="shared" si="3"/>
        <v>0</v>
      </c>
      <c r="CA5" s="18">
        <f t="shared" si="3"/>
        <v>0</v>
      </c>
      <c r="CB5" s="18">
        <f t="shared" si="3"/>
        <v>0</v>
      </c>
      <c r="CC5" s="18">
        <f t="shared" si="3"/>
        <v>0</v>
      </c>
      <c r="CD5" s="18">
        <f t="shared" si="3"/>
        <v>0</v>
      </c>
    </row>
    <row r="6" spans="1:82" x14ac:dyDescent="0.3">
      <c r="A6" s="9" t="s">
        <v>56</v>
      </c>
      <c r="B6" s="10" t="s">
        <v>427</v>
      </c>
      <c r="C6" s="10" t="s">
        <v>22</v>
      </c>
      <c r="D6" s="10" t="s">
        <v>48</v>
      </c>
      <c r="E6" s="10" t="s">
        <v>693</v>
      </c>
      <c r="F6" s="10" t="s">
        <v>694</v>
      </c>
      <c r="G6" s="10" t="s">
        <v>699</v>
      </c>
      <c r="H6" s="11">
        <v>0</v>
      </c>
      <c r="I6" s="11">
        <v>0</v>
      </c>
      <c r="J6" s="11">
        <v>5.7953064798598808</v>
      </c>
      <c r="K6" s="11">
        <v>2.5719489981785202</v>
      </c>
      <c r="L6" s="11">
        <v>1.3031358885017397</v>
      </c>
      <c r="M6" s="11">
        <v>2.7045454545454737</v>
      </c>
      <c r="N6" s="11">
        <v>1.3105590062111734</v>
      </c>
      <c r="O6" s="11">
        <v>1.3519668737060118</v>
      </c>
      <c r="P6" s="11">
        <v>2.6050808314087663</v>
      </c>
      <c r="Q6" s="11">
        <v>1.3081632653061233</v>
      </c>
      <c r="R6" s="11">
        <v>0</v>
      </c>
      <c r="S6" s="11">
        <v>6.6544789762339827</v>
      </c>
      <c r="T6" s="11">
        <v>0</v>
      </c>
      <c r="U6" s="11">
        <v>1</v>
      </c>
      <c r="V6" s="11">
        <v>1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 t="s">
        <v>403</v>
      </c>
      <c r="AE6" s="11" t="s">
        <v>403</v>
      </c>
      <c r="AF6" s="18">
        <f t="shared" ref="AF6:AQ69" si="4">IFERROR(T6/H6,0)</f>
        <v>0</v>
      </c>
      <c r="AG6" s="18">
        <f t="shared" si="0"/>
        <v>0</v>
      </c>
      <c r="AH6" s="18">
        <f t="shared" si="0"/>
        <v>0.17255342810173138</v>
      </c>
      <c r="AI6" s="18">
        <f t="shared" si="0"/>
        <v>0</v>
      </c>
      <c r="AJ6" s="18">
        <f t="shared" si="0"/>
        <v>0</v>
      </c>
      <c r="AK6" s="18">
        <f t="shared" si="0"/>
        <v>0</v>
      </c>
      <c r="AL6" s="18">
        <f t="shared" si="0"/>
        <v>0</v>
      </c>
      <c r="AM6" s="18">
        <f t="shared" si="0"/>
        <v>0</v>
      </c>
      <c r="AN6" s="18">
        <f t="shared" si="0"/>
        <v>0</v>
      </c>
      <c r="AO6" s="18">
        <f t="shared" si="0"/>
        <v>0</v>
      </c>
      <c r="AP6" s="18">
        <f t="shared" si="0"/>
        <v>0</v>
      </c>
      <c r="AQ6" s="18">
        <f t="shared" si="0"/>
        <v>0</v>
      </c>
      <c r="AT6" s="10" t="s">
        <v>22</v>
      </c>
      <c r="AU6" s="11">
        <f>SUMIF($C:$C,$AT6,H:H)</f>
        <v>52.722077922078078</v>
      </c>
      <c r="AV6" s="11">
        <f t="shared" si="1"/>
        <v>83.622335025380352</v>
      </c>
      <c r="AW6" s="11">
        <f t="shared" si="1"/>
        <v>86.929597197898232</v>
      </c>
      <c r="AX6" s="11">
        <f t="shared" si="1"/>
        <v>50.153005464481154</v>
      </c>
      <c r="AY6" s="11">
        <f t="shared" si="1"/>
        <v>63.853658536585272</v>
      </c>
      <c r="AZ6" s="11">
        <f t="shared" si="1"/>
        <v>68.965909090909562</v>
      </c>
      <c r="BA6" s="11">
        <f t="shared" si="1"/>
        <v>44.559006211179877</v>
      </c>
      <c r="BB6" s="11">
        <f t="shared" si="1"/>
        <v>59.486542443064515</v>
      </c>
      <c r="BC6" s="11">
        <f t="shared" si="1"/>
        <v>52.101616628175321</v>
      </c>
      <c r="BD6" s="11">
        <f t="shared" si="1"/>
        <v>43.169387755102072</v>
      </c>
      <c r="BE6" s="11">
        <f t="shared" si="1"/>
        <v>58.277039848196878</v>
      </c>
      <c r="BF6" s="11">
        <f t="shared" si="1"/>
        <v>61.221206581352639</v>
      </c>
      <c r="BG6" s="11">
        <f t="shared" si="1"/>
        <v>53</v>
      </c>
      <c r="BH6" s="11">
        <f t="shared" si="1"/>
        <v>46</v>
      </c>
      <c r="BI6" s="11">
        <f t="shared" si="1"/>
        <v>53</v>
      </c>
      <c r="BJ6" s="11">
        <f t="shared" si="1"/>
        <v>17</v>
      </c>
      <c r="BK6" s="11">
        <f t="shared" si="1"/>
        <v>0</v>
      </c>
      <c r="BL6" s="11">
        <f t="shared" si="2"/>
        <v>0</v>
      </c>
      <c r="BM6" s="11">
        <f t="shared" si="2"/>
        <v>0</v>
      </c>
      <c r="BN6" s="11">
        <f t="shared" si="2"/>
        <v>0</v>
      </c>
      <c r="BO6" s="11">
        <f t="shared" si="2"/>
        <v>0</v>
      </c>
      <c r="BP6" s="11">
        <f t="shared" si="2"/>
        <v>0</v>
      </c>
      <c r="BQ6" s="11">
        <f t="shared" si="2"/>
        <v>0</v>
      </c>
      <c r="BR6" s="11">
        <f t="shared" si="2"/>
        <v>0</v>
      </c>
      <c r="BS6" s="18">
        <f t="shared" ref="BS6:BS8" si="5">IFERROR(BG6/AU6,0)</f>
        <v>1.0052714553157918</v>
      </c>
      <c r="BT6" s="18">
        <f t="shared" si="3"/>
        <v>0.55009226884227125</v>
      </c>
      <c r="BU6" s="18">
        <f t="shared" si="3"/>
        <v>0.60968877929278409</v>
      </c>
      <c r="BV6" s="18">
        <f t="shared" si="3"/>
        <v>0.33896273697973228</v>
      </c>
      <c r="BW6" s="18">
        <f t="shared" si="3"/>
        <v>0</v>
      </c>
      <c r="BX6" s="18">
        <f t="shared" si="3"/>
        <v>0</v>
      </c>
      <c r="BY6" s="18">
        <f t="shared" si="3"/>
        <v>0</v>
      </c>
      <c r="BZ6" s="18">
        <f t="shared" si="3"/>
        <v>0</v>
      </c>
      <c r="CA6" s="18">
        <f t="shared" si="3"/>
        <v>0</v>
      </c>
      <c r="CB6" s="18">
        <f t="shared" si="3"/>
        <v>0</v>
      </c>
      <c r="CC6" s="18">
        <f t="shared" si="3"/>
        <v>0</v>
      </c>
      <c r="CD6" s="18">
        <f t="shared" si="3"/>
        <v>0</v>
      </c>
    </row>
    <row r="7" spans="1:82" x14ac:dyDescent="0.3">
      <c r="A7" s="9" t="s">
        <v>50</v>
      </c>
      <c r="B7" s="10" t="s">
        <v>421</v>
      </c>
      <c r="C7" s="10" t="s">
        <v>22</v>
      </c>
      <c r="D7" s="10" t="s">
        <v>40</v>
      </c>
      <c r="E7" s="10" t="s">
        <v>693</v>
      </c>
      <c r="F7" s="10" t="s">
        <v>694</v>
      </c>
      <c r="G7" s="10" t="s">
        <v>698</v>
      </c>
      <c r="H7" s="11">
        <v>4.6519480519480654</v>
      </c>
      <c r="I7" s="11">
        <v>3.8010152284263796</v>
      </c>
      <c r="J7" s="11">
        <v>3.8635376532399204</v>
      </c>
      <c r="K7" s="11">
        <v>0</v>
      </c>
      <c r="L7" s="11">
        <v>7.8188153310104385</v>
      </c>
      <c r="M7" s="11">
        <v>2.7045454545454737</v>
      </c>
      <c r="N7" s="11">
        <v>1.3105590062111734</v>
      </c>
      <c r="O7" s="11">
        <v>6.7598343685300586</v>
      </c>
      <c r="P7" s="11">
        <v>5.2101616628175327</v>
      </c>
      <c r="Q7" s="11">
        <v>1.3081632653061233</v>
      </c>
      <c r="R7" s="11">
        <v>0</v>
      </c>
      <c r="S7" s="11">
        <v>1.3308957952467966</v>
      </c>
      <c r="T7" s="11">
        <v>2</v>
      </c>
      <c r="U7" s="11">
        <v>3</v>
      </c>
      <c r="V7" s="11">
        <v>4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 t="s">
        <v>403</v>
      </c>
      <c r="AE7" s="11" t="s">
        <v>403</v>
      </c>
      <c r="AF7" s="18">
        <f t="shared" si="4"/>
        <v>0.42992741485203673</v>
      </c>
      <c r="AG7" s="18">
        <f t="shared" si="0"/>
        <v>0.78926282051282393</v>
      </c>
      <c r="AH7" s="18">
        <f t="shared" si="0"/>
        <v>1.0353205686103883</v>
      </c>
      <c r="AI7" s="18">
        <f t="shared" si="0"/>
        <v>0</v>
      </c>
      <c r="AJ7" s="18">
        <f t="shared" si="0"/>
        <v>0</v>
      </c>
      <c r="AK7" s="18">
        <f t="shared" si="0"/>
        <v>0</v>
      </c>
      <c r="AL7" s="18">
        <f t="shared" si="0"/>
        <v>0</v>
      </c>
      <c r="AM7" s="18">
        <f t="shared" si="0"/>
        <v>0</v>
      </c>
      <c r="AN7" s="18">
        <f t="shared" si="0"/>
        <v>0</v>
      </c>
      <c r="AO7" s="18">
        <f t="shared" si="0"/>
        <v>0</v>
      </c>
      <c r="AP7" s="18">
        <f t="shared" si="0"/>
        <v>0</v>
      </c>
      <c r="AQ7" s="18">
        <f t="shared" si="0"/>
        <v>0</v>
      </c>
      <c r="AT7" s="10" t="s">
        <v>118</v>
      </c>
      <c r="AU7" s="11">
        <f>SUMIF($C:$C,$AT7,H:H)</f>
        <v>105.8946291560102</v>
      </c>
      <c r="AV7" s="11">
        <f t="shared" si="1"/>
        <v>205.41392971246023</v>
      </c>
      <c r="AW7" s="11">
        <f t="shared" si="1"/>
        <v>190.41454545454545</v>
      </c>
      <c r="AX7" s="11">
        <f t="shared" si="1"/>
        <v>162.02247191011253</v>
      </c>
      <c r="AY7" s="11">
        <f t="shared" si="1"/>
        <v>123.29006410256387</v>
      </c>
      <c r="AZ7" s="11">
        <f t="shared" si="1"/>
        <v>154.06158357771224</v>
      </c>
      <c r="BA7" s="11">
        <f t="shared" si="1"/>
        <v>102.24590163934428</v>
      </c>
      <c r="BB7" s="11">
        <f t="shared" si="1"/>
        <v>113.30039525691707</v>
      </c>
      <c r="BC7" s="11">
        <f t="shared" si="1"/>
        <v>101.96521739130436</v>
      </c>
      <c r="BD7" s="11">
        <f t="shared" si="1"/>
        <v>120.33970276008483</v>
      </c>
      <c r="BE7" s="11">
        <f t="shared" si="1"/>
        <v>112.38054968287521</v>
      </c>
      <c r="BF7" s="11">
        <f t="shared" si="1"/>
        <v>129.24637681159419</v>
      </c>
      <c r="BG7" s="11">
        <f t="shared" si="1"/>
        <v>86</v>
      </c>
      <c r="BH7" s="11">
        <f t="shared" si="1"/>
        <v>96</v>
      </c>
      <c r="BI7" s="11">
        <f t="shared" si="1"/>
        <v>103</v>
      </c>
      <c r="BJ7" s="11">
        <f t="shared" si="1"/>
        <v>18</v>
      </c>
      <c r="BK7" s="11">
        <f t="shared" si="1"/>
        <v>0</v>
      </c>
      <c r="BL7" s="11">
        <f t="shared" si="2"/>
        <v>0</v>
      </c>
      <c r="BM7" s="11">
        <f t="shared" si="2"/>
        <v>0</v>
      </c>
      <c r="BN7" s="11">
        <f t="shared" si="2"/>
        <v>0</v>
      </c>
      <c r="BO7" s="11">
        <f t="shared" si="2"/>
        <v>0</v>
      </c>
      <c r="BP7" s="11">
        <f t="shared" si="2"/>
        <v>0</v>
      </c>
      <c r="BQ7" s="11">
        <f t="shared" si="2"/>
        <v>0</v>
      </c>
      <c r="BR7" s="11">
        <f t="shared" si="2"/>
        <v>0</v>
      </c>
      <c r="BS7" s="18">
        <f t="shared" si="5"/>
        <v>0.81212806244686631</v>
      </c>
      <c r="BT7" s="18">
        <f t="shared" si="3"/>
        <v>0.46734902610734058</v>
      </c>
      <c r="BU7" s="18">
        <f t="shared" si="3"/>
        <v>0.54092506302039567</v>
      </c>
      <c r="BV7" s="18">
        <f t="shared" si="3"/>
        <v>0.11109570041608866</v>
      </c>
      <c r="BW7" s="18">
        <f t="shared" si="3"/>
        <v>0</v>
      </c>
      <c r="BX7" s="18">
        <f t="shared" si="3"/>
        <v>0</v>
      </c>
      <c r="BY7" s="18">
        <f t="shared" si="3"/>
        <v>0</v>
      </c>
      <c r="BZ7" s="18">
        <f t="shared" si="3"/>
        <v>0</v>
      </c>
      <c r="CA7" s="18">
        <f t="shared" si="3"/>
        <v>0</v>
      </c>
      <c r="CB7" s="18">
        <f t="shared" si="3"/>
        <v>0</v>
      </c>
      <c r="CC7" s="18">
        <f t="shared" si="3"/>
        <v>0</v>
      </c>
      <c r="CD7" s="18">
        <f t="shared" si="3"/>
        <v>0</v>
      </c>
    </row>
    <row r="8" spans="1:82" x14ac:dyDescent="0.3">
      <c r="A8" s="9" t="s">
        <v>57</v>
      </c>
      <c r="B8" s="10" t="s">
        <v>428</v>
      </c>
      <c r="C8" s="10" t="s">
        <v>22</v>
      </c>
      <c r="D8" s="10" t="s">
        <v>46</v>
      </c>
      <c r="E8" s="10" t="s">
        <v>693</v>
      </c>
      <c r="F8" s="10" t="s">
        <v>694</v>
      </c>
      <c r="G8" s="10" t="s">
        <v>700</v>
      </c>
      <c r="H8" s="11">
        <v>0</v>
      </c>
      <c r="I8" s="11">
        <v>1.9005076142131898</v>
      </c>
      <c r="J8" s="11">
        <v>3.8635376532399204</v>
      </c>
      <c r="K8" s="11">
        <v>1.2859744990892601</v>
      </c>
      <c r="L8" s="11">
        <v>5.2125435540069587</v>
      </c>
      <c r="M8" s="11">
        <v>2.7045454545454737</v>
      </c>
      <c r="N8" s="11">
        <v>2.6211180124223468</v>
      </c>
      <c r="O8" s="11">
        <v>2.7039337474120235</v>
      </c>
      <c r="P8" s="11">
        <v>1.3025404157043832</v>
      </c>
      <c r="Q8" s="11">
        <v>1.3081632653061233</v>
      </c>
      <c r="R8" s="11">
        <v>2.6489563567362229</v>
      </c>
      <c r="S8" s="11">
        <v>0</v>
      </c>
      <c r="T8" s="11">
        <v>2</v>
      </c>
      <c r="U8" s="11">
        <v>3</v>
      </c>
      <c r="V8" s="11">
        <v>1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 t="s">
        <v>403</v>
      </c>
      <c r="AE8" s="11" t="s">
        <v>403</v>
      </c>
      <c r="AF8" s="18">
        <f t="shared" si="4"/>
        <v>0</v>
      </c>
      <c r="AG8" s="18">
        <f t="shared" si="0"/>
        <v>1.5785256410256479</v>
      </c>
      <c r="AH8" s="18">
        <f t="shared" si="0"/>
        <v>0.25883014215259709</v>
      </c>
      <c r="AI8" s="18">
        <f t="shared" si="0"/>
        <v>0</v>
      </c>
      <c r="AJ8" s="18">
        <f t="shared" si="0"/>
        <v>0</v>
      </c>
      <c r="AK8" s="18">
        <f t="shared" si="0"/>
        <v>0</v>
      </c>
      <c r="AL8" s="18">
        <f t="shared" si="0"/>
        <v>0</v>
      </c>
      <c r="AM8" s="18">
        <f t="shared" si="0"/>
        <v>0</v>
      </c>
      <c r="AN8" s="18">
        <f t="shared" si="0"/>
        <v>0</v>
      </c>
      <c r="AO8" s="18">
        <f t="shared" si="0"/>
        <v>0</v>
      </c>
      <c r="AP8" s="18">
        <f t="shared" si="0"/>
        <v>0</v>
      </c>
      <c r="AQ8" s="18">
        <f t="shared" si="0"/>
        <v>0</v>
      </c>
      <c r="AT8" s="5" t="s">
        <v>67</v>
      </c>
      <c r="AU8" s="13">
        <f t="shared" ref="AU8:BR8" si="6">SUM(AU5:AU7)</f>
        <v>209.78813564951702</v>
      </c>
      <c r="AV8" s="13">
        <f t="shared" si="6"/>
        <v>340.34997032159674</v>
      </c>
      <c r="AW8" s="13">
        <f t="shared" si="6"/>
        <v>347.88782041076229</v>
      </c>
      <c r="AX8" s="13">
        <f t="shared" si="6"/>
        <v>237.89496735637888</v>
      </c>
      <c r="AY8" s="13">
        <f t="shared" si="6"/>
        <v>223.63152751719787</v>
      </c>
      <c r="AZ8" s="13">
        <f t="shared" si="6"/>
        <v>264.59567448680389</v>
      </c>
      <c r="BA8" s="13">
        <f t="shared" si="6"/>
        <v>171.70552896853644</v>
      </c>
      <c r="BB8" s="13">
        <f t="shared" si="6"/>
        <v>202.53020892151386</v>
      </c>
      <c r="BC8" s="13">
        <f t="shared" si="6"/>
        <v>178.81510191786296</v>
      </c>
      <c r="BD8" s="13">
        <f t="shared" si="6"/>
        <v>191.98051908661549</v>
      </c>
      <c r="BE8" s="13">
        <f t="shared" si="6"/>
        <v>214.36536941721977</v>
      </c>
      <c r="BF8" s="13">
        <f t="shared" si="6"/>
        <v>231.72535304559753</v>
      </c>
      <c r="BG8" s="13">
        <f t="shared" si="6"/>
        <v>171</v>
      </c>
      <c r="BH8" s="13">
        <f t="shared" si="6"/>
        <v>171</v>
      </c>
      <c r="BI8" s="13">
        <f t="shared" si="6"/>
        <v>190</v>
      </c>
      <c r="BJ8" s="13">
        <f t="shared" si="6"/>
        <v>41</v>
      </c>
      <c r="BK8" s="13">
        <f t="shared" si="6"/>
        <v>0</v>
      </c>
      <c r="BL8" s="13">
        <f t="shared" si="6"/>
        <v>0</v>
      </c>
      <c r="BM8" s="13">
        <f t="shared" si="6"/>
        <v>0</v>
      </c>
      <c r="BN8" s="13">
        <f t="shared" si="6"/>
        <v>0</v>
      </c>
      <c r="BO8" s="13">
        <f t="shared" si="6"/>
        <v>0</v>
      </c>
      <c r="BP8" s="13">
        <f t="shared" si="6"/>
        <v>0</v>
      </c>
      <c r="BQ8" s="13">
        <f t="shared" si="6"/>
        <v>0</v>
      </c>
      <c r="BR8" s="13">
        <f t="shared" si="6"/>
        <v>0</v>
      </c>
      <c r="BS8" s="14">
        <f t="shared" si="5"/>
        <v>0.81510805875924985</v>
      </c>
      <c r="BT8" s="14">
        <f t="shared" si="3"/>
        <v>0.50242401913072621</v>
      </c>
      <c r="BU8" s="14">
        <f t="shared" si="3"/>
        <v>0.54615306674335684</v>
      </c>
      <c r="BV8" s="14">
        <f t="shared" si="3"/>
        <v>0.17234496574523955</v>
      </c>
      <c r="BW8" s="14">
        <f t="shared" si="3"/>
        <v>0</v>
      </c>
      <c r="BX8" s="14">
        <f t="shared" si="3"/>
        <v>0</v>
      </c>
      <c r="BY8" s="14">
        <f t="shared" si="3"/>
        <v>0</v>
      </c>
      <c r="BZ8" s="14">
        <f t="shared" si="3"/>
        <v>0</v>
      </c>
      <c r="CA8" s="14">
        <f t="shared" si="3"/>
        <v>0</v>
      </c>
      <c r="CB8" s="14">
        <f t="shared" si="3"/>
        <v>0</v>
      </c>
      <c r="CC8" s="14">
        <f t="shared" si="3"/>
        <v>0</v>
      </c>
      <c r="CD8" s="14">
        <f t="shared" si="3"/>
        <v>0</v>
      </c>
    </row>
    <row r="9" spans="1:82" x14ac:dyDescent="0.3">
      <c r="A9" s="9" t="s">
        <v>124</v>
      </c>
      <c r="B9" s="10" t="s">
        <v>490</v>
      </c>
      <c r="C9" s="10" t="s">
        <v>22</v>
      </c>
      <c r="D9" s="10" t="s">
        <v>42</v>
      </c>
      <c r="E9" s="10" t="s">
        <v>693</v>
      </c>
      <c r="F9" s="10" t="s">
        <v>694</v>
      </c>
      <c r="G9" s="10" t="s">
        <v>699</v>
      </c>
      <c r="H9" s="11">
        <v>1.5506493506493551</v>
      </c>
      <c r="I9" s="11">
        <v>1.9005076142131898</v>
      </c>
      <c r="J9" s="11">
        <v>3.8635376532399204</v>
      </c>
      <c r="K9" s="11">
        <v>1.2859744990892601</v>
      </c>
      <c r="L9" s="11">
        <v>0</v>
      </c>
      <c r="M9" s="11">
        <v>1.3522727272727368</v>
      </c>
      <c r="N9" s="11">
        <v>0</v>
      </c>
      <c r="O9" s="11">
        <v>4.0559006211180346</v>
      </c>
      <c r="P9" s="11">
        <v>0</v>
      </c>
      <c r="Q9" s="11">
        <v>0</v>
      </c>
      <c r="R9" s="11">
        <v>1.3244781783681114</v>
      </c>
      <c r="S9" s="11">
        <v>0</v>
      </c>
      <c r="T9" s="11" t="s">
        <v>403</v>
      </c>
      <c r="U9" s="11" t="s">
        <v>403</v>
      </c>
      <c r="V9" s="11" t="s">
        <v>403</v>
      </c>
      <c r="W9" s="11" t="s">
        <v>403</v>
      </c>
      <c r="X9" s="11" t="s">
        <v>403</v>
      </c>
      <c r="Y9" s="11" t="s">
        <v>403</v>
      </c>
      <c r="Z9" s="11" t="s">
        <v>403</v>
      </c>
      <c r="AA9" s="11" t="s">
        <v>403</v>
      </c>
      <c r="AB9" s="11" t="s">
        <v>403</v>
      </c>
      <c r="AC9" s="11" t="s">
        <v>403</v>
      </c>
      <c r="AD9" s="11" t="s">
        <v>403</v>
      </c>
      <c r="AE9" s="11" t="s">
        <v>403</v>
      </c>
      <c r="AF9" s="18">
        <f t="shared" si="4"/>
        <v>0</v>
      </c>
      <c r="AG9" s="18">
        <f t="shared" si="0"/>
        <v>0</v>
      </c>
      <c r="AH9" s="18">
        <f t="shared" si="0"/>
        <v>0</v>
      </c>
      <c r="AI9" s="18">
        <f t="shared" si="0"/>
        <v>0</v>
      </c>
      <c r="AJ9" s="18">
        <f t="shared" si="0"/>
        <v>0</v>
      </c>
      <c r="AK9" s="18">
        <f t="shared" si="0"/>
        <v>0</v>
      </c>
      <c r="AL9" s="18">
        <f t="shared" si="0"/>
        <v>0</v>
      </c>
      <c r="AM9" s="18">
        <f t="shared" si="0"/>
        <v>0</v>
      </c>
      <c r="AN9" s="18">
        <f t="shared" si="0"/>
        <v>0</v>
      </c>
      <c r="AO9" s="18">
        <f t="shared" si="0"/>
        <v>0</v>
      </c>
      <c r="AP9" s="18">
        <f t="shared" si="0"/>
        <v>0</v>
      </c>
      <c r="AQ9" s="18">
        <f t="shared" si="0"/>
        <v>0</v>
      </c>
    </row>
    <row r="10" spans="1:82" x14ac:dyDescent="0.3">
      <c r="A10" s="9" t="s">
        <v>364</v>
      </c>
      <c r="B10" s="10" t="s">
        <v>674</v>
      </c>
      <c r="C10" s="10" t="s">
        <v>22</v>
      </c>
      <c r="D10" s="10" t="s">
        <v>28</v>
      </c>
      <c r="E10" s="10" t="s">
        <v>693</v>
      </c>
      <c r="F10" s="10" t="s">
        <v>701</v>
      </c>
      <c r="G10" s="10" t="s">
        <v>695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 t="s">
        <v>403</v>
      </c>
      <c r="U10" s="11" t="s">
        <v>403</v>
      </c>
      <c r="V10" s="11" t="s">
        <v>403</v>
      </c>
      <c r="W10" s="11" t="s">
        <v>403</v>
      </c>
      <c r="X10" s="11" t="s">
        <v>403</v>
      </c>
      <c r="Y10" s="11" t="s">
        <v>403</v>
      </c>
      <c r="Z10" s="11" t="s">
        <v>403</v>
      </c>
      <c r="AA10" s="11" t="s">
        <v>403</v>
      </c>
      <c r="AB10" s="11" t="s">
        <v>403</v>
      </c>
      <c r="AC10" s="11" t="s">
        <v>403</v>
      </c>
      <c r="AD10" s="11" t="s">
        <v>403</v>
      </c>
      <c r="AE10" s="11" t="s">
        <v>403</v>
      </c>
      <c r="AF10" s="18">
        <f t="shared" si="4"/>
        <v>0</v>
      </c>
      <c r="AG10" s="18">
        <f t="shared" si="0"/>
        <v>0</v>
      </c>
      <c r="AH10" s="18">
        <f t="shared" si="0"/>
        <v>0</v>
      </c>
      <c r="AI10" s="18">
        <f t="shared" si="0"/>
        <v>0</v>
      </c>
      <c r="AJ10" s="18">
        <f t="shared" si="0"/>
        <v>0</v>
      </c>
      <c r="AK10" s="18">
        <f t="shared" si="0"/>
        <v>0</v>
      </c>
      <c r="AL10" s="18">
        <f t="shared" si="0"/>
        <v>0</v>
      </c>
      <c r="AM10" s="18">
        <f t="shared" si="0"/>
        <v>0</v>
      </c>
      <c r="AN10" s="18">
        <f t="shared" si="0"/>
        <v>0</v>
      </c>
      <c r="AO10" s="18">
        <f t="shared" si="0"/>
        <v>0</v>
      </c>
      <c r="AP10" s="18">
        <f t="shared" si="0"/>
        <v>0</v>
      </c>
      <c r="AQ10" s="18">
        <f t="shared" si="0"/>
        <v>0</v>
      </c>
      <c r="AT10" s="8" t="s">
        <v>3</v>
      </c>
      <c r="AU10" s="8" t="s">
        <v>327</v>
      </c>
      <c r="AV10" s="8" t="s">
        <v>328</v>
      </c>
      <c r="AW10" s="8" t="s">
        <v>329</v>
      </c>
      <c r="AX10" s="8" t="s">
        <v>330</v>
      </c>
      <c r="AY10" s="8" t="s">
        <v>331</v>
      </c>
      <c r="AZ10" s="8" t="s">
        <v>332</v>
      </c>
      <c r="BA10" s="8" t="s">
        <v>333</v>
      </c>
      <c r="BB10" s="8" t="s">
        <v>334</v>
      </c>
      <c r="BC10" s="8" t="s">
        <v>335</v>
      </c>
      <c r="BD10" s="8" t="s">
        <v>336</v>
      </c>
      <c r="BE10" s="8" t="s">
        <v>337</v>
      </c>
      <c r="BF10" s="8" t="s">
        <v>338</v>
      </c>
      <c r="BG10" s="8" t="s">
        <v>339</v>
      </c>
      <c r="BH10" s="8" t="s">
        <v>340</v>
      </c>
      <c r="BI10" s="8" t="s">
        <v>341</v>
      </c>
      <c r="BJ10" s="8" t="s">
        <v>342</v>
      </c>
      <c r="BK10" s="8" t="s">
        <v>343</v>
      </c>
      <c r="BL10" s="8" t="s">
        <v>344</v>
      </c>
      <c r="BM10" s="8" t="s">
        <v>345</v>
      </c>
      <c r="BN10" s="8" t="s">
        <v>346</v>
      </c>
      <c r="BO10" s="8" t="s">
        <v>347</v>
      </c>
      <c r="BP10" s="8" t="s">
        <v>348</v>
      </c>
      <c r="BQ10" s="8" t="s">
        <v>349</v>
      </c>
      <c r="BR10" s="8" t="s">
        <v>350</v>
      </c>
      <c r="BS10" s="8" t="s">
        <v>351</v>
      </c>
      <c r="BT10" s="8" t="s">
        <v>352</v>
      </c>
      <c r="BU10" s="8" t="s">
        <v>353</v>
      </c>
      <c r="BV10" s="8" t="s">
        <v>354</v>
      </c>
      <c r="BW10" s="8" t="s">
        <v>355</v>
      </c>
      <c r="BX10" s="8" t="s">
        <v>356</v>
      </c>
      <c r="BY10" s="8" t="s">
        <v>357</v>
      </c>
      <c r="BZ10" s="8" t="s">
        <v>358</v>
      </c>
      <c r="CA10" s="8" t="s">
        <v>359</v>
      </c>
      <c r="CB10" s="8" t="s">
        <v>363</v>
      </c>
      <c r="CC10" s="8" t="s">
        <v>361</v>
      </c>
      <c r="CD10" s="8" t="s">
        <v>362</v>
      </c>
    </row>
    <row r="11" spans="1:82" x14ac:dyDescent="0.3">
      <c r="A11" s="9" t="s">
        <v>155</v>
      </c>
      <c r="B11" s="10" t="s">
        <v>513</v>
      </c>
      <c r="C11" s="10" t="s">
        <v>22</v>
      </c>
      <c r="D11" s="10" t="s">
        <v>42</v>
      </c>
      <c r="E11" s="10" t="s">
        <v>693</v>
      </c>
      <c r="F11" s="10" t="s">
        <v>694</v>
      </c>
      <c r="G11" s="10" t="s">
        <v>699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 t="s">
        <v>403</v>
      </c>
      <c r="AE11" s="11" t="s">
        <v>403</v>
      </c>
      <c r="AF11" s="18">
        <f t="shared" si="4"/>
        <v>0</v>
      </c>
      <c r="AG11" s="18">
        <f t="shared" si="0"/>
        <v>0</v>
      </c>
      <c r="AH11" s="18">
        <f t="shared" si="0"/>
        <v>0</v>
      </c>
      <c r="AI11" s="18">
        <f t="shared" si="0"/>
        <v>0</v>
      </c>
      <c r="AJ11" s="18">
        <f t="shared" si="0"/>
        <v>0</v>
      </c>
      <c r="AK11" s="18">
        <f t="shared" si="0"/>
        <v>0</v>
      </c>
      <c r="AL11" s="18">
        <f t="shared" si="0"/>
        <v>0</v>
      </c>
      <c r="AM11" s="18">
        <f t="shared" si="0"/>
        <v>0</v>
      </c>
      <c r="AN11" s="18">
        <f t="shared" si="0"/>
        <v>0</v>
      </c>
      <c r="AO11" s="18">
        <f t="shared" si="0"/>
        <v>0</v>
      </c>
      <c r="AP11" s="18">
        <f t="shared" si="0"/>
        <v>0</v>
      </c>
      <c r="AQ11" s="18">
        <f t="shared" si="0"/>
        <v>0</v>
      </c>
      <c r="AT11" s="10" t="s">
        <v>28</v>
      </c>
      <c r="AU11" s="11">
        <f t="shared" ref="AU11:BJ24" si="7">SUMIF($D:$D,$AT11,H:H)</f>
        <v>1.5506493506493551</v>
      </c>
      <c r="AV11" s="11">
        <f t="shared" si="7"/>
        <v>20.905583756345088</v>
      </c>
      <c r="AW11" s="11">
        <f t="shared" si="7"/>
        <v>13.522381786339722</v>
      </c>
      <c r="AX11" s="11">
        <f t="shared" si="7"/>
        <v>5.1438979963570404</v>
      </c>
      <c r="AY11" s="11">
        <f t="shared" si="7"/>
        <v>13.031358885017395</v>
      </c>
      <c r="AZ11" s="11">
        <f t="shared" si="7"/>
        <v>12.17045454545463</v>
      </c>
      <c r="BA11" s="11">
        <f t="shared" si="7"/>
        <v>10.484472049689385</v>
      </c>
      <c r="BB11" s="11">
        <f t="shared" si="7"/>
        <v>4.0559006211180355</v>
      </c>
      <c r="BC11" s="11">
        <f t="shared" si="7"/>
        <v>5.2101616628175327</v>
      </c>
      <c r="BD11" s="11">
        <f t="shared" si="7"/>
        <v>5.232653061224493</v>
      </c>
      <c r="BE11" s="11">
        <f t="shared" si="7"/>
        <v>14.569259962049225</v>
      </c>
      <c r="BF11" s="11">
        <f t="shared" si="7"/>
        <v>7.985374771480779</v>
      </c>
      <c r="BG11" s="11">
        <f t="shared" si="7"/>
        <v>9</v>
      </c>
      <c r="BH11" s="11">
        <f t="shared" si="7"/>
        <v>9</v>
      </c>
      <c r="BI11" s="11">
        <f t="shared" si="7"/>
        <v>7</v>
      </c>
      <c r="BJ11" s="11">
        <f t="shared" si="7"/>
        <v>2</v>
      </c>
      <c r="BK11" s="11">
        <f t="shared" ref="BK11:BR24" si="8">SUMIF($D:$D,$AT11,X:X)</f>
        <v>0</v>
      </c>
      <c r="BL11" s="11">
        <f t="shared" si="8"/>
        <v>0</v>
      </c>
      <c r="BM11" s="11">
        <f t="shared" si="8"/>
        <v>0</v>
      </c>
      <c r="BN11" s="11">
        <f t="shared" si="8"/>
        <v>0</v>
      </c>
      <c r="BO11" s="11">
        <f t="shared" si="8"/>
        <v>0</v>
      </c>
      <c r="BP11" s="11">
        <f t="shared" si="8"/>
        <v>0</v>
      </c>
      <c r="BQ11" s="11">
        <f t="shared" si="8"/>
        <v>0</v>
      </c>
      <c r="BR11" s="11">
        <f t="shared" si="8"/>
        <v>0</v>
      </c>
      <c r="BS11" s="18">
        <f t="shared" ref="BS11:CD25" si="9">IFERROR(BG11/AU11,0)</f>
        <v>5.8040201005024965</v>
      </c>
      <c r="BT11" s="18">
        <f t="shared" si="9"/>
        <v>0.43050699300699485</v>
      </c>
      <c r="BU11" s="18">
        <f t="shared" si="9"/>
        <v>0.51766028430519417</v>
      </c>
      <c r="BV11" s="18">
        <f t="shared" si="9"/>
        <v>0.38881019830028118</v>
      </c>
      <c r="BW11" s="18">
        <f t="shared" si="9"/>
        <v>0</v>
      </c>
      <c r="BX11" s="18">
        <f t="shared" si="9"/>
        <v>0</v>
      </c>
      <c r="BY11" s="18">
        <f t="shared" si="9"/>
        <v>0</v>
      </c>
      <c r="BZ11" s="18">
        <f t="shared" si="9"/>
        <v>0</v>
      </c>
      <c r="CA11" s="18">
        <f t="shared" si="9"/>
        <v>0</v>
      </c>
      <c r="CB11" s="18">
        <f t="shared" si="9"/>
        <v>0</v>
      </c>
      <c r="CC11" s="18">
        <f t="shared" si="9"/>
        <v>0</v>
      </c>
      <c r="CD11" s="18">
        <f t="shared" si="9"/>
        <v>0</v>
      </c>
    </row>
    <row r="12" spans="1:82" x14ac:dyDescent="0.3">
      <c r="A12" s="9" t="s">
        <v>365</v>
      </c>
      <c r="B12" s="10" t="s">
        <v>675</v>
      </c>
      <c r="C12" s="10" t="s">
        <v>22</v>
      </c>
      <c r="D12" s="10" t="s">
        <v>40</v>
      </c>
      <c r="E12" s="10" t="s">
        <v>693</v>
      </c>
      <c r="F12" s="10" t="s">
        <v>701</v>
      </c>
      <c r="G12" s="10" t="s">
        <v>698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 t="s">
        <v>403</v>
      </c>
      <c r="U12" s="11" t="s">
        <v>403</v>
      </c>
      <c r="V12" s="11" t="s">
        <v>403</v>
      </c>
      <c r="W12" s="11" t="s">
        <v>403</v>
      </c>
      <c r="X12" s="11" t="s">
        <v>403</v>
      </c>
      <c r="Y12" s="11" t="s">
        <v>403</v>
      </c>
      <c r="Z12" s="11" t="s">
        <v>403</v>
      </c>
      <c r="AA12" s="11" t="s">
        <v>403</v>
      </c>
      <c r="AB12" s="11" t="s">
        <v>403</v>
      </c>
      <c r="AC12" s="11" t="s">
        <v>403</v>
      </c>
      <c r="AD12" s="11" t="s">
        <v>403</v>
      </c>
      <c r="AE12" s="11" t="s">
        <v>403</v>
      </c>
      <c r="AF12" s="18">
        <f t="shared" si="4"/>
        <v>0</v>
      </c>
      <c r="AG12" s="18">
        <f t="shared" si="0"/>
        <v>0</v>
      </c>
      <c r="AH12" s="18">
        <f t="shared" si="0"/>
        <v>0</v>
      </c>
      <c r="AI12" s="18">
        <f t="shared" si="0"/>
        <v>0</v>
      </c>
      <c r="AJ12" s="18">
        <f t="shared" si="0"/>
        <v>0</v>
      </c>
      <c r="AK12" s="18">
        <f t="shared" si="0"/>
        <v>0</v>
      </c>
      <c r="AL12" s="18">
        <f t="shared" si="0"/>
        <v>0</v>
      </c>
      <c r="AM12" s="18">
        <f t="shared" si="0"/>
        <v>0</v>
      </c>
      <c r="AN12" s="18">
        <f t="shared" si="0"/>
        <v>0</v>
      </c>
      <c r="AO12" s="18">
        <f t="shared" si="0"/>
        <v>0</v>
      </c>
      <c r="AP12" s="18">
        <f t="shared" si="0"/>
        <v>0</v>
      </c>
      <c r="AQ12" s="18">
        <f t="shared" si="0"/>
        <v>0</v>
      </c>
      <c r="AT12" s="10" t="s">
        <v>48</v>
      </c>
      <c r="AU12" s="11">
        <f t="shared" si="7"/>
        <v>6.2025974025974202</v>
      </c>
      <c r="AV12" s="11">
        <f t="shared" si="7"/>
        <v>9.5025380710659491</v>
      </c>
      <c r="AW12" s="11">
        <f t="shared" si="7"/>
        <v>15.454150612959682</v>
      </c>
      <c r="AX12" s="11">
        <f t="shared" si="7"/>
        <v>14.145719489981861</v>
      </c>
      <c r="AY12" s="11">
        <f t="shared" si="7"/>
        <v>6.5156794425086986</v>
      </c>
      <c r="AZ12" s="11">
        <f t="shared" si="7"/>
        <v>14.875000000000105</v>
      </c>
      <c r="BA12" s="11">
        <f t="shared" si="7"/>
        <v>7.8633540372670403</v>
      </c>
      <c r="BB12" s="11">
        <f t="shared" si="7"/>
        <v>9.4637681159420808</v>
      </c>
      <c r="BC12" s="11">
        <f t="shared" si="7"/>
        <v>9.117782909930682</v>
      </c>
      <c r="BD12" s="11">
        <f t="shared" si="7"/>
        <v>10.465306122448984</v>
      </c>
      <c r="BE12" s="11">
        <f t="shared" si="7"/>
        <v>5.2979127134724457</v>
      </c>
      <c r="BF12" s="11">
        <f t="shared" si="7"/>
        <v>22.625228519195542</v>
      </c>
      <c r="BG12" s="11">
        <f t="shared" si="7"/>
        <v>11</v>
      </c>
      <c r="BH12" s="11">
        <f t="shared" si="7"/>
        <v>5</v>
      </c>
      <c r="BI12" s="11">
        <f t="shared" si="7"/>
        <v>9</v>
      </c>
      <c r="BJ12" s="11">
        <f t="shared" si="7"/>
        <v>2</v>
      </c>
      <c r="BK12" s="11">
        <f t="shared" si="8"/>
        <v>0</v>
      </c>
      <c r="BL12" s="11">
        <f t="shared" si="8"/>
        <v>0</v>
      </c>
      <c r="BM12" s="11">
        <f t="shared" si="8"/>
        <v>0</v>
      </c>
      <c r="BN12" s="11">
        <f t="shared" si="8"/>
        <v>0</v>
      </c>
      <c r="BO12" s="11">
        <f t="shared" si="8"/>
        <v>0</v>
      </c>
      <c r="BP12" s="11">
        <f t="shared" si="8"/>
        <v>0</v>
      </c>
      <c r="BQ12" s="11">
        <f t="shared" si="8"/>
        <v>0</v>
      </c>
      <c r="BR12" s="11">
        <f t="shared" si="8"/>
        <v>0</v>
      </c>
      <c r="BS12" s="18">
        <f t="shared" si="9"/>
        <v>1.7734505862646517</v>
      </c>
      <c r="BT12" s="18">
        <f t="shared" si="9"/>
        <v>0.52617521367521591</v>
      </c>
      <c r="BU12" s="18">
        <f t="shared" si="9"/>
        <v>0.58236781984334351</v>
      </c>
      <c r="BV12" s="18">
        <f t="shared" si="9"/>
        <v>0.14138552665464771</v>
      </c>
      <c r="BW12" s="18">
        <f t="shared" si="9"/>
        <v>0</v>
      </c>
      <c r="BX12" s="18">
        <f t="shared" si="9"/>
        <v>0</v>
      </c>
      <c r="BY12" s="18">
        <f t="shared" si="9"/>
        <v>0</v>
      </c>
      <c r="BZ12" s="18">
        <f t="shared" si="9"/>
        <v>0</v>
      </c>
      <c r="CA12" s="18">
        <f t="shared" si="9"/>
        <v>0</v>
      </c>
      <c r="CB12" s="18">
        <f t="shared" si="9"/>
        <v>0</v>
      </c>
      <c r="CC12" s="18">
        <f t="shared" si="9"/>
        <v>0</v>
      </c>
      <c r="CD12" s="18">
        <f t="shared" si="9"/>
        <v>0</v>
      </c>
    </row>
    <row r="13" spans="1:82" x14ac:dyDescent="0.3">
      <c r="A13" s="9" t="s">
        <v>93</v>
      </c>
      <c r="B13" s="10" t="s">
        <v>462</v>
      </c>
      <c r="C13" s="10" t="s">
        <v>22</v>
      </c>
      <c r="D13" s="10" t="s">
        <v>42</v>
      </c>
      <c r="E13" s="10" t="s">
        <v>693</v>
      </c>
      <c r="F13" s="10" t="s">
        <v>694</v>
      </c>
      <c r="G13" s="10" t="s">
        <v>699</v>
      </c>
      <c r="H13" s="11">
        <v>3.1012987012987101</v>
      </c>
      <c r="I13" s="11">
        <v>0</v>
      </c>
      <c r="J13" s="11">
        <v>5.7953064798598808</v>
      </c>
      <c r="K13" s="11">
        <v>0</v>
      </c>
      <c r="L13" s="11">
        <v>0</v>
      </c>
      <c r="M13" s="11">
        <v>0</v>
      </c>
      <c r="N13" s="11">
        <v>0</v>
      </c>
      <c r="O13" s="11">
        <v>1.3519668737060118</v>
      </c>
      <c r="P13" s="11">
        <v>0</v>
      </c>
      <c r="Q13" s="11">
        <v>0</v>
      </c>
      <c r="R13" s="11">
        <v>1.3244781783681114</v>
      </c>
      <c r="S13" s="11">
        <v>0</v>
      </c>
      <c r="T13" s="11">
        <v>1</v>
      </c>
      <c r="U13" s="11">
        <v>1</v>
      </c>
      <c r="V13" s="11">
        <v>1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 t="s">
        <v>403</v>
      </c>
      <c r="AE13" s="11" t="s">
        <v>403</v>
      </c>
      <c r="AF13" s="18">
        <f t="shared" si="4"/>
        <v>0.32244556113902756</v>
      </c>
      <c r="AG13" s="18">
        <f t="shared" si="0"/>
        <v>0</v>
      </c>
      <c r="AH13" s="18">
        <f t="shared" si="0"/>
        <v>0.17255342810173138</v>
      </c>
      <c r="AI13" s="18">
        <f t="shared" si="0"/>
        <v>0</v>
      </c>
      <c r="AJ13" s="18">
        <f t="shared" si="0"/>
        <v>0</v>
      </c>
      <c r="AK13" s="18">
        <f t="shared" si="0"/>
        <v>0</v>
      </c>
      <c r="AL13" s="18">
        <f t="shared" si="0"/>
        <v>0</v>
      </c>
      <c r="AM13" s="18">
        <f t="shared" si="0"/>
        <v>0</v>
      </c>
      <c r="AN13" s="18">
        <f t="shared" si="0"/>
        <v>0</v>
      </c>
      <c r="AO13" s="18">
        <f t="shared" si="0"/>
        <v>0</v>
      </c>
      <c r="AP13" s="18">
        <f t="shared" si="0"/>
        <v>0</v>
      </c>
      <c r="AQ13" s="18">
        <f t="shared" si="0"/>
        <v>0</v>
      </c>
      <c r="AT13" s="10" t="s">
        <v>42</v>
      </c>
      <c r="AU13" s="11">
        <f t="shared" si="7"/>
        <v>9.3038961038961308</v>
      </c>
      <c r="AV13" s="11">
        <f t="shared" si="7"/>
        <v>13.303553299492329</v>
      </c>
      <c r="AW13" s="11">
        <f t="shared" si="7"/>
        <v>13.522381786339722</v>
      </c>
      <c r="AX13" s="11">
        <f t="shared" si="7"/>
        <v>7.7158469945355606</v>
      </c>
      <c r="AY13" s="11">
        <f t="shared" si="7"/>
        <v>7.8188153310104376</v>
      </c>
      <c r="AZ13" s="11">
        <f t="shared" si="7"/>
        <v>6.7613636363636846</v>
      </c>
      <c r="BA13" s="11">
        <f t="shared" si="7"/>
        <v>3.9316770186335201</v>
      </c>
      <c r="BB13" s="11">
        <f t="shared" si="7"/>
        <v>9.4637681159420808</v>
      </c>
      <c r="BC13" s="11">
        <f t="shared" si="7"/>
        <v>9.1177829099306837</v>
      </c>
      <c r="BD13" s="11">
        <f t="shared" si="7"/>
        <v>7.8489795918367395</v>
      </c>
      <c r="BE13" s="11">
        <f t="shared" si="7"/>
        <v>9.2713472485767809</v>
      </c>
      <c r="BF13" s="11">
        <f t="shared" si="7"/>
        <v>5.3235831809871863</v>
      </c>
      <c r="BG13" s="11">
        <f t="shared" si="7"/>
        <v>11</v>
      </c>
      <c r="BH13" s="11">
        <f t="shared" si="7"/>
        <v>6</v>
      </c>
      <c r="BI13" s="11">
        <f t="shared" si="7"/>
        <v>9</v>
      </c>
      <c r="BJ13" s="11">
        <f t="shared" si="7"/>
        <v>2</v>
      </c>
      <c r="BK13" s="11">
        <f t="shared" si="8"/>
        <v>0</v>
      </c>
      <c r="BL13" s="11">
        <f t="shared" si="8"/>
        <v>0</v>
      </c>
      <c r="BM13" s="11">
        <f t="shared" si="8"/>
        <v>0</v>
      </c>
      <c r="BN13" s="11">
        <f t="shared" si="8"/>
        <v>0</v>
      </c>
      <c r="BO13" s="11">
        <f t="shared" si="8"/>
        <v>0</v>
      </c>
      <c r="BP13" s="11">
        <f t="shared" si="8"/>
        <v>0</v>
      </c>
      <c r="BQ13" s="11">
        <f t="shared" si="8"/>
        <v>0</v>
      </c>
      <c r="BR13" s="11">
        <f t="shared" si="8"/>
        <v>0</v>
      </c>
      <c r="BS13" s="18">
        <f t="shared" si="9"/>
        <v>1.1823003908431009</v>
      </c>
      <c r="BT13" s="18">
        <f t="shared" si="9"/>
        <v>0.45100732600732796</v>
      </c>
      <c r="BU13" s="18">
        <f t="shared" si="9"/>
        <v>0.66556322267810686</v>
      </c>
      <c r="BV13" s="18">
        <f t="shared" si="9"/>
        <v>0.25920679886685416</v>
      </c>
      <c r="BW13" s="18">
        <f t="shared" si="9"/>
        <v>0</v>
      </c>
      <c r="BX13" s="18">
        <f t="shared" si="9"/>
        <v>0</v>
      </c>
      <c r="BY13" s="18">
        <f t="shared" si="9"/>
        <v>0</v>
      </c>
      <c r="BZ13" s="18">
        <f t="shared" si="9"/>
        <v>0</v>
      </c>
      <c r="CA13" s="18">
        <f t="shared" si="9"/>
        <v>0</v>
      </c>
      <c r="CB13" s="18">
        <f t="shared" si="9"/>
        <v>0</v>
      </c>
      <c r="CC13" s="18">
        <f t="shared" si="9"/>
        <v>0</v>
      </c>
      <c r="CD13" s="18">
        <f t="shared" si="9"/>
        <v>0</v>
      </c>
    </row>
    <row r="14" spans="1:82" x14ac:dyDescent="0.3">
      <c r="A14" s="9" t="s">
        <v>101</v>
      </c>
      <c r="B14" s="10" t="s">
        <v>470</v>
      </c>
      <c r="C14" s="10" t="s">
        <v>22</v>
      </c>
      <c r="D14" s="10" t="s">
        <v>48</v>
      </c>
      <c r="E14" s="10" t="s">
        <v>693</v>
      </c>
      <c r="F14" s="10" t="s">
        <v>694</v>
      </c>
      <c r="G14" s="10" t="s">
        <v>699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 t="s">
        <v>403</v>
      </c>
      <c r="U14" s="11" t="s">
        <v>403</v>
      </c>
      <c r="V14" s="11" t="s">
        <v>403</v>
      </c>
      <c r="W14" s="11" t="s">
        <v>403</v>
      </c>
      <c r="X14" s="11" t="s">
        <v>403</v>
      </c>
      <c r="Y14" s="11" t="s">
        <v>403</v>
      </c>
      <c r="Z14" s="11" t="s">
        <v>403</v>
      </c>
      <c r="AA14" s="11" t="s">
        <v>403</v>
      </c>
      <c r="AB14" s="11" t="s">
        <v>403</v>
      </c>
      <c r="AC14" s="11" t="s">
        <v>403</v>
      </c>
      <c r="AD14" s="11" t="s">
        <v>403</v>
      </c>
      <c r="AE14" s="11" t="s">
        <v>403</v>
      </c>
      <c r="AF14" s="18">
        <f t="shared" si="4"/>
        <v>0</v>
      </c>
      <c r="AG14" s="18">
        <f t="shared" si="0"/>
        <v>0</v>
      </c>
      <c r="AH14" s="18">
        <f t="shared" si="0"/>
        <v>0</v>
      </c>
      <c r="AI14" s="18">
        <f t="shared" si="0"/>
        <v>0</v>
      </c>
      <c r="AJ14" s="18">
        <f t="shared" si="0"/>
        <v>0</v>
      </c>
      <c r="AK14" s="18">
        <f t="shared" si="0"/>
        <v>0</v>
      </c>
      <c r="AL14" s="18">
        <f t="shared" si="0"/>
        <v>0</v>
      </c>
      <c r="AM14" s="18">
        <f t="shared" si="0"/>
        <v>0</v>
      </c>
      <c r="AN14" s="18">
        <f t="shared" si="0"/>
        <v>0</v>
      </c>
      <c r="AO14" s="18">
        <f t="shared" si="0"/>
        <v>0</v>
      </c>
      <c r="AP14" s="18">
        <f t="shared" si="0"/>
        <v>0</v>
      </c>
      <c r="AQ14" s="18">
        <f t="shared" si="0"/>
        <v>0</v>
      </c>
      <c r="AT14" s="10" t="s">
        <v>38</v>
      </c>
      <c r="AU14" s="11">
        <f t="shared" si="7"/>
        <v>9.3038961038961308</v>
      </c>
      <c r="AV14" s="11">
        <f t="shared" si="7"/>
        <v>13.303553299492329</v>
      </c>
      <c r="AW14" s="11">
        <f t="shared" si="7"/>
        <v>17.385919439579641</v>
      </c>
      <c r="AX14" s="11">
        <f t="shared" si="7"/>
        <v>6.4298724954463005</v>
      </c>
      <c r="AY14" s="11">
        <f t="shared" si="7"/>
        <v>7.8188153310104376</v>
      </c>
      <c r="AZ14" s="11">
        <f t="shared" si="7"/>
        <v>13.522727272727368</v>
      </c>
      <c r="BA14" s="11">
        <f t="shared" si="7"/>
        <v>7.8633540372670403</v>
      </c>
      <c r="BB14" s="11">
        <f t="shared" si="7"/>
        <v>8.1118012422360692</v>
      </c>
      <c r="BC14" s="11">
        <f t="shared" si="7"/>
        <v>1.3025404157043832</v>
      </c>
      <c r="BD14" s="11">
        <f t="shared" si="7"/>
        <v>6.5408163265306163</v>
      </c>
      <c r="BE14" s="11">
        <f t="shared" si="7"/>
        <v>13.244781783681113</v>
      </c>
      <c r="BF14" s="11">
        <f t="shared" si="7"/>
        <v>13.308957952467965</v>
      </c>
      <c r="BG14" s="11">
        <f t="shared" si="7"/>
        <v>9</v>
      </c>
      <c r="BH14" s="11">
        <f t="shared" si="7"/>
        <v>8</v>
      </c>
      <c r="BI14" s="11">
        <f t="shared" si="7"/>
        <v>7</v>
      </c>
      <c r="BJ14" s="11">
        <f t="shared" si="7"/>
        <v>0</v>
      </c>
      <c r="BK14" s="11">
        <f t="shared" si="8"/>
        <v>0</v>
      </c>
      <c r="BL14" s="11">
        <f t="shared" si="8"/>
        <v>0</v>
      </c>
      <c r="BM14" s="11">
        <f t="shared" si="8"/>
        <v>0</v>
      </c>
      <c r="BN14" s="11">
        <f t="shared" si="8"/>
        <v>0</v>
      </c>
      <c r="BO14" s="11">
        <f t="shared" si="8"/>
        <v>0</v>
      </c>
      <c r="BP14" s="11">
        <f t="shared" si="8"/>
        <v>0</v>
      </c>
      <c r="BQ14" s="11">
        <f t="shared" si="8"/>
        <v>0</v>
      </c>
      <c r="BR14" s="11">
        <f t="shared" si="8"/>
        <v>0</v>
      </c>
      <c r="BS14" s="18">
        <f t="shared" si="9"/>
        <v>0.96733668341708268</v>
      </c>
      <c r="BT14" s="18">
        <f t="shared" si="9"/>
        <v>0.60134310134310387</v>
      </c>
      <c r="BU14" s="18">
        <f t="shared" si="9"/>
        <v>0.40262466557070659</v>
      </c>
      <c r="BV14" s="18">
        <f t="shared" si="9"/>
        <v>0</v>
      </c>
      <c r="BW14" s="18">
        <f t="shared" si="9"/>
        <v>0</v>
      </c>
      <c r="BX14" s="18">
        <f t="shared" si="9"/>
        <v>0</v>
      </c>
      <c r="BY14" s="18">
        <f t="shared" si="9"/>
        <v>0</v>
      </c>
      <c r="BZ14" s="18">
        <f t="shared" si="9"/>
        <v>0</v>
      </c>
      <c r="CA14" s="18">
        <f t="shared" si="9"/>
        <v>0</v>
      </c>
      <c r="CB14" s="18">
        <f t="shared" si="9"/>
        <v>0</v>
      </c>
      <c r="CC14" s="18">
        <f t="shared" si="9"/>
        <v>0</v>
      </c>
      <c r="CD14" s="18">
        <f t="shared" si="9"/>
        <v>0</v>
      </c>
    </row>
    <row r="15" spans="1:82" x14ac:dyDescent="0.3">
      <c r="A15" s="9" t="s">
        <v>54</v>
      </c>
      <c r="B15" s="10" t="s">
        <v>425</v>
      </c>
      <c r="C15" s="10" t="s">
        <v>22</v>
      </c>
      <c r="D15" s="10" t="s">
        <v>48</v>
      </c>
      <c r="E15" s="10" t="s">
        <v>693</v>
      </c>
      <c r="F15" s="10" t="s">
        <v>694</v>
      </c>
      <c r="G15" s="10" t="s">
        <v>699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 t="s">
        <v>403</v>
      </c>
      <c r="U15" s="11" t="s">
        <v>403</v>
      </c>
      <c r="V15" s="11" t="s">
        <v>403</v>
      </c>
      <c r="W15" s="11" t="s">
        <v>403</v>
      </c>
      <c r="X15" s="11" t="s">
        <v>403</v>
      </c>
      <c r="Y15" s="11" t="s">
        <v>403</v>
      </c>
      <c r="Z15" s="11" t="s">
        <v>403</v>
      </c>
      <c r="AA15" s="11" t="s">
        <v>403</v>
      </c>
      <c r="AB15" s="11" t="s">
        <v>403</v>
      </c>
      <c r="AC15" s="11" t="s">
        <v>403</v>
      </c>
      <c r="AD15" s="11" t="s">
        <v>403</v>
      </c>
      <c r="AE15" s="11" t="s">
        <v>403</v>
      </c>
      <c r="AF15" s="18">
        <f t="shared" si="4"/>
        <v>0</v>
      </c>
      <c r="AG15" s="18">
        <f t="shared" si="0"/>
        <v>0</v>
      </c>
      <c r="AH15" s="18">
        <f t="shared" si="0"/>
        <v>0</v>
      </c>
      <c r="AI15" s="18">
        <f t="shared" si="0"/>
        <v>0</v>
      </c>
      <c r="AJ15" s="18">
        <f t="shared" si="0"/>
        <v>0</v>
      </c>
      <c r="AK15" s="18">
        <f t="shared" si="0"/>
        <v>0</v>
      </c>
      <c r="AL15" s="18">
        <f t="shared" si="0"/>
        <v>0</v>
      </c>
      <c r="AM15" s="18">
        <f t="shared" si="0"/>
        <v>0</v>
      </c>
      <c r="AN15" s="18">
        <f t="shared" si="0"/>
        <v>0</v>
      </c>
      <c r="AO15" s="18">
        <f t="shared" si="0"/>
        <v>0</v>
      </c>
      <c r="AP15" s="18">
        <f t="shared" si="0"/>
        <v>0</v>
      </c>
      <c r="AQ15" s="18">
        <f t="shared" si="0"/>
        <v>0</v>
      </c>
      <c r="AT15" s="10" t="s">
        <v>32</v>
      </c>
      <c r="AU15" s="11">
        <f t="shared" si="7"/>
        <v>4.6519480519480654</v>
      </c>
      <c r="AV15" s="11">
        <f t="shared" si="7"/>
        <v>3.8010152284263796</v>
      </c>
      <c r="AW15" s="11">
        <f t="shared" si="7"/>
        <v>13.522381786339722</v>
      </c>
      <c r="AX15" s="11">
        <f t="shared" si="7"/>
        <v>1.2859744990892601</v>
      </c>
      <c r="AY15" s="11">
        <f t="shared" si="7"/>
        <v>5.2125435540069587</v>
      </c>
      <c r="AZ15" s="11">
        <f t="shared" si="7"/>
        <v>5.4090909090909474</v>
      </c>
      <c r="BA15" s="11">
        <f t="shared" si="7"/>
        <v>1.3105590062111734</v>
      </c>
      <c r="BB15" s="11">
        <f t="shared" si="7"/>
        <v>1.3519668737060118</v>
      </c>
      <c r="BC15" s="11">
        <f t="shared" si="7"/>
        <v>6.5127020785219161</v>
      </c>
      <c r="BD15" s="11">
        <f t="shared" si="7"/>
        <v>5.232653061224493</v>
      </c>
      <c r="BE15" s="11">
        <f t="shared" si="7"/>
        <v>11.920303605313004</v>
      </c>
      <c r="BF15" s="11">
        <f t="shared" si="7"/>
        <v>3.9926873857403899</v>
      </c>
      <c r="BG15" s="11">
        <f t="shared" si="7"/>
        <v>4</v>
      </c>
      <c r="BH15" s="11">
        <f t="shared" si="7"/>
        <v>0</v>
      </c>
      <c r="BI15" s="11">
        <f t="shared" si="7"/>
        <v>3</v>
      </c>
      <c r="BJ15" s="11">
        <f t="shared" si="7"/>
        <v>1</v>
      </c>
      <c r="BK15" s="11">
        <f t="shared" si="8"/>
        <v>0</v>
      </c>
      <c r="BL15" s="11">
        <f t="shared" si="8"/>
        <v>0</v>
      </c>
      <c r="BM15" s="11">
        <f t="shared" si="8"/>
        <v>0</v>
      </c>
      <c r="BN15" s="11">
        <f t="shared" si="8"/>
        <v>0</v>
      </c>
      <c r="BO15" s="11">
        <f t="shared" si="8"/>
        <v>0</v>
      </c>
      <c r="BP15" s="11">
        <f t="shared" si="8"/>
        <v>0</v>
      </c>
      <c r="BQ15" s="11">
        <f t="shared" si="8"/>
        <v>0</v>
      </c>
      <c r="BR15" s="11">
        <f t="shared" si="8"/>
        <v>0</v>
      </c>
      <c r="BS15" s="18">
        <f t="shared" si="9"/>
        <v>0.85985482970407345</v>
      </c>
      <c r="BT15" s="18">
        <f t="shared" si="9"/>
        <v>0</v>
      </c>
      <c r="BU15" s="18">
        <f t="shared" si="9"/>
        <v>0.22185440755936894</v>
      </c>
      <c r="BV15" s="18">
        <f t="shared" si="9"/>
        <v>0.77762039660056237</v>
      </c>
      <c r="BW15" s="18">
        <f t="shared" si="9"/>
        <v>0</v>
      </c>
      <c r="BX15" s="18">
        <f t="shared" si="9"/>
        <v>0</v>
      </c>
      <c r="BY15" s="18">
        <f t="shared" si="9"/>
        <v>0</v>
      </c>
      <c r="BZ15" s="18">
        <f t="shared" si="9"/>
        <v>0</v>
      </c>
      <c r="CA15" s="18">
        <f t="shared" si="9"/>
        <v>0</v>
      </c>
      <c r="CB15" s="18">
        <f t="shared" si="9"/>
        <v>0</v>
      </c>
      <c r="CC15" s="18">
        <f t="shared" si="9"/>
        <v>0</v>
      </c>
      <c r="CD15" s="18">
        <f t="shared" si="9"/>
        <v>0</v>
      </c>
    </row>
    <row r="16" spans="1:82" x14ac:dyDescent="0.3">
      <c r="A16" s="9" t="s">
        <v>366</v>
      </c>
      <c r="B16" s="10" t="s">
        <v>676</v>
      </c>
      <c r="C16" s="10" t="s">
        <v>22</v>
      </c>
      <c r="D16" s="10" t="s">
        <v>42</v>
      </c>
      <c r="E16" s="10" t="s">
        <v>693</v>
      </c>
      <c r="F16" s="10" t="s">
        <v>701</v>
      </c>
      <c r="G16" s="10" t="s">
        <v>699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 t="s">
        <v>403</v>
      </c>
      <c r="U16" s="11" t="s">
        <v>403</v>
      </c>
      <c r="V16" s="11" t="s">
        <v>403</v>
      </c>
      <c r="W16" s="11" t="s">
        <v>403</v>
      </c>
      <c r="X16" s="11" t="s">
        <v>403</v>
      </c>
      <c r="Y16" s="11" t="s">
        <v>403</v>
      </c>
      <c r="Z16" s="11" t="s">
        <v>403</v>
      </c>
      <c r="AA16" s="11" t="s">
        <v>403</v>
      </c>
      <c r="AB16" s="11" t="s">
        <v>403</v>
      </c>
      <c r="AC16" s="11" t="s">
        <v>403</v>
      </c>
      <c r="AD16" s="11" t="s">
        <v>403</v>
      </c>
      <c r="AE16" s="11" t="s">
        <v>403</v>
      </c>
      <c r="AF16" s="18">
        <f t="shared" si="4"/>
        <v>0</v>
      </c>
      <c r="AG16" s="18">
        <f t="shared" si="0"/>
        <v>0</v>
      </c>
      <c r="AH16" s="18">
        <f t="shared" si="0"/>
        <v>0</v>
      </c>
      <c r="AI16" s="18">
        <f t="shared" si="0"/>
        <v>0</v>
      </c>
      <c r="AJ16" s="18">
        <f t="shared" si="0"/>
        <v>0</v>
      </c>
      <c r="AK16" s="18">
        <f t="shared" si="0"/>
        <v>0</v>
      </c>
      <c r="AL16" s="18">
        <f t="shared" si="0"/>
        <v>0</v>
      </c>
      <c r="AM16" s="18">
        <f t="shared" si="0"/>
        <v>0</v>
      </c>
      <c r="AN16" s="18">
        <f t="shared" si="0"/>
        <v>0</v>
      </c>
      <c r="AO16" s="18">
        <f t="shared" si="0"/>
        <v>0</v>
      </c>
      <c r="AP16" s="18">
        <f t="shared" si="0"/>
        <v>0</v>
      </c>
      <c r="AQ16" s="18">
        <f t="shared" si="0"/>
        <v>0</v>
      </c>
      <c r="AT16" s="10" t="s">
        <v>36</v>
      </c>
      <c r="AU16" s="11">
        <f t="shared" si="7"/>
        <v>13.955844155844195</v>
      </c>
      <c r="AV16" s="11">
        <f t="shared" si="7"/>
        <v>17.104568527918708</v>
      </c>
      <c r="AW16" s="11">
        <f t="shared" si="7"/>
        <v>6.7953064798598808</v>
      </c>
      <c r="AX16" s="11">
        <f t="shared" si="7"/>
        <v>7.7158469945355606</v>
      </c>
      <c r="AY16" s="11">
        <f t="shared" si="7"/>
        <v>11.728222996515656</v>
      </c>
      <c r="AZ16" s="11">
        <f t="shared" si="7"/>
        <v>9.1136363636364202</v>
      </c>
      <c r="BA16" s="11">
        <f t="shared" si="7"/>
        <v>5.2422360248446935</v>
      </c>
      <c r="BB16" s="11">
        <f t="shared" si="7"/>
        <v>8.111801242236071</v>
      </c>
      <c r="BC16" s="11">
        <f t="shared" si="7"/>
        <v>7.8152424942262995</v>
      </c>
      <c r="BD16" s="11">
        <f t="shared" si="7"/>
        <v>4.9244897959183698</v>
      </c>
      <c r="BE16" s="11">
        <f t="shared" si="7"/>
        <v>5.2979127134724457</v>
      </c>
      <c r="BF16" s="11">
        <f t="shared" si="7"/>
        <v>9.3162705667275763</v>
      </c>
      <c r="BG16" s="11">
        <f t="shared" si="7"/>
        <v>6</v>
      </c>
      <c r="BH16" s="11">
        <f t="shared" si="7"/>
        <v>6</v>
      </c>
      <c r="BI16" s="11">
        <f t="shared" si="7"/>
        <v>8</v>
      </c>
      <c r="BJ16" s="11">
        <f t="shared" si="7"/>
        <v>1</v>
      </c>
      <c r="BK16" s="11">
        <f t="shared" si="8"/>
        <v>0</v>
      </c>
      <c r="BL16" s="11">
        <f t="shared" si="8"/>
        <v>0</v>
      </c>
      <c r="BM16" s="11">
        <f t="shared" si="8"/>
        <v>0</v>
      </c>
      <c r="BN16" s="11">
        <f t="shared" si="8"/>
        <v>0</v>
      </c>
      <c r="BO16" s="11">
        <f t="shared" si="8"/>
        <v>0</v>
      </c>
      <c r="BP16" s="11">
        <f t="shared" si="8"/>
        <v>0</v>
      </c>
      <c r="BQ16" s="11">
        <f t="shared" si="8"/>
        <v>0</v>
      </c>
      <c r="BR16" s="11">
        <f t="shared" si="8"/>
        <v>0</v>
      </c>
      <c r="BS16" s="18">
        <f t="shared" si="9"/>
        <v>0.42992741485203673</v>
      </c>
      <c r="BT16" s="18">
        <f t="shared" si="9"/>
        <v>0.35078347578347729</v>
      </c>
      <c r="BU16" s="18">
        <f t="shared" si="9"/>
        <v>1.1772831768089671</v>
      </c>
      <c r="BV16" s="18">
        <f t="shared" si="9"/>
        <v>0.12960339943342708</v>
      </c>
      <c r="BW16" s="18">
        <f t="shared" si="9"/>
        <v>0</v>
      </c>
      <c r="BX16" s="18">
        <f t="shared" si="9"/>
        <v>0</v>
      </c>
      <c r="BY16" s="18">
        <f t="shared" si="9"/>
        <v>0</v>
      </c>
      <c r="BZ16" s="18">
        <f t="shared" si="9"/>
        <v>0</v>
      </c>
      <c r="CA16" s="18">
        <f t="shared" si="9"/>
        <v>0</v>
      </c>
      <c r="CB16" s="18">
        <f t="shared" si="9"/>
        <v>0</v>
      </c>
      <c r="CC16" s="18">
        <f t="shared" si="9"/>
        <v>0</v>
      </c>
      <c r="CD16" s="18">
        <f t="shared" si="9"/>
        <v>0</v>
      </c>
    </row>
    <row r="17" spans="1:82" x14ac:dyDescent="0.3">
      <c r="A17" s="9" t="s">
        <v>154</v>
      </c>
      <c r="B17" s="10" t="s">
        <v>512</v>
      </c>
      <c r="C17" s="10" t="s">
        <v>22</v>
      </c>
      <c r="D17" s="10" t="s">
        <v>46</v>
      </c>
      <c r="E17" s="10" t="s">
        <v>693</v>
      </c>
      <c r="F17" s="10" t="s">
        <v>694</v>
      </c>
      <c r="G17" s="10" t="s">
        <v>700</v>
      </c>
      <c r="H17" s="11">
        <v>1.5506493506493551</v>
      </c>
      <c r="I17" s="11">
        <v>1.9005076142131898</v>
      </c>
      <c r="J17" s="11">
        <v>0</v>
      </c>
      <c r="K17" s="11">
        <v>1.2859744990892601</v>
      </c>
      <c r="L17" s="11">
        <v>1.3031358885017397</v>
      </c>
      <c r="M17" s="11">
        <v>1.3522727272727368</v>
      </c>
      <c r="N17" s="11">
        <v>1.3105590062111734</v>
      </c>
      <c r="O17" s="11">
        <v>0</v>
      </c>
      <c r="P17" s="11">
        <v>2.6050808314087663</v>
      </c>
      <c r="Q17" s="11">
        <v>0</v>
      </c>
      <c r="R17" s="11">
        <v>3.9734345351043339</v>
      </c>
      <c r="S17" s="11">
        <v>0</v>
      </c>
      <c r="T17" s="11" t="s">
        <v>403</v>
      </c>
      <c r="U17" s="11" t="s">
        <v>403</v>
      </c>
      <c r="V17" s="11" t="s">
        <v>403</v>
      </c>
      <c r="W17" s="11" t="s">
        <v>403</v>
      </c>
      <c r="X17" s="11" t="s">
        <v>403</v>
      </c>
      <c r="Y17" s="11" t="s">
        <v>403</v>
      </c>
      <c r="Z17" s="11" t="s">
        <v>403</v>
      </c>
      <c r="AA17" s="11" t="s">
        <v>403</v>
      </c>
      <c r="AB17" s="11" t="s">
        <v>403</v>
      </c>
      <c r="AC17" s="11" t="s">
        <v>403</v>
      </c>
      <c r="AD17" s="11" t="s">
        <v>403</v>
      </c>
      <c r="AE17" s="11" t="s">
        <v>403</v>
      </c>
      <c r="AF17" s="18">
        <f t="shared" si="4"/>
        <v>0</v>
      </c>
      <c r="AG17" s="18">
        <f t="shared" si="0"/>
        <v>0</v>
      </c>
      <c r="AH17" s="18">
        <f t="shared" si="0"/>
        <v>0</v>
      </c>
      <c r="AI17" s="18">
        <f t="shared" si="0"/>
        <v>0</v>
      </c>
      <c r="AJ17" s="18">
        <f t="shared" si="0"/>
        <v>0</v>
      </c>
      <c r="AK17" s="18">
        <f t="shared" si="0"/>
        <v>0</v>
      </c>
      <c r="AL17" s="18">
        <f t="shared" si="0"/>
        <v>0</v>
      </c>
      <c r="AM17" s="18">
        <f t="shared" si="0"/>
        <v>0</v>
      </c>
      <c r="AN17" s="18">
        <f t="shared" si="0"/>
        <v>0</v>
      </c>
      <c r="AO17" s="18">
        <f t="shared" si="0"/>
        <v>0</v>
      </c>
      <c r="AP17" s="18">
        <f t="shared" si="0"/>
        <v>0</v>
      </c>
      <c r="AQ17" s="18">
        <f t="shared" si="0"/>
        <v>0</v>
      </c>
      <c r="AT17" s="10" t="s">
        <v>34</v>
      </c>
      <c r="AU17" s="11">
        <f t="shared" si="7"/>
        <v>7.753246753246775</v>
      </c>
      <c r="AV17" s="11">
        <f t="shared" si="7"/>
        <v>7.6020304568527592</v>
      </c>
      <c r="AW17" s="11">
        <f t="shared" si="7"/>
        <v>9.6588441330998016</v>
      </c>
      <c r="AX17" s="11">
        <f t="shared" si="7"/>
        <v>5.1438979963570404</v>
      </c>
      <c r="AY17" s="11">
        <f t="shared" si="7"/>
        <v>2.6062717770034793</v>
      </c>
      <c r="AZ17" s="11">
        <f t="shared" si="7"/>
        <v>4.0568181818182101</v>
      </c>
      <c r="BA17" s="11">
        <f t="shared" si="7"/>
        <v>3.9316770186335201</v>
      </c>
      <c r="BB17" s="11">
        <f t="shared" si="7"/>
        <v>4.0559006211180355</v>
      </c>
      <c r="BC17" s="11">
        <f t="shared" si="7"/>
        <v>2.6050808314087663</v>
      </c>
      <c r="BD17" s="11">
        <f t="shared" si="7"/>
        <v>3.9244897959183698</v>
      </c>
      <c r="BE17" s="11">
        <f t="shared" si="7"/>
        <v>5.2979127134724457</v>
      </c>
      <c r="BF17" s="11">
        <f t="shared" si="7"/>
        <v>3.9926873857403899</v>
      </c>
      <c r="BG17" s="11">
        <f t="shared" si="7"/>
        <v>5</v>
      </c>
      <c r="BH17" s="11">
        <f t="shared" si="7"/>
        <v>6</v>
      </c>
      <c r="BI17" s="11">
        <f t="shared" si="7"/>
        <v>3</v>
      </c>
      <c r="BJ17" s="11">
        <f t="shared" si="7"/>
        <v>1</v>
      </c>
      <c r="BK17" s="11">
        <f t="shared" si="8"/>
        <v>0</v>
      </c>
      <c r="BL17" s="11">
        <f t="shared" si="8"/>
        <v>0</v>
      </c>
      <c r="BM17" s="11">
        <f t="shared" si="8"/>
        <v>0</v>
      </c>
      <c r="BN17" s="11">
        <f t="shared" si="8"/>
        <v>0</v>
      </c>
      <c r="BO17" s="11">
        <f t="shared" si="8"/>
        <v>0</v>
      </c>
      <c r="BP17" s="11">
        <f t="shared" si="8"/>
        <v>0</v>
      </c>
      <c r="BQ17" s="11">
        <f t="shared" si="8"/>
        <v>0</v>
      </c>
      <c r="BR17" s="11">
        <f t="shared" si="8"/>
        <v>0</v>
      </c>
      <c r="BS17" s="18">
        <f t="shared" si="9"/>
        <v>0.64489112227805512</v>
      </c>
      <c r="BT17" s="18">
        <f t="shared" si="9"/>
        <v>0.78926282051282393</v>
      </c>
      <c r="BU17" s="18">
        <f t="shared" si="9"/>
        <v>0.3105961705831165</v>
      </c>
      <c r="BV17" s="18">
        <f t="shared" si="9"/>
        <v>0.19440509915014059</v>
      </c>
      <c r="BW17" s="18">
        <f t="shared" si="9"/>
        <v>0</v>
      </c>
      <c r="BX17" s="18">
        <f t="shared" si="9"/>
        <v>0</v>
      </c>
      <c r="BY17" s="18">
        <f t="shared" si="9"/>
        <v>0</v>
      </c>
      <c r="BZ17" s="18">
        <f t="shared" si="9"/>
        <v>0</v>
      </c>
      <c r="CA17" s="18">
        <f t="shared" si="9"/>
        <v>0</v>
      </c>
      <c r="CB17" s="18">
        <f t="shared" si="9"/>
        <v>0</v>
      </c>
      <c r="CC17" s="18">
        <f t="shared" si="9"/>
        <v>0</v>
      </c>
      <c r="CD17" s="18">
        <f t="shared" si="9"/>
        <v>0</v>
      </c>
    </row>
    <row r="18" spans="1:82" x14ac:dyDescent="0.3">
      <c r="A18" s="9" t="s">
        <v>81</v>
      </c>
      <c r="B18" s="10" t="s">
        <v>450</v>
      </c>
      <c r="C18" s="10" t="s">
        <v>22</v>
      </c>
      <c r="D18" s="10" t="s">
        <v>28</v>
      </c>
      <c r="E18" s="10" t="s">
        <v>693</v>
      </c>
      <c r="F18" s="10" t="s">
        <v>694</v>
      </c>
      <c r="G18" s="10" t="s">
        <v>695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 t="s">
        <v>403</v>
      </c>
      <c r="U18" s="11" t="s">
        <v>403</v>
      </c>
      <c r="V18" s="11" t="s">
        <v>403</v>
      </c>
      <c r="W18" s="11" t="s">
        <v>403</v>
      </c>
      <c r="X18" s="11" t="s">
        <v>403</v>
      </c>
      <c r="Y18" s="11" t="s">
        <v>403</v>
      </c>
      <c r="Z18" s="11" t="s">
        <v>403</v>
      </c>
      <c r="AA18" s="11" t="s">
        <v>403</v>
      </c>
      <c r="AB18" s="11" t="s">
        <v>403</v>
      </c>
      <c r="AC18" s="11" t="s">
        <v>403</v>
      </c>
      <c r="AD18" s="11" t="s">
        <v>403</v>
      </c>
      <c r="AE18" s="11" t="s">
        <v>403</v>
      </c>
      <c r="AF18" s="18">
        <f t="shared" si="4"/>
        <v>0</v>
      </c>
      <c r="AG18" s="18">
        <f t="shared" si="0"/>
        <v>0</v>
      </c>
      <c r="AH18" s="18">
        <f t="shared" si="0"/>
        <v>0</v>
      </c>
      <c r="AI18" s="18">
        <f t="shared" si="0"/>
        <v>0</v>
      </c>
      <c r="AJ18" s="18">
        <f t="shared" si="0"/>
        <v>0</v>
      </c>
      <c r="AK18" s="18">
        <f t="shared" si="0"/>
        <v>0</v>
      </c>
      <c r="AL18" s="18">
        <f t="shared" si="0"/>
        <v>0</v>
      </c>
      <c r="AM18" s="18">
        <f t="shared" si="0"/>
        <v>0</v>
      </c>
      <c r="AN18" s="18">
        <f t="shared" si="0"/>
        <v>0</v>
      </c>
      <c r="AO18" s="18">
        <f t="shared" si="0"/>
        <v>0</v>
      </c>
      <c r="AP18" s="18">
        <f t="shared" si="0"/>
        <v>0</v>
      </c>
      <c r="AQ18" s="18">
        <f t="shared" si="0"/>
        <v>0</v>
      </c>
      <c r="AT18" s="10" t="s">
        <v>46</v>
      </c>
      <c r="AU18" s="11">
        <f t="shared" si="7"/>
        <v>4.6519480519480654</v>
      </c>
      <c r="AV18" s="11">
        <f t="shared" si="7"/>
        <v>13.303553299492329</v>
      </c>
      <c r="AW18" s="11">
        <f t="shared" si="7"/>
        <v>11.590612959719762</v>
      </c>
      <c r="AX18" s="11">
        <f t="shared" si="7"/>
        <v>6.4298724954463005</v>
      </c>
      <c r="AY18" s="11">
        <f t="shared" si="7"/>
        <v>14.334494773519134</v>
      </c>
      <c r="AZ18" s="11">
        <f t="shared" si="7"/>
        <v>16.227272727272844</v>
      </c>
      <c r="BA18" s="11">
        <f t="shared" si="7"/>
        <v>10.484472049689387</v>
      </c>
      <c r="BB18" s="11">
        <f t="shared" si="7"/>
        <v>12.167701863354106</v>
      </c>
      <c r="BC18" s="11">
        <f t="shared" si="7"/>
        <v>10.420323325635065</v>
      </c>
      <c r="BD18" s="11">
        <f t="shared" si="7"/>
        <v>6.5408163265306163</v>
      </c>
      <c r="BE18" s="11">
        <f t="shared" si="7"/>
        <v>13.244781783681114</v>
      </c>
      <c r="BF18" s="11">
        <f t="shared" si="7"/>
        <v>7.985374771480779</v>
      </c>
      <c r="BG18" s="11">
        <f t="shared" si="7"/>
        <v>5</v>
      </c>
      <c r="BH18" s="11">
        <f t="shared" si="7"/>
        <v>11</v>
      </c>
      <c r="BI18" s="11">
        <f t="shared" si="7"/>
        <v>8</v>
      </c>
      <c r="BJ18" s="11">
        <f t="shared" si="7"/>
        <v>2</v>
      </c>
      <c r="BK18" s="11">
        <f t="shared" si="8"/>
        <v>0</v>
      </c>
      <c r="BL18" s="11">
        <f t="shared" si="8"/>
        <v>0</v>
      </c>
      <c r="BM18" s="11">
        <f t="shared" si="8"/>
        <v>0</v>
      </c>
      <c r="BN18" s="11">
        <f t="shared" si="8"/>
        <v>0</v>
      </c>
      <c r="BO18" s="11">
        <f t="shared" si="8"/>
        <v>0</v>
      </c>
      <c r="BP18" s="11">
        <f t="shared" si="8"/>
        <v>0</v>
      </c>
      <c r="BQ18" s="11">
        <f t="shared" si="8"/>
        <v>0</v>
      </c>
      <c r="BR18" s="11">
        <f t="shared" si="8"/>
        <v>0</v>
      </c>
      <c r="BS18" s="18">
        <f t="shared" si="9"/>
        <v>1.0748185371300918</v>
      </c>
      <c r="BT18" s="18">
        <f t="shared" si="9"/>
        <v>0.82684676434676785</v>
      </c>
      <c r="BU18" s="18">
        <f t="shared" si="9"/>
        <v>0.69021371240692553</v>
      </c>
      <c r="BV18" s="18">
        <f t="shared" si="9"/>
        <v>0.31104815864022495</v>
      </c>
      <c r="BW18" s="18">
        <f t="shared" si="9"/>
        <v>0</v>
      </c>
      <c r="BX18" s="18">
        <f t="shared" si="9"/>
        <v>0</v>
      </c>
      <c r="BY18" s="18">
        <f t="shared" si="9"/>
        <v>0</v>
      </c>
      <c r="BZ18" s="18">
        <f t="shared" si="9"/>
        <v>0</v>
      </c>
      <c r="CA18" s="18">
        <f t="shared" si="9"/>
        <v>0</v>
      </c>
      <c r="CB18" s="18">
        <f t="shared" si="9"/>
        <v>0</v>
      </c>
      <c r="CC18" s="18">
        <f t="shared" si="9"/>
        <v>0</v>
      </c>
      <c r="CD18" s="18">
        <f t="shared" si="9"/>
        <v>0</v>
      </c>
    </row>
    <row r="19" spans="1:82" x14ac:dyDescent="0.3">
      <c r="A19" s="9" t="s">
        <v>102</v>
      </c>
      <c r="B19" s="10" t="s">
        <v>471</v>
      </c>
      <c r="C19" s="10" t="s">
        <v>22</v>
      </c>
      <c r="D19" s="10" t="s">
        <v>28</v>
      </c>
      <c r="E19" s="10" t="s">
        <v>693</v>
      </c>
      <c r="F19" s="10" t="s">
        <v>694</v>
      </c>
      <c r="G19" s="10" t="s">
        <v>695</v>
      </c>
      <c r="H19" s="11">
        <v>0</v>
      </c>
      <c r="I19" s="11">
        <v>3.8010152284263796</v>
      </c>
      <c r="J19" s="11">
        <v>1.9317688266199602</v>
      </c>
      <c r="K19" s="11">
        <v>0</v>
      </c>
      <c r="L19" s="11">
        <v>2.6062717770034793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1.3244781783681114</v>
      </c>
      <c r="S19" s="11">
        <v>0</v>
      </c>
      <c r="T19" s="11" t="s">
        <v>403</v>
      </c>
      <c r="U19" s="11" t="s">
        <v>403</v>
      </c>
      <c r="V19" s="11" t="s">
        <v>403</v>
      </c>
      <c r="W19" s="11" t="s">
        <v>403</v>
      </c>
      <c r="X19" s="11" t="s">
        <v>403</v>
      </c>
      <c r="Y19" s="11" t="s">
        <v>403</v>
      </c>
      <c r="Z19" s="11" t="s">
        <v>403</v>
      </c>
      <c r="AA19" s="11" t="s">
        <v>403</v>
      </c>
      <c r="AB19" s="11" t="s">
        <v>403</v>
      </c>
      <c r="AC19" s="11" t="s">
        <v>403</v>
      </c>
      <c r="AD19" s="11" t="s">
        <v>403</v>
      </c>
      <c r="AE19" s="11" t="s">
        <v>403</v>
      </c>
      <c r="AF19" s="18">
        <f t="shared" si="4"/>
        <v>0</v>
      </c>
      <c r="AG19" s="18">
        <f t="shared" si="0"/>
        <v>0</v>
      </c>
      <c r="AH19" s="18">
        <f t="shared" si="0"/>
        <v>0</v>
      </c>
      <c r="AI19" s="18">
        <f t="shared" si="0"/>
        <v>0</v>
      </c>
      <c r="AJ19" s="18">
        <f t="shared" si="0"/>
        <v>0</v>
      </c>
      <c r="AK19" s="18">
        <f t="shared" si="0"/>
        <v>0</v>
      </c>
      <c r="AL19" s="18">
        <f t="shared" si="0"/>
        <v>0</v>
      </c>
      <c r="AM19" s="18">
        <f t="shared" si="0"/>
        <v>0</v>
      </c>
      <c r="AN19" s="18">
        <f t="shared" si="0"/>
        <v>0</v>
      </c>
      <c r="AO19" s="18">
        <f t="shared" si="0"/>
        <v>0</v>
      </c>
      <c r="AP19" s="18">
        <f t="shared" si="0"/>
        <v>0</v>
      </c>
      <c r="AQ19" s="18">
        <f t="shared" si="0"/>
        <v>0</v>
      </c>
      <c r="AT19" s="10" t="s">
        <v>40</v>
      </c>
      <c r="AU19" s="11">
        <f t="shared" si="7"/>
        <v>4.6519480519480654</v>
      </c>
      <c r="AV19" s="11">
        <f t="shared" si="7"/>
        <v>9.5025380710659491</v>
      </c>
      <c r="AW19" s="11">
        <f t="shared" si="7"/>
        <v>7.7270753064798408</v>
      </c>
      <c r="AX19" s="11">
        <f t="shared" si="7"/>
        <v>6.4298724954463005</v>
      </c>
      <c r="AY19" s="11">
        <f t="shared" si="7"/>
        <v>11.728222996515656</v>
      </c>
      <c r="AZ19" s="11">
        <f t="shared" si="7"/>
        <v>8.1136363636364202</v>
      </c>
      <c r="BA19" s="11">
        <f t="shared" si="7"/>
        <v>2.6211180124223468</v>
      </c>
      <c r="BB19" s="11">
        <f t="shared" si="7"/>
        <v>9.4637681159420826</v>
      </c>
      <c r="BC19" s="11">
        <f t="shared" si="7"/>
        <v>5.2101616628175327</v>
      </c>
      <c r="BD19" s="11">
        <f t="shared" si="7"/>
        <v>2.6163265306122465</v>
      </c>
      <c r="BE19" s="11">
        <f t="shared" si="7"/>
        <v>1.3244781783681114</v>
      </c>
      <c r="BF19" s="11">
        <f t="shared" si="7"/>
        <v>3.9926873857403899</v>
      </c>
      <c r="BG19" s="11">
        <f t="shared" si="7"/>
        <v>5</v>
      </c>
      <c r="BH19" s="11">
        <f t="shared" si="7"/>
        <v>5</v>
      </c>
      <c r="BI19" s="11">
        <f t="shared" si="7"/>
        <v>11</v>
      </c>
      <c r="BJ19" s="11">
        <f t="shared" si="7"/>
        <v>6</v>
      </c>
      <c r="BK19" s="11">
        <f t="shared" si="8"/>
        <v>0</v>
      </c>
      <c r="BL19" s="11">
        <f t="shared" si="8"/>
        <v>0</v>
      </c>
      <c r="BM19" s="11">
        <f t="shared" si="8"/>
        <v>0</v>
      </c>
      <c r="BN19" s="11">
        <f t="shared" si="8"/>
        <v>0</v>
      </c>
      <c r="BO19" s="11">
        <f t="shared" si="8"/>
        <v>0</v>
      </c>
      <c r="BP19" s="11">
        <f t="shared" si="8"/>
        <v>0</v>
      </c>
      <c r="BQ19" s="11">
        <f t="shared" si="8"/>
        <v>0</v>
      </c>
      <c r="BR19" s="11">
        <f t="shared" si="8"/>
        <v>0</v>
      </c>
      <c r="BS19" s="18">
        <f t="shared" si="9"/>
        <v>1.0748185371300918</v>
      </c>
      <c r="BT19" s="18">
        <f t="shared" si="9"/>
        <v>0.52617521367521591</v>
      </c>
      <c r="BU19" s="18">
        <f t="shared" si="9"/>
        <v>1.423565781839284</v>
      </c>
      <c r="BV19" s="18">
        <f t="shared" si="9"/>
        <v>0.93314447592067484</v>
      </c>
      <c r="BW19" s="18">
        <f t="shared" si="9"/>
        <v>0</v>
      </c>
      <c r="BX19" s="18">
        <f t="shared" si="9"/>
        <v>0</v>
      </c>
      <c r="BY19" s="18">
        <f t="shared" si="9"/>
        <v>0</v>
      </c>
      <c r="BZ19" s="18">
        <f t="shared" si="9"/>
        <v>0</v>
      </c>
      <c r="CA19" s="18">
        <f t="shared" si="9"/>
        <v>0</v>
      </c>
      <c r="CB19" s="18">
        <f t="shared" si="9"/>
        <v>0</v>
      </c>
      <c r="CC19" s="18">
        <f t="shared" si="9"/>
        <v>0</v>
      </c>
      <c r="CD19" s="18">
        <f t="shared" si="9"/>
        <v>0</v>
      </c>
    </row>
    <row r="20" spans="1:82" x14ac:dyDescent="0.3">
      <c r="A20" s="9" t="s">
        <v>104</v>
      </c>
      <c r="B20" s="10" t="s">
        <v>473</v>
      </c>
      <c r="C20" s="10" t="s">
        <v>22</v>
      </c>
      <c r="D20" s="10" t="s">
        <v>28</v>
      </c>
      <c r="E20" s="10" t="s">
        <v>693</v>
      </c>
      <c r="F20" s="10" t="s">
        <v>694</v>
      </c>
      <c r="G20" s="10" t="s">
        <v>695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 t="s">
        <v>403</v>
      </c>
      <c r="U20" s="11" t="s">
        <v>403</v>
      </c>
      <c r="V20" s="11" t="s">
        <v>403</v>
      </c>
      <c r="W20" s="11" t="s">
        <v>403</v>
      </c>
      <c r="X20" s="11" t="s">
        <v>403</v>
      </c>
      <c r="Y20" s="11" t="s">
        <v>403</v>
      </c>
      <c r="Z20" s="11" t="s">
        <v>403</v>
      </c>
      <c r="AA20" s="11" t="s">
        <v>403</v>
      </c>
      <c r="AB20" s="11" t="s">
        <v>403</v>
      </c>
      <c r="AC20" s="11" t="s">
        <v>403</v>
      </c>
      <c r="AD20" s="11" t="s">
        <v>403</v>
      </c>
      <c r="AE20" s="11" t="s">
        <v>403</v>
      </c>
      <c r="AF20" s="18">
        <f t="shared" si="4"/>
        <v>0</v>
      </c>
      <c r="AG20" s="18">
        <f t="shared" si="0"/>
        <v>0</v>
      </c>
      <c r="AH20" s="18">
        <f t="shared" si="0"/>
        <v>0</v>
      </c>
      <c r="AI20" s="18">
        <f t="shared" si="0"/>
        <v>0</v>
      </c>
      <c r="AJ20" s="18">
        <f t="shared" si="0"/>
        <v>0</v>
      </c>
      <c r="AK20" s="18">
        <f t="shared" si="0"/>
        <v>0</v>
      </c>
      <c r="AL20" s="18">
        <f t="shared" si="0"/>
        <v>0</v>
      </c>
      <c r="AM20" s="18">
        <f t="shared" si="0"/>
        <v>0</v>
      </c>
      <c r="AN20" s="18">
        <f t="shared" si="0"/>
        <v>0</v>
      </c>
      <c r="AO20" s="18">
        <f t="shared" si="0"/>
        <v>0</v>
      </c>
      <c r="AP20" s="18">
        <f t="shared" si="0"/>
        <v>0</v>
      </c>
      <c r="AQ20" s="18">
        <f t="shared" si="0"/>
        <v>0</v>
      </c>
      <c r="AT20" s="10" t="s">
        <v>30</v>
      </c>
      <c r="AU20" s="11">
        <f t="shared" si="7"/>
        <v>15.50649350649355</v>
      </c>
      <c r="AV20" s="11">
        <f t="shared" si="7"/>
        <v>9.5025380710659491</v>
      </c>
      <c r="AW20" s="11">
        <f t="shared" si="7"/>
        <v>23.181225919439523</v>
      </c>
      <c r="AX20" s="11">
        <f t="shared" si="7"/>
        <v>5.1438979963570404</v>
      </c>
      <c r="AY20" s="11">
        <f t="shared" si="7"/>
        <v>9.1219512195121766</v>
      </c>
      <c r="AZ20" s="11">
        <f t="shared" si="7"/>
        <v>9.4659090909091574</v>
      </c>
      <c r="BA20" s="11">
        <f t="shared" si="7"/>
        <v>6.5527950310558669</v>
      </c>
      <c r="BB20" s="11">
        <f t="shared" si="7"/>
        <v>8.111801242236071</v>
      </c>
      <c r="BC20" s="11">
        <f t="shared" si="7"/>
        <v>6.5127020785219161</v>
      </c>
      <c r="BD20" s="11">
        <f t="shared" si="7"/>
        <v>7.8489795918367387</v>
      </c>
      <c r="BE20" s="11">
        <f t="shared" si="7"/>
        <v>7.9468690702086686</v>
      </c>
      <c r="BF20" s="11">
        <f t="shared" si="7"/>
        <v>10.647166361974373</v>
      </c>
      <c r="BG20" s="11">
        <f t="shared" si="7"/>
        <v>8</v>
      </c>
      <c r="BH20" s="11">
        <f t="shared" si="7"/>
        <v>9</v>
      </c>
      <c r="BI20" s="11">
        <f t="shared" si="7"/>
        <v>13</v>
      </c>
      <c r="BJ20" s="11">
        <f t="shared" si="7"/>
        <v>3</v>
      </c>
      <c r="BK20" s="11">
        <f t="shared" si="8"/>
        <v>0</v>
      </c>
      <c r="BL20" s="11">
        <f t="shared" si="8"/>
        <v>0</v>
      </c>
      <c r="BM20" s="11">
        <f t="shared" si="8"/>
        <v>0</v>
      </c>
      <c r="BN20" s="11">
        <f t="shared" si="8"/>
        <v>0</v>
      </c>
      <c r="BO20" s="11">
        <f t="shared" si="8"/>
        <v>0</v>
      </c>
      <c r="BP20" s="11">
        <f t="shared" si="8"/>
        <v>0</v>
      </c>
      <c r="BQ20" s="11">
        <f t="shared" si="8"/>
        <v>0</v>
      </c>
      <c r="BR20" s="11">
        <f t="shared" si="8"/>
        <v>0</v>
      </c>
      <c r="BS20" s="18">
        <f t="shared" si="9"/>
        <v>0.51591289782244409</v>
      </c>
      <c r="BT20" s="18">
        <f t="shared" si="9"/>
        <v>0.94711538461538869</v>
      </c>
      <c r="BU20" s="18">
        <f t="shared" si="9"/>
        <v>0.56079864133062707</v>
      </c>
      <c r="BV20" s="18">
        <f t="shared" si="9"/>
        <v>0.58321529745042178</v>
      </c>
      <c r="BW20" s="18">
        <f t="shared" si="9"/>
        <v>0</v>
      </c>
      <c r="BX20" s="18">
        <f t="shared" si="9"/>
        <v>0</v>
      </c>
      <c r="BY20" s="18">
        <f t="shared" si="9"/>
        <v>0</v>
      </c>
      <c r="BZ20" s="18">
        <f t="shared" si="9"/>
        <v>0</v>
      </c>
      <c r="CA20" s="18">
        <f t="shared" si="9"/>
        <v>0</v>
      </c>
      <c r="CB20" s="18">
        <f t="shared" si="9"/>
        <v>0</v>
      </c>
      <c r="CC20" s="18">
        <f t="shared" si="9"/>
        <v>0</v>
      </c>
      <c r="CD20" s="18">
        <f t="shared" si="9"/>
        <v>0</v>
      </c>
    </row>
    <row r="21" spans="1:82" x14ac:dyDescent="0.3">
      <c r="A21" s="9" t="s">
        <v>82</v>
      </c>
      <c r="B21" s="10" t="s">
        <v>451</v>
      </c>
      <c r="C21" s="10" t="s">
        <v>22</v>
      </c>
      <c r="D21" s="10" t="s">
        <v>44</v>
      </c>
      <c r="E21" s="10" t="s">
        <v>693</v>
      </c>
      <c r="F21" s="10" t="s">
        <v>694</v>
      </c>
      <c r="G21" s="10" t="s">
        <v>698</v>
      </c>
      <c r="H21" s="11">
        <v>0</v>
      </c>
      <c r="I21" s="11">
        <v>0</v>
      </c>
      <c r="J21" s="11">
        <v>0</v>
      </c>
      <c r="K21" s="11">
        <v>1.2859744990892601</v>
      </c>
      <c r="L21" s="11">
        <v>0</v>
      </c>
      <c r="M21" s="11">
        <v>0</v>
      </c>
      <c r="N21" s="11">
        <v>0</v>
      </c>
      <c r="O21" s="11">
        <v>1.3519668737060118</v>
      </c>
      <c r="P21" s="11">
        <v>2.6050808314087663</v>
      </c>
      <c r="Q21" s="11">
        <v>0</v>
      </c>
      <c r="R21" s="11">
        <v>1.3244781783681114</v>
      </c>
      <c r="S21" s="11">
        <v>2.6617915904935932</v>
      </c>
      <c r="T21" s="11">
        <v>2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 t="s">
        <v>403</v>
      </c>
      <c r="AE21" s="11" t="s">
        <v>403</v>
      </c>
      <c r="AF21" s="18">
        <f t="shared" si="4"/>
        <v>0</v>
      </c>
      <c r="AG21" s="18">
        <f t="shared" si="4"/>
        <v>0</v>
      </c>
      <c r="AH21" s="18">
        <f t="shared" si="4"/>
        <v>0</v>
      </c>
      <c r="AI21" s="18">
        <f t="shared" si="4"/>
        <v>0</v>
      </c>
      <c r="AJ21" s="18">
        <f t="shared" si="4"/>
        <v>0</v>
      </c>
      <c r="AK21" s="18">
        <f t="shared" si="4"/>
        <v>0</v>
      </c>
      <c r="AL21" s="18">
        <f t="shared" si="4"/>
        <v>0</v>
      </c>
      <c r="AM21" s="18">
        <f t="shared" si="4"/>
        <v>0</v>
      </c>
      <c r="AN21" s="18">
        <f t="shared" si="4"/>
        <v>0</v>
      </c>
      <c r="AO21" s="18">
        <f t="shared" si="4"/>
        <v>0</v>
      </c>
      <c r="AP21" s="18">
        <f t="shared" si="4"/>
        <v>0</v>
      </c>
      <c r="AQ21" s="18">
        <f t="shared" si="4"/>
        <v>0</v>
      </c>
      <c r="AT21" s="10" t="s">
        <v>44</v>
      </c>
      <c r="AU21" s="11">
        <f t="shared" si="7"/>
        <v>26.361038961039036</v>
      </c>
      <c r="AV21" s="11">
        <f t="shared" si="7"/>
        <v>17.104568527918708</v>
      </c>
      <c r="AW21" s="11">
        <f t="shared" si="7"/>
        <v>25.112994746059481</v>
      </c>
      <c r="AX21" s="11">
        <f t="shared" si="7"/>
        <v>10.287795992714081</v>
      </c>
      <c r="AY21" s="11">
        <f t="shared" si="7"/>
        <v>10.425087108013917</v>
      </c>
      <c r="AZ21" s="11">
        <f t="shared" si="7"/>
        <v>10.818181818181895</v>
      </c>
      <c r="BA21" s="11">
        <f t="shared" si="7"/>
        <v>9.1739130434782119</v>
      </c>
      <c r="BB21" s="11">
        <f t="shared" si="7"/>
        <v>14.871635610766129</v>
      </c>
      <c r="BC21" s="11">
        <f t="shared" si="7"/>
        <v>13.025404157043832</v>
      </c>
      <c r="BD21" s="11">
        <f t="shared" si="7"/>
        <v>10.465306122448986</v>
      </c>
      <c r="BE21" s="11">
        <f t="shared" si="7"/>
        <v>14.569259962049225</v>
      </c>
      <c r="BF21" s="11">
        <f t="shared" si="7"/>
        <v>13.308957952467965</v>
      </c>
      <c r="BG21" s="11">
        <f t="shared" si="7"/>
        <v>12</v>
      </c>
      <c r="BH21" s="11">
        <f t="shared" si="7"/>
        <v>10</v>
      </c>
      <c r="BI21" s="11">
        <f t="shared" si="7"/>
        <v>9</v>
      </c>
      <c r="BJ21" s="11">
        <f t="shared" si="7"/>
        <v>3</v>
      </c>
      <c r="BK21" s="11">
        <f t="shared" si="8"/>
        <v>0</v>
      </c>
      <c r="BL21" s="11">
        <f t="shared" si="8"/>
        <v>0</v>
      </c>
      <c r="BM21" s="11">
        <f t="shared" si="8"/>
        <v>0</v>
      </c>
      <c r="BN21" s="11">
        <f t="shared" si="8"/>
        <v>0</v>
      </c>
      <c r="BO21" s="11">
        <f t="shared" si="8"/>
        <v>0</v>
      </c>
      <c r="BP21" s="11">
        <f t="shared" si="8"/>
        <v>0</v>
      </c>
      <c r="BQ21" s="11">
        <f t="shared" si="8"/>
        <v>0</v>
      </c>
      <c r="BR21" s="11">
        <f t="shared" si="8"/>
        <v>0</v>
      </c>
      <c r="BS21" s="18">
        <f t="shared" si="9"/>
        <v>0.45521726278450952</v>
      </c>
      <c r="BT21" s="18">
        <f t="shared" si="9"/>
        <v>0.58463912630579551</v>
      </c>
      <c r="BU21" s="18">
        <f t="shared" si="9"/>
        <v>0.35838019682667294</v>
      </c>
      <c r="BV21" s="18">
        <f t="shared" si="9"/>
        <v>0.29160764872521089</v>
      </c>
      <c r="BW21" s="18">
        <f t="shared" si="9"/>
        <v>0</v>
      </c>
      <c r="BX21" s="18">
        <f t="shared" si="9"/>
        <v>0</v>
      </c>
      <c r="BY21" s="18">
        <f t="shared" si="9"/>
        <v>0</v>
      </c>
      <c r="BZ21" s="18">
        <f t="shared" si="9"/>
        <v>0</v>
      </c>
      <c r="CA21" s="18">
        <f t="shared" si="9"/>
        <v>0</v>
      </c>
      <c r="CB21" s="18">
        <f t="shared" si="9"/>
        <v>0</v>
      </c>
      <c r="CC21" s="18">
        <f t="shared" si="9"/>
        <v>0</v>
      </c>
      <c r="CD21" s="18">
        <f t="shared" si="9"/>
        <v>0</v>
      </c>
    </row>
    <row r="22" spans="1:82" x14ac:dyDescent="0.3">
      <c r="A22" s="9" t="s">
        <v>58</v>
      </c>
      <c r="B22" s="10" t="s">
        <v>429</v>
      </c>
      <c r="C22" s="10" t="s">
        <v>22</v>
      </c>
      <c r="D22" s="10" t="s">
        <v>48</v>
      </c>
      <c r="E22" s="10" t="s">
        <v>693</v>
      </c>
      <c r="F22" s="10" t="s">
        <v>694</v>
      </c>
      <c r="G22" s="10" t="s">
        <v>699</v>
      </c>
      <c r="H22" s="11">
        <v>0</v>
      </c>
      <c r="I22" s="11">
        <v>0</v>
      </c>
      <c r="J22" s="11">
        <v>1.9317688266199602</v>
      </c>
      <c r="K22" s="11">
        <v>2.5719489981785202</v>
      </c>
      <c r="L22" s="11">
        <v>0</v>
      </c>
      <c r="M22" s="11">
        <v>0</v>
      </c>
      <c r="N22" s="11">
        <v>2.6211180124223468</v>
      </c>
      <c r="O22" s="11">
        <v>0</v>
      </c>
      <c r="P22" s="11">
        <v>0</v>
      </c>
      <c r="Q22" s="11">
        <v>1.3081632653061233</v>
      </c>
      <c r="R22" s="11">
        <v>0</v>
      </c>
      <c r="S22" s="11">
        <v>1.3308957952467966</v>
      </c>
      <c r="T22" s="11">
        <v>1</v>
      </c>
      <c r="U22" s="11">
        <v>1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 t="s">
        <v>403</v>
      </c>
      <c r="AE22" s="11" t="s">
        <v>403</v>
      </c>
      <c r="AF22" s="18">
        <f t="shared" si="4"/>
        <v>0</v>
      </c>
      <c r="AG22" s="18">
        <f t="shared" si="4"/>
        <v>0</v>
      </c>
      <c r="AH22" s="18">
        <f t="shared" si="4"/>
        <v>0</v>
      </c>
      <c r="AI22" s="18">
        <f t="shared" si="4"/>
        <v>0</v>
      </c>
      <c r="AJ22" s="18">
        <f t="shared" si="4"/>
        <v>0</v>
      </c>
      <c r="AK22" s="18">
        <f t="shared" si="4"/>
        <v>0</v>
      </c>
      <c r="AL22" s="18">
        <f t="shared" si="4"/>
        <v>0</v>
      </c>
      <c r="AM22" s="18">
        <f t="shared" si="4"/>
        <v>0</v>
      </c>
      <c r="AN22" s="18">
        <f t="shared" si="4"/>
        <v>0</v>
      </c>
      <c r="AO22" s="18">
        <f t="shared" si="4"/>
        <v>0</v>
      </c>
      <c r="AP22" s="18">
        <f t="shared" si="4"/>
        <v>0</v>
      </c>
      <c r="AQ22" s="18">
        <f t="shared" si="4"/>
        <v>0</v>
      </c>
      <c r="AT22" s="10" t="s">
        <v>134</v>
      </c>
      <c r="AU22" s="11">
        <f>SUMIF($D:$D,$AT22,H:H)</f>
        <v>62.700767263427096</v>
      </c>
      <c r="AV22" s="11">
        <f t="shared" si="7"/>
        <v>95.191821086262053</v>
      </c>
      <c r="AW22" s="11">
        <f t="shared" si="7"/>
        <v>81.844848484848484</v>
      </c>
      <c r="AX22" s="11">
        <f t="shared" si="7"/>
        <v>69.438202247191086</v>
      </c>
      <c r="AY22" s="11">
        <f t="shared" si="7"/>
        <v>46.089743589743499</v>
      </c>
      <c r="AZ22" s="11">
        <f t="shared" si="7"/>
        <v>75.293255131964628</v>
      </c>
      <c r="BA22" s="11">
        <f t="shared" si="7"/>
        <v>48.799180327868868</v>
      </c>
      <c r="BB22" s="11">
        <f t="shared" si="7"/>
        <v>54.337944664031667</v>
      </c>
      <c r="BC22" s="11">
        <f t="shared" si="7"/>
        <v>54.458695652173922</v>
      </c>
      <c r="BD22" s="11">
        <f t="shared" si="7"/>
        <v>42.813163481953254</v>
      </c>
      <c r="BE22" s="11">
        <f t="shared" si="7"/>
        <v>52.135306553911192</v>
      </c>
      <c r="BF22" s="11">
        <f t="shared" si="7"/>
        <v>62.315217391304358</v>
      </c>
      <c r="BG22" s="11">
        <f t="shared" si="7"/>
        <v>48</v>
      </c>
      <c r="BH22" s="11">
        <f t="shared" si="7"/>
        <v>42</v>
      </c>
      <c r="BI22" s="11">
        <f t="shared" si="7"/>
        <v>53</v>
      </c>
      <c r="BJ22" s="11">
        <f t="shared" si="7"/>
        <v>8</v>
      </c>
      <c r="BK22" s="11">
        <f t="shared" si="8"/>
        <v>0</v>
      </c>
      <c r="BL22" s="11">
        <f t="shared" si="8"/>
        <v>0</v>
      </c>
      <c r="BM22" s="11">
        <f t="shared" si="8"/>
        <v>0</v>
      </c>
      <c r="BN22" s="11">
        <f t="shared" si="8"/>
        <v>0</v>
      </c>
      <c r="BO22" s="11">
        <f t="shared" si="8"/>
        <v>0</v>
      </c>
      <c r="BP22" s="11">
        <f t="shared" si="8"/>
        <v>0</v>
      </c>
      <c r="BQ22" s="11">
        <f t="shared" si="8"/>
        <v>0</v>
      </c>
      <c r="BR22" s="11">
        <f t="shared" si="8"/>
        <v>0</v>
      </c>
      <c r="BS22" s="18">
        <f t="shared" si="9"/>
        <v>0.76554087126774373</v>
      </c>
      <c r="BT22" s="18">
        <f t="shared" si="9"/>
        <v>0.44121437662107488</v>
      </c>
      <c r="BU22" s="18">
        <f t="shared" si="9"/>
        <v>0.64756671899529039</v>
      </c>
      <c r="BV22" s="18">
        <f t="shared" si="9"/>
        <v>0.1152103559870549</v>
      </c>
      <c r="BW22" s="18">
        <f t="shared" si="9"/>
        <v>0</v>
      </c>
      <c r="BX22" s="18">
        <f t="shared" si="9"/>
        <v>0</v>
      </c>
      <c r="BY22" s="18">
        <f t="shared" si="9"/>
        <v>0</v>
      </c>
      <c r="BZ22" s="18">
        <f t="shared" si="9"/>
        <v>0</v>
      </c>
      <c r="CA22" s="18">
        <f t="shared" si="9"/>
        <v>0</v>
      </c>
      <c r="CB22" s="18">
        <f t="shared" si="9"/>
        <v>0</v>
      </c>
      <c r="CC22" s="18">
        <f t="shared" si="9"/>
        <v>0</v>
      </c>
      <c r="CD22" s="18">
        <f t="shared" si="9"/>
        <v>0</v>
      </c>
    </row>
    <row r="23" spans="1:82" x14ac:dyDescent="0.3">
      <c r="A23" s="9" t="s">
        <v>88</v>
      </c>
      <c r="B23" s="10" t="s">
        <v>457</v>
      </c>
      <c r="C23" s="10" t="s">
        <v>22</v>
      </c>
      <c r="D23" s="10" t="s">
        <v>48</v>
      </c>
      <c r="E23" s="10" t="s">
        <v>693</v>
      </c>
      <c r="F23" s="10" t="s">
        <v>694</v>
      </c>
      <c r="G23" s="10" t="s">
        <v>699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 t="s">
        <v>403</v>
      </c>
      <c r="AE23" s="11" t="s">
        <v>403</v>
      </c>
      <c r="AF23" s="18">
        <f t="shared" si="4"/>
        <v>0</v>
      </c>
      <c r="AG23" s="18">
        <f t="shared" si="4"/>
        <v>0</v>
      </c>
      <c r="AH23" s="18">
        <f t="shared" si="4"/>
        <v>0</v>
      </c>
      <c r="AI23" s="18">
        <f t="shared" si="4"/>
        <v>0</v>
      </c>
      <c r="AJ23" s="18">
        <f t="shared" si="4"/>
        <v>0</v>
      </c>
      <c r="AK23" s="18">
        <f t="shared" si="4"/>
        <v>0</v>
      </c>
      <c r="AL23" s="18">
        <f t="shared" si="4"/>
        <v>0</v>
      </c>
      <c r="AM23" s="18">
        <f t="shared" si="4"/>
        <v>0</v>
      </c>
      <c r="AN23" s="18">
        <f t="shared" si="4"/>
        <v>0</v>
      </c>
      <c r="AO23" s="18">
        <f t="shared" si="4"/>
        <v>0</v>
      </c>
      <c r="AP23" s="18">
        <f t="shared" si="4"/>
        <v>0</v>
      </c>
      <c r="AQ23" s="18">
        <f t="shared" si="4"/>
        <v>0</v>
      </c>
      <c r="AT23" s="10" t="s">
        <v>136</v>
      </c>
      <c r="AU23" s="11">
        <f>SUMIF($D:$D,$AT23,H:H)</f>
        <v>40.407161125319682</v>
      </c>
      <c r="AV23" s="11">
        <f t="shared" si="7"/>
        <v>108.55207667731638</v>
      </c>
      <c r="AW23" s="11">
        <f t="shared" si="7"/>
        <v>108.56969696969699</v>
      </c>
      <c r="AX23" s="11">
        <f t="shared" si="7"/>
        <v>90.269662921348399</v>
      </c>
      <c r="AY23" s="11">
        <f t="shared" si="7"/>
        <v>76.048076923076763</v>
      </c>
      <c r="AZ23" s="11">
        <f t="shared" si="7"/>
        <v>77.609970674486618</v>
      </c>
      <c r="BA23" s="11">
        <f t="shared" si="7"/>
        <v>51.122950819672148</v>
      </c>
      <c r="BB23" s="11">
        <f t="shared" si="7"/>
        <v>55.494071146245105</v>
      </c>
      <c r="BC23" s="11">
        <f t="shared" si="7"/>
        <v>47.506521739130442</v>
      </c>
      <c r="BD23" s="11">
        <f t="shared" si="7"/>
        <v>76.3694267515923</v>
      </c>
      <c r="BE23" s="11">
        <f t="shared" si="7"/>
        <v>59.086680761099345</v>
      </c>
      <c r="BF23" s="11">
        <f t="shared" si="7"/>
        <v>63.469202898550748</v>
      </c>
      <c r="BG23" s="11">
        <f t="shared" si="7"/>
        <v>38</v>
      </c>
      <c r="BH23" s="11">
        <f t="shared" si="7"/>
        <v>54</v>
      </c>
      <c r="BI23" s="11">
        <f t="shared" si="7"/>
        <v>50</v>
      </c>
      <c r="BJ23" s="11">
        <f t="shared" si="7"/>
        <v>10</v>
      </c>
      <c r="BK23" s="11">
        <f t="shared" si="8"/>
        <v>0</v>
      </c>
      <c r="BL23" s="11">
        <f t="shared" si="8"/>
        <v>0</v>
      </c>
      <c r="BM23" s="11">
        <f t="shared" si="8"/>
        <v>0</v>
      </c>
      <c r="BN23" s="11">
        <f t="shared" si="8"/>
        <v>0</v>
      </c>
      <c r="BO23" s="11">
        <f t="shared" si="8"/>
        <v>0</v>
      </c>
      <c r="BP23" s="11">
        <f t="shared" si="8"/>
        <v>0</v>
      </c>
      <c r="BQ23" s="11">
        <f t="shared" si="8"/>
        <v>0</v>
      </c>
      <c r="BR23" s="11">
        <f t="shared" si="8"/>
        <v>0</v>
      </c>
      <c r="BS23" s="18">
        <f t="shared" si="9"/>
        <v>0.94042736341080591</v>
      </c>
      <c r="BT23" s="18">
        <f t="shared" si="9"/>
        <v>0.49745708836617891</v>
      </c>
      <c r="BU23" s="18">
        <f t="shared" si="9"/>
        <v>0.46053366082393649</v>
      </c>
      <c r="BV23" s="18">
        <f t="shared" si="9"/>
        <v>0.11077918844909126</v>
      </c>
      <c r="BW23" s="18">
        <f t="shared" si="9"/>
        <v>0</v>
      </c>
      <c r="BX23" s="18">
        <f t="shared" si="9"/>
        <v>0</v>
      </c>
      <c r="BY23" s="18">
        <f t="shared" si="9"/>
        <v>0</v>
      </c>
      <c r="BZ23" s="18">
        <f t="shared" si="9"/>
        <v>0</v>
      </c>
      <c r="CA23" s="18">
        <f t="shared" si="9"/>
        <v>0</v>
      </c>
      <c r="CB23" s="18">
        <f t="shared" si="9"/>
        <v>0</v>
      </c>
      <c r="CC23" s="18">
        <f t="shared" si="9"/>
        <v>0</v>
      </c>
      <c r="CD23" s="18">
        <f t="shared" si="9"/>
        <v>0</v>
      </c>
    </row>
    <row r="24" spans="1:82" x14ac:dyDescent="0.3">
      <c r="A24" s="9" t="s">
        <v>151</v>
      </c>
      <c r="B24" s="10" t="s">
        <v>509</v>
      </c>
      <c r="C24" s="10" t="s">
        <v>22</v>
      </c>
      <c r="D24" s="10" t="s">
        <v>48</v>
      </c>
      <c r="E24" s="10" t="s">
        <v>693</v>
      </c>
      <c r="F24" s="10" t="s">
        <v>701</v>
      </c>
      <c r="G24" s="10" t="s">
        <v>699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 t="s">
        <v>403</v>
      </c>
      <c r="U24" s="11" t="s">
        <v>403</v>
      </c>
      <c r="V24" s="11" t="s">
        <v>403</v>
      </c>
      <c r="W24" s="11" t="s">
        <v>403</v>
      </c>
      <c r="X24" s="11" t="s">
        <v>403</v>
      </c>
      <c r="Y24" s="11" t="s">
        <v>403</v>
      </c>
      <c r="Z24" s="11" t="s">
        <v>403</v>
      </c>
      <c r="AA24" s="11" t="s">
        <v>403</v>
      </c>
      <c r="AB24" s="11" t="s">
        <v>403</v>
      </c>
      <c r="AC24" s="11" t="s">
        <v>403</v>
      </c>
      <c r="AD24" s="11" t="s">
        <v>403</v>
      </c>
      <c r="AE24" s="11" t="s">
        <v>403</v>
      </c>
      <c r="AF24" s="18">
        <f t="shared" si="4"/>
        <v>0</v>
      </c>
      <c r="AG24" s="18">
        <f t="shared" si="4"/>
        <v>0</v>
      </c>
      <c r="AH24" s="18">
        <f t="shared" si="4"/>
        <v>0</v>
      </c>
      <c r="AI24" s="18">
        <f t="shared" si="4"/>
        <v>0</v>
      </c>
      <c r="AJ24" s="18">
        <f t="shared" si="4"/>
        <v>0</v>
      </c>
      <c r="AK24" s="18">
        <f t="shared" si="4"/>
        <v>0</v>
      </c>
      <c r="AL24" s="18">
        <f t="shared" si="4"/>
        <v>0</v>
      </c>
      <c r="AM24" s="18">
        <f t="shared" si="4"/>
        <v>0</v>
      </c>
      <c r="AN24" s="18">
        <f t="shared" si="4"/>
        <v>0</v>
      </c>
      <c r="AO24" s="18">
        <f t="shared" si="4"/>
        <v>0</v>
      </c>
      <c r="AP24" s="18">
        <f t="shared" si="4"/>
        <v>0</v>
      </c>
      <c r="AQ24" s="18">
        <f t="shared" si="4"/>
        <v>0</v>
      </c>
      <c r="AT24" s="10" t="s">
        <v>128</v>
      </c>
      <c r="AU24" s="11">
        <f>SUMIF($D:$D,$AT24,H:H)</f>
        <v>2.7867007672634263</v>
      </c>
      <c r="AV24" s="11">
        <f t="shared" si="7"/>
        <v>1.6700319488817905</v>
      </c>
      <c r="AW24" s="11">
        <f t="shared" si="7"/>
        <v>0</v>
      </c>
      <c r="AX24" s="11">
        <f t="shared" si="7"/>
        <v>2.3146067415730363</v>
      </c>
      <c r="AY24" s="11">
        <f t="shared" si="7"/>
        <v>1.1522435897435874</v>
      </c>
      <c r="AZ24" s="11">
        <f t="shared" si="7"/>
        <v>1.158357771260994</v>
      </c>
      <c r="BA24" s="11">
        <f t="shared" si="7"/>
        <v>2.3237704918032795</v>
      </c>
      <c r="BB24" s="11">
        <f t="shared" si="7"/>
        <v>3.4683794466403186</v>
      </c>
      <c r="BC24" s="11">
        <f t="shared" si="7"/>
        <v>0</v>
      </c>
      <c r="BD24" s="11">
        <f t="shared" si="7"/>
        <v>1.1571125265392772</v>
      </c>
      <c r="BE24" s="11">
        <f t="shared" si="7"/>
        <v>1.1585623678646932</v>
      </c>
      <c r="BF24" s="11">
        <f t="shared" si="7"/>
        <v>3.4619565217391308</v>
      </c>
      <c r="BG24" s="11">
        <f t="shared" si="7"/>
        <v>0</v>
      </c>
      <c r="BH24" s="11">
        <f t="shared" si="7"/>
        <v>0</v>
      </c>
      <c r="BI24" s="11">
        <f t="shared" si="7"/>
        <v>0</v>
      </c>
      <c r="BJ24" s="11">
        <f t="shared" si="7"/>
        <v>0</v>
      </c>
      <c r="BK24" s="11">
        <f t="shared" si="8"/>
        <v>0</v>
      </c>
      <c r="BL24" s="11">
        <f t="shared" si="8"/>
        <v>0</v>
      </c>
      <c r="BM24" s="11">
        <f t="shared" si="8"/>
        <v>0</v>
      </c>
      <c r="BN24" s="11">
        <f t="shared" si="8"/>
        <v>0</v>
      </c>
      <c r="BO24" s="11">
        <f t="shared" si="8"/>
        <v>0</v>
      </c>
      <c r="BP24" s="11">
        <f t="shared" si="8"/>
        <v>0</v>
      </c>
      <c r="BQ24" s="11">
        <f t="shared" si="8"/>
        <v>0</v>
      </c>
      <c r="BR24" s="11">
        <f t="shared" si="8"/>
        <v>0</v>
      </c>
      <c r="BS24" s="18">
        <f t="shared" si="9"/>
        <v>0</v>
      </c>
      <c r="BT24" s="18">
        <f t="shared" si="9"/>
        <v>0</v>
      </c>
      <c r="BU24" s="18">
        <f t="shared" si="9"/>
        <v>0</v>
      </c>
      <c r="BV24" s="18">
        <f t="shared" si="9"/>
        <v>0</v>
      </c>
      <c r="BW24" s="18">
        <f t="shared" si="9"/>
        <v>0</v>
      </c>
      <c r="BX24" s="18">
        <f t="shared" si="9"/>
        <v>0</v>
      </c>
      <c r="BY24" s="18">
        <f t="shared" si="9"/>
        <v>0</v>
      </c>
      <c r="BZ24" s="18">
        <f t="shared" si="9"/>
        <v>0</v>
      </c>
      <c r="CA24" s="18">
        <f t="shared" si="9"/>
        <v>0</v>
      </c>
      <c r="CB24" s="18">
        <f t="shared" si="9"/>
        <v>0</v>
      </c>
      <c r="CC24" s="18">
        <f t="shared" si="9"/>
        <v>0</v>
      </c>
      <c r="CD24" s="18">
        <f t="shared" si="9"/>
        <v>0</v>
      </c>
    </row>
    <row r="25" spans="1:82" x14ac:dyDescent="0.3">
      <c r="A25" s="9" t="s">
        <v>367</v>
      </c>
      <c r="B25" s="10" t="s">
        <v>677</v>
      </c>
      <c r="C25" s="10" t="s">
        <v>22</v>
      </c>
      <c r="D25" s="10" t="s">
        <v>42</v>
      </c>
      <c r="E25" s="10" t="s">
        <v>693</v>
      </c>
      <c r="F25" s="10" t="s">
        <v>701</v>
      </c>
      <c r="G25" s="10" t="s">
        <v>699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 t="s">
        <v>403</v>
      </c>
      <c r="U25" s="11" t="s">
        <v>403</v>
      </c>
      <c r="V25" s="11" t="s">
        <v>403</v>
      </c>
      <c r="W25" s="11" t="s">
        <v>403</v>
      </c>
      <c r="X25" s="11" t="s">
        <v>403</v>
      </c>
      <c r="Y25" s="11" t="s">
        <v>403</v>
      </c>
      <c r="Z25" s="11" t="s">
        <v>403</v>
      </c>
      <c r="AA25" s="11" t="s">
        <v>403</v>
      </c>
      <c r="AB25" s="11" t="s">
        <v>403</v>
      </c>
      <c r="AC25" s="11" t="s">
        <v>403</v>
      </c>
      <c r="AD25" s="11" t="s">
        <v>403</v>
      </c>
      <c r="AE25" s="11" t="s">
        <v>403</v>
      </c>
      <c r="AF25" s="18">
        <f t="shared" si="4"/>
        <v>0</v>
      </c>
      <c r="AG25" s="18">
        <f t="shared" si="4"/>
        <v>0</v>
      </c>
      <c r="AH25" s="18">
        <f t="shared" si="4"/>
        <v>0</v>
      </c>
      <c r="AI25" s="18">
        <f t="shared" si="4"/>
        <v>0</v>
      </c>
      <c r="AJ25" s="18">
        <f t="shared" si="4"/>
        <v>0</v>
      </c>
      <c r="AK25" s="18">
        <f t="shared" si="4"/>
        <v>0</v>
      </c>
      <c r="AL25" s="18">
        <f t="shared" si="4"/>
        <v>0</v>
      </c>
      <c r="AM25" s="18">
        <f t="shared" si="4"/>
        <v>0</v>
      </c>
      <c r="AN25" s="18">
        <f t="shared" si="4"/>
        <v>0</v>
      </c>
      <c r="AO25" s="18">
        <f t="shared" si="4"/>
        <v>0</v>
      </c>
      <c r="AP25" s="18">
        <f t="shared" si="4"/>
        <v>0</v>
      </c>
      <c r="AQ25" s="18">
        <f t="shared" si="4"/>
        <v>0</v>
      </c>
      <c r="AT25" s="5" t="s">
        <v>67</v>
      </c>
      <c r="AU25" s="13">
        <f t="shared" ref="AU25:BR25" si="10">SUM(AU11:AU24)</f>
        <v>209.78813564951699</v>
      </c>
      <c r="AV25" s="13">
        <f t="shared" si="10"/>
        <v>340.34997032159669</v>
      </c>
      <c r="AW25" s="13">
        <f t="shared" si="10"/>
        <v>347.88782041076229</v>
      </c>
      <c r="AX25" s="13">
        <f t="shared" si="10"/>
        <v>237.89496735637888</v>
      </c>
      <c r="AY25" s="13">
        <f t="shared" si="10"/>
        <v>223.63152751719781</v>
      </c>
      <c r="AZ25" s="13">
        <f t="shared" si="10"/>
        <v>264.59567448680389</v>
      </c>
      <c r="BA25" s="13">
        <f t="shared" si="10"/>
        <v>171.7055289685365</v>
      </c>
      <c r="BB25" s="13">
        <f t="shared" si="10"/>
        <v>202.53020892151386</v>
      </c>
      <c r="BC25" s="13">
        <f t="shared" si="10"/>
        <v>178.81510191786299</v>
      </c>
      <c r="BD25" s="13">
        <f t="shared" si="10"/>
        <v>191.98051908661546</v>
      </c>
      <c r="BE25" s="13">
        <f t="shared" si="10"/>
        <v>214.36536941721982</v>
      </c>
      <c r="BF25" s="13">
        <f t="shared" si="10"/>
        <v>231.72535304559756</v>
      </c>
      <c r="BG25" s="13">
        <f t="shared" si="10"/>
        <v>171</v>
      </c>
      <c r="BH25" s="13">
        <f t="shared" si="10"/>
        <v>171</v>
      </c>
      <c r="BI25" s="13">
        <f t="shared" si="10"/>
        <v>190</v>
      </c>
      <c r="BJ25" s="13">
        <f t="shared" si="10"/>
        <v>41</v>
      </c>
      <c r="BK25" s="13">
        <f t="shared" si="10"/>
        <v>0</v>
      </c>
      <c r="BL25" s="13">
        <f t="shared" si="10"/>
        <v>0</v>
      </c>
      <c r="BM25" s="13">
        <f t="shared" si="10"/>
        <v>0</v>
      </c>
      <c r="BN25" s="13">
        <f t="shared" si="10"/>
        <v>0</v>
      </c>
      <c r="BO25" s="13">
        <f t="shared" si="10"/>
        <v>0</v>
      </c>
      <c r="BP25" s="13">
        <f t="shared" si="10"/>
        <v>0</v>
      </c>
      <c r="BQ25" s="13">
        <f t="shared" si="10"/>
        <v>0</v>
      </c>
      <c r="BR25" s="13">
        <f t="shared" si="10"/>
        <v>0</v>
      </c>
      <c r="BS25" s="14">
        <f t="shared" si="9"/>
        <v>0.81510805875924996</v>
      </c>
      <c r="BT25" s="14">
        <f t="shared" si="9"/>
        <v>0.50242401913072621</v>
      </c>
      <c r="BU25" s="14">
        <f t="shared" si="9"/>
        <v>0.54615306674335684</v>
      </c>
      <c r="BV25" s="14">
        <f t="shared" si="9"/>
        <v>0.17234496574523955</v>
      </c>
      <c r="BW25" s="14">
        <f t="shared" si="9"/>
        <v>0</v>
      </c>
      <c r="BX25" s="14">
        <f t="shared" si="9"/>
        <v>0</v>
      </c>
      <c r="BY25" s="14">
        <f t="shared" si="9"/>
        <v>0</v>
      </c>
      <c r="BZ25" s="14">
        <f t="shared" si="9"/>
        <v>0</v>
      </c>
      <c r="CA25" s="14">
        <f t="shared" si="9"/>
        <v>0</v>
      </c>
      <c r="CB25" s="14">
        <f t="shared" si="9"/>
        <v>0</v>
      </c>
      <c r="CC25" s="14">
        <f t="shared" si="9"/>
        <v>0</v>
      </c>
      <c r="CD25" s="14">
        <f t="shared" si="9"/>
        <v>0</v>
      </c>
    </row>
    <row r="26" spans="1:82" x14ac:dyDescent="0.3">
      <c r="A26" s="9" t="s">
        <v>368</v>
      </c>
      <c r="B26" s="10" t="s">
        <v>678</v>
      </c>
      <c r="C26" s="10" t="s">
        <v>22</v>
      </c>
      <c r="D26" s="10" t="s">
        <v>28</v>
      </c>
      <c r="E26" s="10" t="s">
        <v>693</v>
      </c>
      <c r="F26" s="10" t="s">
        <v>701</v>
      </c>
      <c r="G26" s="10" t="s">
        <v>695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 t="s">
        <v>403</v>
      </c>
      <c r="U26" s="11" t="s">
        <v>403</v>
      </c>
      <c r="V26" s="11" t="s">
        <v>403</v>
      </c>
      <c r="W26" s="11" t="s">
        <v>403</v>
      </c>
      <c r="X26" s="11" t="s">
        <v>403</v>
      </c>
      <c r="Y26" s="11" t="s">
        <v>403</v>
      </c>
      <c r="Z26" s="11" t="s">
        <v>403</v>
      </c>
      <c r="AA26" s="11" t="s">
        <v>403</v>
      </c>
      <c r="AB26" s="11" t="s">
        <v>403</v>
      </c>
      <c r="AC26" s="11" t="s">
        <v>403</v>
      </c>
      <c r="AD26" s="11" t="s">
        <v>403</v>
      </c>
      <c r="AE26" s="11" t="s">
        <v>403</v>
      </c>
      <c r="AF26" s="18">
        <f t="shared" si="4"/>
        <v>0</v>
      </c>
      <c r="AG26" s="18">
        <f t="shared" si="4"/>
        <v>0</v>
      </c>
      <c r="AH26" s="18">
        <f t="shared" si="4"/>
        <v>0</v>
      </c>
      <c r="AI26" s="18">
        <f t="shared" si="4"/>
        <v>0</v>
      </c>
      <c r="AJ26" s="18">
        <f t="shared" si="4"/>
        <v>0</v>
      </c>
      <c r="AK26" s="18">
        <f t="shared" si="4"/>
        <v>0</v>
      </c>
      <c r="AL26" s="18">
        <f t="shared" si="4"/>
        <v>0</v>
      </c>
      <c r="AM26" s="18">
        <f t="shared" si="4"/>
        <v>0</v>
      </c>
      <c r="AN26" s="18">
        <f t="shared" si="4"/>
        <v>0</v>
      </c>
      <c r="AO26" s="18">
        <f t="shared" si="4"/>
        <v>0</v>
      </c>
      <c r="AP26" s="18">
        <f t="shared" si="4"/>
        <v>0</v>
      </c>
      <c r="AQ26" s="18">
        <f t="shared" si="4"/>
        <v>0</v>
      </c>
    </row>
    <row r="27" spans="1:82" x14ac:dyDescent="0.3">
      <c r="A27" s="9" t="s">
        <v>152</v>
      </c>
      <c r="B27" s="10" t="s">
        <v>510</v>
      </c>
      <c r="C27" s="10" t="s">
        <v>22</v>
      </c>
      <c r="D27" s="10" t="s">
        <v>46</v>
      </c>
      <c r="E27" s="10" t="s">
        <v>693</v>
      </c>
      <c r="F27" s="10" t="s">
        <v>694</v>
      </c>
      <c r="G27" s="10" t="s">
        <v>700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1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 t="s">
        <v>403</v>
      </c>
      <c r="AE27" s="11" t="s">
        <v>403</v>
      </c>
      <c r="AF27" s="18">
        <f t="shared" si="4"/>
        <v>0</v>
      </c>
      <c r="AG27" s="18">
        <f t="shared" si="4"/>
        <v>0</v>
      </c>
      <c r="AH27" s="18">
        <f t="shared" si="4"/>
        <v>0</v>
      </c>
      <c r="AI27" s="18">
        <f t="shared" si="4"/>
        <v>0</v>
      </c>
      <c r="AJ27" s="18">
        <f t="shared" si="4"/>
        <v>0</v>
      </c>
      <c r="AK27" s="18">
        <f t="shared" si="4"/>
        <v>0</v>
      </c>
      <c r="AL27" s="18">
        <f t="shared" si="4"/>
        <v>0</v>
      </c>
      <c r="AM27" s="18">
        <f t="shared" si="4"/>
        <v>0</v>
      </c>
      <c r="AN27" s="18">
        <f t="shared" si="4"/>
        <v>0</v>
      </c>
      <c r="AO27" s="18">
        <f t="shared" si="4"/>
        <v>0</v>
      </c>
      <c r="AP27" s="18">
        <f t="shared" si="4"/>
        <v>0</v>
      </c>
      <c r="AQ27" s="18">
        <f t="shared" si="4"/>
        <v>0</v>
      </c>
    </row>
    <row r="28" spans="1:82" x14ac:dyDescent="0.3">
      <c r="A28" s="9" t="s">
        <v>110</v>
      </c>
      <c r="B28" s="10" t="s">
        <v>479</v>
      </c>
      <c r="C28" s="10" t="s">
        <v>22</v>
      </c>
      <c r="D28" s="10" t="s">
        <v>44</v>
      </c>
      <c r="E28" s="10" t="s">
        <v>693</v>
      </c>
      <c r="F28" s="10" t="s">
        <v>694</v>
      </c>
      <c r="G28" s="10" t="s">
        <v>698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 t="s">
        <v>403</v>
      </c>
      <c r="U28" s="11" t="s">
        <v>403</v>
      </c>
      <c r="V28" s="11" t="s">
        <v>403</v>
      </c>
      <c r="W28" s="11" t="s">
        <v>403</v>
      </c>
      <c r="X28" s="11" t="s">
        <v>403</v>
      </c>
      <c r="Y28" s="11" t="s">
        <v>403</v>
      </c>
      <c r="Z28" s="11" t="s">
        <v>403</v>
      </c>
      <c r="AA28" s="11" t="s">
        <v>403</v>
      </c>
      <c r="AB28" s="11" t="s">
        <v>403</v>
      </c>
      <c r="AC28" s="11" t="s">
        <v>403</v>
      </c>
      <c r="AD28" s="11" t="s">
        <v>403</v>
      </c>
      <c r="AE28" s="11" t="s">
        <v>403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si="4"/>
        <v>0</v>
      </c>
      <c r="AQ28" s="18">
        <f t="shared" si="4"/>
        <v>0</v>
      </c>
    </row>
    <row r="29" spans="1:82" x14ac:dyDescent="0.3">
      <c r="A29" s="9" t="s">
        <v>160</v>
      </c>
      <c r="B29" s="10" t="s">
        <v>518</v>
      </c>
      <c r="C29" s="10" t="s">
        <v>22</v>
      </c>
      <c r="D29" s="10" t="s">
        <v>40</v>
      </c>
      <c r="E29" s="10" t="s">
        <v>693</v>
      </c>
      <c r="F29" s="10" t="s">
        <v>694</v>
      </c>
      <c r="G29" s="10" t="s">
        <v>698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1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 t="s">
        <v>403</v>
      </c>
      <c r="AE29" s="11" t="s">
        <v>403</v>
      </c>
      <c r="AF29" s="18">
        <f t="shared" si="4"/>
        <v>0</v>
      </c>
      <c r="AG29" s="18">
        <f t="shared" si="4"/>
        <v>0</v>
      </c>
      <c r="AH29" s="18">
        <f t="shared" si="4"/>
        <v>0</v>
      </c>
      <c r="AI29" s="18">
        <f t="shared" si="4"/>
        <v>0</v>
      </c>
      <c r="AJ29" s="18">
        <f t="shared" si="4"/>
        <v>0</v>
      </c>
      <c r="AK29" s="18">
        <f t="shared" si="4"/>
        <v>0</v>
      </c>
      <c r="AL29" s="18">
        <f t="shared" si="4"/>
        <v>0</v>
      </c>
      <c r="AM29" s="18">
        <f t="shared" si="4"/>
        <v>0</v>
      </c>
      <c r="AN29" s="18">
        <f t="shared" si="4"/>
        <v>0</v>
      </c>
      <c r="AO29" s="18">
        <f t="shared" si="4"/>
        <v>0</v>
      </c>
      <c r="AP29" s="18">
        <f t="shared" si="4"/>
        <v>0</v>
      </c>
      <c r="AQ29" s="18">
        <f t="shared" si="4"/>
        <v>0</v>
      </c>
    </row>
    <row r="30" spans="1:82" x14ac:dyDescent="0.3">
      <c r="A30" s="9" t="s">
        <v>156</v>
      </c>
      <c r="B30" s="10" t="s">
        <v>514</v>
      </c>
      <c r="C30" s="10" t="s">
        <v>22</v>
      </c>
      <c r="D30" s="10" t="s">
        <v>46</v>
      </c>
      <c r="E30" s="10" t="s">
        <v>693</v>
      </c>
      <c r="F30" s="10" t="s">
        <v>694</v>
      </c>
      <c r="G30" s="10" t="s">
        <v>700</v>
      </c>
      <c r="H30" s="11">
        <v>0</v>
      </c>
      <c r="I30" s="11">
        <v>1.9005076142131898</v>
      </c>
      <c r="J30" s="11">
        <v>0</v>
      </c>
      <c r="K30" s="11">
        <v>0</v>
      </c>
      <c r="L30" s="11">
        <v>0</v>
      </c>
      <c r="M30" s="11">
        <v>1.3522727272727368</v>
      </c>
      <c r="N30" s="11">
        <v>1.3105590062111734</v>
      </c>
      <c r="O30" s="11">
        <v>1.3519668737060118</v>
      </c>
      <c r="P30" s="11">
        <v>0</v>
      </c>
      <c r="Q30" s="11">
        <v>0</v>
      </c>
      <c r="R30" s="11">
        <v>0</v>
      </c>
      <c r="S30" s="11">
        <v>1.3308957952467966</v>
      </c>
      <c r="T30" s="11" t="s">
        <v>403</v>
      </c>
      <c r="U30" s="11" t="s">
        <v>403</v>
      </c>
      <c r="V30" s="11" t="s">
        <v>403</v>
      </c>
      <c r="W30" s="11" t="s">
        <v>403</v>
      </c>
      <c r="X30" s="11" t="s">
        <v>403</v>
      </c>
      <c r="Y30" s="11" t="s">
        <v>403</v>
      </c>
      <c r="Z30" s="11" t="s">
        <v>403</v>
      </c>
      <c r="AA30" s="11" t="s">
        <v>403</v>
      </c>
      <c r="AB30" s="11" t="s">
        <v>403</v>
      </c>
      <c r="AC30" s="11" t="s">
        <v>403</v>
      </c>
      <c r="AD30" s="11" t="s">
        <v>403</v>
      </c>
      <c r="AE30" s="11" t="s">
        <v>403</v>
      </c>
      <c r="AF30" s="18">
        <f t="shared" si="4"/>
        <v>0</v>
      </c>
      <c r="AG30" s="18">
        <f t="shared" si="4"/>
        <v>0</v>
      </c>
      <c r="AH30" s="18">
        <f t="shared" si="4"/>
        <v>0</v>
      </c>
      <c r="AI30" s="18">
        <f t="shared" si="4"/>
        <v>0</v>
      </c>
      <c r="AJ30" s="18">
        <f t="shared" si="4"/>
        <v>0</v>
      </c>
      <c r="AK30" s="18">
        <f t="shared" si="4"/>
        <v>0</v>
      </c>
      <c r="AL30" s="18">
        <f t="shared" si="4"/>
        <v>0</v>
      </c>
      <c r="AM30" s="18">
        <f t="shared" si="4"/>
        <v>0</v>
      </c>
      <c r="AN30" s="18">
        <f t="shared" si="4"/>
        <v>0</v>
      </c>
      <c r="AO30" s="18">
        <f t="shared" si="4"/>
        <v>0</v>
      </c>
      <c r="AP30" s="18">
        <f t="shared" si="4"/>
        <v>0</v>
      </c>
      <c r="AQ30" s="18">
        <f t="shared" si="4"/>
        <v>0</v>
      </c>
    </row>
    <row r="31" spans="1:82" x14ac:dyDescent="0.3">
      <c r="A31" s="9" t="s">
        <v>114</v>
      </c>
      <c r="B31" s="10" t="s">
        <v>483</v>
      </c>
      <c r="C31" s="10" t="s">
        <v>22</v>
      </c>
      <c r="D31" s="10" t="s">
        <v>44</v>
      </c>
      <c r="E31" s="10" t="s">
        <v>693</v>
      </c>
      <c r="F31" s="10" t="s">
        <v>694</v>
      </c>
      <c r="G31" s="10" t="s">
        <v>698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 t="s">
        <v>403</v>
      </c>
      <c r="U31" s="11" t="s">
        <v>403</v>
      </c>
      <c r="V31" s="11" t="s">
        <v>403</v>
      </c>
      <c r="W31" s="11" t="s">
        <v>403</v>
      </c>
      <c r="X31" s="11" t="s">
        <v>403</v>
      </c>
      <c r="Y31" s="11" t="s">
        <v>403</v>
      </c>
      <c r="Z31" s="11" t="s">
        <v>403</v>
      </c>
      <c r="AA31" s="11" t="s">
        <v>403</v>
      </c>
      <c r="AB31" s="11" t="s">
        <v>403</v>
      </c>
      <c r="AC31" s="11" t="s">
        <v>403</v>
      </c>
      <c r="AD31" s="11" t="s">
        <v>403</v>
      </c>
      <c r="AE31" s="11" t="s">
        <v>403</v>
      </c>
      <c r="AF31" s="18">
        <f t="shared" si="4"/>
        <v>0</v>
      </c>
      <c r="AG31" s="18">
        <f t="shared" si="4"/>
        <v>0</v>
      </c>
      <c r="AH31" s="18">
        <f t="shared" si="4"/>
        <v>0</v>
      </c>
      <c r="AI31" s="18">
        <f t="shared" si="4"/>
        <v>0</v>
      </c>
      <c r="AJ31" s="18">
        <f t="shared" si="4"/>
        <v>0</v>
      </c>
      <c r="AK31" s="18">
        <f t="shared" si="4"/>
        <v>0</v>
      </c>
      <c r="AL31" s="18">
        <f t="shared" si="4"/>
        <v>0</v>
      </c>
      <c r="AM31" s="18">
        <f t="shared" si="4"/>
        <v>0</v>
      </c>
      <c r="AN31" s="18">
        <f t="shared" si="4"/>
        <v>0</v>
      </c>
      <c r="AO31" s="18">
        <f t="shared" si="4"/>
        <v>0</v>
      </c>
      <c r="AP31" s="18">
        <f t="shared" si="4"/>
        <v>0</v>
      </c>
      <c r="AQ31" s="18">
        <f t="shared" si="4"/>
        <v>0</v>
      </c>
    </row>
    <row r="32" spans="1:82" x14ac:dyDescent="0.3">
      <c r="A32" s="9" t="s">
        <v>108</v>
      </c>
      <c r="B32" s="10" t="s">
        <v>477</v>
      </c>
      <c r="C32" s="10" t="s">
        <v>22</v>
      </c>
      <c r="D32" s="10" t="s">
        <v>40</v>
      </c>
      <c r="E32" s="10" t="s">
        <v>693</v>
      </c>
      <c r="F32" s="10" t="s">
        <v>694</v>
      </c>
      <c r="G32" s="10" t="s">
        <v>698</v>
      </c>
      <c r="H32" s="11">
        <v>0</v>
      </c>
      <c r="I32" s="11">
        <v>0</v>
      </c>
      <c r="J32" s="11">
        <v>0</v>
      </c>
      <c r="K32" s="11">
        <v>1.2859744990892601</v>
      </c>
      <c r="L32" s="11">
        <v>1.3031358885017397</v>
      </c>
      <c r="M32" s="11">
        <v>1.3522727272727368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1.3308957952467966</v>
      </c>
      <c r="T32" s="11">
        <v>0</v>
      </c>
      <c r="U32" s="11">
        <v>0</v>
      </c>
      <c r="V32" s="11">
        <v>1</v>
      </c>
      <c r="W32" s="11">
        <v>1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 t="s">
        <v>403</v>
      </c>
      <c r="AE32" s="11" t="s">
        <v>403</v>
      </c>
      <c r="AF32" s="18">
        <f t="shared" si="4"/>
        <v>0</v>
      </c>
      <c r="AG32" s="18">
        <f t="shared" si="4"/>
        <v>0</v>
      </c>
      <c r="AH32" s="18">
        <f t="shared" si="4"/>
        <v>0</v>
      </c>
      <c r="AI32" s="18">
        <f t="shared" si="4"/>
        <v>0.77762039660056237</v>
      </c>
      <c r="AJ32" s="18">
        <f t="shared" si="4"/>
        <v>0</v>
      </c>
      <c r="AK32" s="18">
        <f t="shared" si="4"/>
        <v>0</v>
      </c>
      <c r="AL32" s="18">
        <f t="shared" si="4"/>
        <v>0</v>
      </c>
      <c r="AM32" s="18">
        <f t="shared" si="4"/>
        <v>0</v>
      </c>
      <c r="AN32" s="18">
        <f t="shared" si="4"/>
        <v>0</v>
      </c>
      <c r="AO32" s="18">
        <f t="shared" si="4"/>
        <v>0</v>
      </c>
      <c r="AP32" s="18">
        <f t="shared" si="4"/>
        <v>0</v>
      </c>
      <c r="AQ32" s="18">
        <f t="shared" si="4"/>
        <v>0</v>
      </c>
    </row>
    <row r="33" spans="1:43" x14ac:dyDescent="0.3">
      <c r="A33" s="9" t="s">
        <v>153</v>
      </c>
      <c r="B33" s="10" t="s">
        <v>511</v>
      </c>
      <c r="C33" s="10" t="s">
        <v>22</v>
      </c>
      <c r="D33" s="10" t="s">
        <v>46</v>
      </c>
      <c r="E33" s="10" t="s">
        <v>693</v>
      </c>
      <c r="F33" s="10" t="s">
        <v>694</v>
      </c>
      <c r="G33" s="10" t="s">
        <v>700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 t="s">
        <v>403</v>
      </c>
      <c r="U33" s="11" t="s">
        <v>403</v>
      </c>
      <c r="V33" s="11" t="s">
        <v>403</v>
      </c>
      <c r="W33" s="11" t="s">
        <v>403</v>
      </c>
      <c r="X33" s="11" t="s">
        <v>403</v>
      </c>
      <c r="Y33" s="11" t="s">
        <v>403</v>
      </c>
      <c r="Z33" s="11" t="s">
        <v>403</v>
      </c>
      <c r="AA33" s="11" t="s">
        <v>403</v>
      </c>
      <c r="AB33" s="11" t="s">
        <v>403</v>
      </c>
      <c r="AC33" s="11" t="s">
        <v>403</v>
      </c>
      <c r="AD33" s="11" t="s">
        <v>403</v>
      </c>
      <c r="AE33" s="11" t="s">
        <v>403</v>
      </c>
      <c r="AF33" s="18">
        <f t="shared" si="4"/>
        <v>0</v>
      </c>
      <c r="AG33" s="18">
        <f t="shared" si="4"/>
        <v>0</v>
      </c>
      <c r="AH33" s="18">
        <f t="shared" si="4"/>
        <v>0</v>
      </c>
      <c r="AI33" s="18">
        <f t="shared" si="4"/>
        <v>0</v>
      </c>
      <c r="AJ33" s="18">
        <f t="shared" si="4"/>
        <v>0</v>
      </c>
      <c r="AK33" s="18">
        <f t="shared" si="4"/>
        <v>0</v>
      </c>
      <c r="AL33" s="18">
        <f t="shared" si="4"/>
        <v>0</v>
      </c>
      <c r="AM33" s="18">
        <f t="shared" si="4"/>
        <v>0</v>
      </c>
      <c r="AN33" s="18">
        <f t="shared" si="4"/>
        <v>0</v>
      </c>
      <c r="AO33" s="18">
        <f t="shared" si="4"/>
        <v>0</v>
      </c>
      <c r="AP33" s="18">
        <f t="shared" si="4"/>
        <v>0</v>
      </c>
      <c r="AQ33" s="18">
        <f t="shared" si="4"/>
        <v>0</v>
      </c>
    </row>
    <row r="34" spans="1:43" x14ac:dyDescent="0.3">
      <c r="A34" s="9" t="s">
        <v>39</v>
      </c>
      <c r="B34" s="10" t="s">
        <v>415</v>
      </c>
      <c r="C34" s="10" t="s">
        <v>22</v>
      </c>
      <c r="D34" s="10" t="s">
        <v>42</v>
      </c>
      <c r="E34" s="10" t="s">
        <v>693</v>
      </c>
      <c r="F34" s="10" t="s">
        <v>694</v>
      </c>
      <c r="G34" s="10" t="s">
        <v>699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1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 t="s">
        <v>403</v>
      </c>
      <c r="AE34" s="11" t="s">
        <v>403</v>
      </c>
      <c r="AF34" s="18">
        <f t="shared" si="4"/>
        <v>0</v>
      </c>
      <c r="AG34" s="18">
        <f t="shared" si="4"/>
        <v>0</v>
      </c>
      <c r="AH34" s="18">
        <f t="shared" si="4"/>
        <v>0</v>
      </c>
      <c r="AI34" s="18">
        <f t="shared" si="4"/>
        <v>0</v>
      </c>
      <c r="AJ34" s="18">
        <f t="shared" si="4"/>
        <v>0</v>
      </c>
      <c r="AK34" s="18">
        <f t="shared" si="4"/>
        <v>0</v>
      </c>
      <c r="AL34" s="18">
        <f t="shared" si="4"/>
        <v>0</v>
      </c>
      <c r="AM34" s="18">
        <f t="shared" si="4"/>
        <v>0</v>
      </c>
      <c r="AN34" s="18">
        <f t="shared" si="4"/>
        <v>0</v>
      </c>
      <c r="AO34" s="18">
        <f t="shared" si="4"/>
        <v>0</v>
      </c>
      <c r="AP34" s="18">
        <f t="shared" si="4"/>
        <v>0</v>
      </c>
      <c r="AQ34" s="18">
        <f t="shared" si="4"/>
        <v>0</v>
      </c>
    </row>
    <row r="35" spans="1:43" x14ac:dyDescent="0.3">
      <c r="A35" s="9" t="s">
        <v>89</v>
      </c>
      <c r="B35" s="10" t="s">
        <v>458</v>
      </c>
      <c r="C35" s="10" t="s">
        <v>22</v>
      </c>
      <c r="D35" s="10" t="s">
        <v>40</v>
      </c>
      <c r="E35" s="10" t="s">
        <v>693</v>
      </c>
      <c r="F35" s="10" t="s">
        <v>694</v>
      </c>
      <c r="G35" s="10" t="s">
        <v>698</v>
      </c>
      <c r="H35" s="11">
        <v>0</v>
      </c>
      <c r="I35" s="11">
        <v>1.9005076142131898</v>
      </c>
      <c r="J35" s="11">
        <v>0</v>
      </c>
      <c r="K35" s="11">
        <v>1.2859744990892601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1</v>
      </c>
      <c r="W35" s="11">
        <v>2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 t="s">
        <v>403</v>
      </c>
      <c r="AE35" s="11" t="s">
        <v>403</v>
      </c>
      <c r="AF35" s="18">
        <f t="shared" si="4"/>
        <v>0</v>
      </c>
      <c r="AG35" s="18">
        <f t="shared" si="4"/>
        <v>0</v>
      </c>
      <c r="AH35" s="18">
        <f t="shared" si="4"/>
        <v>0</v>
      </c>
      <c r="AI35" s="18">
        <f t="shared" si="4"/>
        <v>1.5552407932011247</v>
      </c>
      <c r="AJ35" s="18">
        <f t="shared" si="4"/>
        <v>0</v>
      </c>
      <c r="AK35" s="18">
        <f t="shared" si="4"/>
        <v>0</v>
      </c>
      <c r="AL35" s="18">
        <f t="shared" si="4"/>
        <v>0</v>
      </c>
      <c r="AM35" s="18">
        <f t="shared" si="4"/>
        <v>0</v>
      </c>
      <c r="AN35" s="18">
        <f t="shared" si="4"/>
        <v>0</v>
      </c>
      <c r="AO35" s="18">
        <f t="shared" si="4"/>
        <v>0</v>
      </c>
      <c r="AP35" s="18">
        <f t="shared" si="4"/>
        <v>0</v>
      </c>
      <c r="AQ35" s="18">
        <f t="shared" si="4"/>
        <v>0</v>
      </c>
    </row>
    <row r="36" spans="1:43" x14ac:dyDescent="0.3">
      <c r="A36" s="9" t="s">
        <v>80</v>
      </c>
      <c r="B36" s="10" t="s">
        <v>449</v>
      </c>
      <c r="C36" s="10" t="s">
        <v>22</v>
      </c>
      <c r="D36" s="10" t="s">
        <v>28</v>
      </c>
      <c r="E36" s="10" t="s">
        <v>693</v>
      </c>
      <c r="F36" s="10" t="s">
        <v>694</v>
      </c>
      <c r="G36" s="10" t="s">
        <v>695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1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 t="s">
        <v>403</v>
      </c>
      <c r="AE36" s="11" t="s">
        <v>403</v>
      </c>
      <c r="AF36" s="18">
        <f t="shared" si="4"/>
        <v>0</v>
      </c>
      <c r="AG36" s="18">
        <f t="shared" si="4"/>
        <v>0</v>
      </c>
      <c r="AH36" s="18">
        <f t="shared" si="4"/>
        <v>0</v>
      </c>
      <c r="AI36" s="18">
        <f t="shared" si="4"/>
        <v>0</v>
      </c>
      <c r="AJ36" s="18">
        <f t="shared" si="4"/>
        <v>0</v>
      </c>
      <c r="AK36" s="18">
        <f t="shared" si="4"/>
        <v>0</v>
      </c>
      <c r="AL36" s="18">
        <f t="shared" si="4"/>
        <v>0</v>
      </c>
      <c r="AM36" s="18">
        <f t="shared" si="4"/>
        <v>0</v>
      </c>
      <c r="AN36" s="18">
        <f t="shared" si="4"/>
        <v>0</v>
      </c>
      <c r="AO36" s="18">
        <f t="shared" si="4"/>
        <v>0</v>
      </c>
      <c r="AP36" s="18">
        <f t="shared" si="4"/>
        <v>0</v>
      </c>
      <c r="AQ36" s="18">
        <f t="shared" si="4"/>
        <v>0</v>
      </c>
    </row>
    <row r="37" spans="1:43" x14ac:dyDescent="0.3">
      <c r="A37" s="9" t="s">
        <v>99</v>
      </c>
      <c r="B37" s="10" t="s">
        <v>468</v>
      </c>
      <c r="C37" s="10" t="s">
        <v>22</v>
      </c>
      <c r="D37" s="10" t="s">
        <v>44</v>
      </c>
      <c r="E37" s="10" t="s">
        <v>693</v>
      </c>
      <c r="F37" s="10" t="s">
        <v>694</v>
      </c>
      <c r="G37" s="10" t="s">
        <v>698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1.3025404157043832</v>
      </c>
      <c r="Q37" s="11">
        <v>1.3081632653061233</v>
      </c>
      <c r="R37" s="11">
        <v>2.6489563567362229</v>
      </c>
      <c r="S37" s="11">
        <v>0</v>
      </c>
      <c r="T37" s="11">
        <v>1</v>
      </c>
      <c r="U37" s="11">
        <v>1</v>
      </c>
      <c r="V37" s="11">
        <v>0</v>
      </c>
      <c r="W37" s="11">
        <v>1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 t="s">
        <v>403</v>
      </c>
      <c r="AE37" s="11" t="s">
        <v>403</v>
      </c>
      <c r="AF37" s="18">
        <f t="shared" si="4"/>
        <v>0</v>
      </c>
      <c r="AG37" s="18">
        <f t="shared" si="4"/>
        <v>0</v>
      </c>
      <c r="AH37" s="18">
        <f t="shared" si="4"/>
        <v>0</v>
      </c>
      <c r="AI37" s="18">
        <f t="shared" si="4"/>
        <v>0</v>
      </c>
      <c r="AJ37" s="18">
        <f t="shared" si="4"/>
        <v>0</v>
      </c>
      <c r="AK37" s="18">
        <f t="shared" si="4"/>
        <v>0</v>
      </c>
      <c r="AL37" s="18">
        <f t="shared" si="4"/>
        <v>0</v>
      </c>
      <c r="AM37" s="18">
        <f t="shared" si="4"/>
        <v>0</v>
      </c>
      <c r="AN37" s="18">
        <f t="shared" si="4"/>
        <v>0</v>
      </c>
      <c r="AO37" s="18">
        <f t="shared" si="4"/>
        <v>0</v>
      </c>
      <c r="AP37" s="18">
        <f t="shared" si="4"/>
        <v>0</v>
      </c>
      <c r="AQ37" s="18">
        <f t="shared" si="4"/>
        <v>0</v>
      </c>
    </row>
    <row r="38" spans="1:43" x14ac:dyDescent="0.3">
      <c r="A38" s="9" t="s">
        <v>90</v>
      </c>
      <c r="B38" s="10" t="s">
        <v>459</v>
      </c>
      <c r="C38" s="10" t="s">
        <v>22</v>
      </c>
      <c r="D38" s="10" t="s">
        <v>42</v>
      </c>
      <c r="E38" s="10" t="s">
        <v>693</v>
      </c>
      <c r="F38" s="10" t="s">
        <v>694</v>
      </c>
      <c r="G38" s="10" t="s">
        <v>699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1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 t="s">
        <v>403</v>
      </c>
      <c r="AE38" s="11" t="s">
        <v>403</v>
      </c>
      <c r="AF38" s="18">
        <f t="shared" si="4"/>
        <v>0</v>
      </c>
      <c r="AG38" s="18">
        <f t="shared" si="4"/>
        <v>0</v>
      </c>
      <c r="AH38" s="18">
        <f t="shared" si="4"/>
        <v>0</v>
      </c>
      <c r="AI38" s="18">
        <f t="shared" si="4"/>
        <v>0</v>
      </c>
      <c r="AJ38" s="18">
        <f t="shared" si="4"/>
        <v>0</v>
      </c>
      <c r="AK38" s="18">
        <f t="shared" si="4"/>
        <v>0</v>
      </c>
      <c r="AL38" s="18">
        <f t="shared" si="4"/>
        <v>0</v>
      </c>
      <c r="AM38" s="18">
        <f t="shared" si="4"/>
        <v>0</v>
      </c>
      <c r="AN38" s="18">
        <f t="shared" si="4"/>
        <v>0</v>
      </c>
      <c r="AO38" s="18">
        <f t="shared" si="4"/>
        <v>0</v>
      </c>
      <c r="AP38" s="18">
        <f t="shared" si="4"/>
        <v>0</v>
      </c>
      <c r="AQ38" s="18">
        <f t="shared" si="4"/>
        <v>0</v>
      </c>
    </row>
    <row r="39" spans="1:43" x14ac:dyDescent="0.3">
      <c r="A39" s="9" t="s">
        <v>85</v>
      </c>
      <c r="B39" s="10" t="s">
        <v>454</v>
      </c>
      <c r="C39" s="10" t="s">
        <v>22</v>
      </c>
      <c r="D39" s="10" t="s">
        <v>46</v>
      </c>
      <c r="E39" s="10" t="s">
        <v>693</v>
      </c>
      <c r="F39" s="10" t="s">
        <v>694</v>
      </c>
      <c r="G39" s="10" t="s">
        <v>700</v>
      </c>
      <c r="H39" s="11">
        <v>0</v>
      </c>
      <c r="I39" s="11">
        <v>0</v>
      </c>
      <c r="J39" s="11">
        <v>0</v>
      </c>
      <c r="K39" s="11">
        <v>0</v>
      </c>
      <c r="L39" s="11">
        <v>2.6062717770034793</v>
      </c>
      <c r="M39" s="11">
        <v>1.3522727272727368</v>
      </c>
      <c r="N39" s="11">
        <v>0</v>
      </c>
      <c r="O39" s="11">
        <v>2.7039337474120235</v>
      </c>
      <c r="P39" s="11">
        <v>1.3025404157043832</v>
      </c>
      <c r="Q39" s="11">
        <v>0</v>
      </c>
      <c r="R39" s="11">
        <v>1.3244781783681114</v>
      </c>
      <c r="S39" s="11">
        <v>0</v>
      </c>
      <c r="T39" s="11">
        <v>0</v>
      </c>
      <c r="U39" s="11">
        <v>0</v>
      </c>
      <c r="V39" s="11">
        <v>1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 t="s">
        <v>403</v>
      </c>
      <c r="AE39" s="11" t="s">
        <v>403</v>
      </c>
      <c r="AF39" s="18">
        <f t="shared" si="4"/>
        <v>0</v>
      </c>
      <c r="AG39" s="18">
        <f t="shared" si="4"/>
        <v>0</v>
      </c>
      <c r="AH39" s="18">
        <f t="shared" si="4"/>
        <v>0</v>
      </c>
      <c r="AI39" s="18">
        <f t="shared" si="4"/>
        <v>0</v>
      </c>
      <c r="AJ39" s="18">
        <f t="shared" si="4"/>
        <v>0</v>
      </c>
      <c r="AK39" s="18">
        <f t="shared" si="4"/>
        <v>0</v>
      </c>
      <c r="AL39" s="18">
        <f t="shared" si="4"/>
        <v>0</v>
      </c>
      <c r="AM39" s="18">
        <f t="shared" si="4"/>
        <v>0</v>
      </c>
      <c r="AN39" s="18">
        <f t="shared" si="4"/>
        <v>0</v>
      </c>
      <c r="AO39" s="18">
        <f t="shared" si="4"/>
        <v>0</v>
      </c>
      <c r="AP39" s="18">
        <f t="shared" si="4"/>
        <v>0</v>
      </c>
      <c r="AQ39" s="18">
        <f t="shared" si="4"/>
        <v>0</v>
      </c>
    </row>
    <row r="40" spans="1:43" x14ac:dyDescent="0.3">
      <c r="A40" s="9" t="s">
        <v>158</v>
      </c>
      <c r="B40" s="10" t="s">
        <v>516</v>
      </c>
      <c r="C40" s="10" t="s">
        <v>22</v>
      </c>
      <c r="D40" s="10" t="s">
        <v>40</v>
      </c>
      <c r="E40" s="10" t="s">
        <v>693</v>
      </c>
      <c r="F40" s="10" t="s">
        <v>694</v>
      </c>
      <c r="G40" s="10" t="s">
        <v>698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 t="s">
        <v>403</v>
      </c>
      <c r="U40" s="11" t="s">
        <v>403</v>
      </c>
      <c r="V40" s="11" t="s">
        <v>403</v>
      </c>
      <c r="W40" s="11" t="s">
        <v>403</v>
      </c>
      <c r="X40" s="11" t="s">
        <v>403</v>
      </c>
      <c r="Y40" s="11" t="s">
        <v>403</v>
      </c>
      <c r="Z40" s="11" t="s">
        <v>403</v>
      </c>
      <c r="AA40" s="11" t="s">
        <v>403</v>
      </c>
      <c r="AB40" s="11" t="s">
        <v>403</v>
      </c>
      <c r="AC40" s="11" t="s">
        <v>403</v>
      </c>
      <c r="AD40" s="11" t="s">
        <v>403</v>
      </c>
      <c r="AE40" s="11" t="s">
        <v>403</v>
      </c>
      <c r="AF40" s="18">
        <f t="shared" si="4"/>
        <v>0</v>
      </c>
      <c r="AG40" s="18">
        <f t="shared" si="4"/>
        <v>0</v>
      </c>
      <c r="AH40" s="18">
        <f t="shared" si="4"/>
        <v>0</v>
      </c>
      <c r="AI40" s="18">
        <f t="shared" si="4"/>
        <v>0</v>
      </c>
      <c r="AJ40" s="18">
        <f t="shared" si="4"/>
        <v>0</v>
      </c>
      <c r="AK40" s="18">
        <f t="shared" si="4"/>
        <v>0</v>
      </c>
      <c r="AL40" s="18">
        <f t="shared" si="4"/>
        <v>0</v>
      </c>
      <c r="AM40" s="18">
        <f t="shared" si="4"/>
        <v>0</v>
      </c>
      <c r="AN40" s="18">
        <f t="shared" si="4"/>
        <v>0</v>
      </c>
      <c r="AO40" s="18">
        <f t="shared" si="4"/>
        <v>0</v>
      </c>
      <c r="AP40" s="18">
        <f t="shared" si="4"/>
        <v>0</v>
      </c>
      <c r="AQ40" s="18">
        <f t="shared" si="4"/>
        <v>0</v>
      </c>
    </row>
    <row r="41" spans="1:43" x14ac:dyDescent="0.3">
      <c r="A41" s="9" t="s">
        <v>115</v>
      </c>
      <c r="B41" s="10" t="s">
        <v>484</v>
      </c>
      <c r="C41" s="10" t="s">
        <v>22</v>
      </c>
      <c r="D41" s="10" t="s">
        <v>40</v>
      </c>
      <c r="E41" s="10" t="s">
        <v>693</v>
      </c>
      <c r="F41" s="10" t="s">
        <v>694</v>
      </c>
      <c r="G41" s="10" t="s">
        <v>698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1</v>
      </c>
      <c r="W41" s="11">
        <v>1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 t="s">
        <v>403</v>
      </c>
      <c r="AE41" s="11" t="s">
        <v>403</v>
      </c>
      <c r="AF41" s="18">
        <f t="shared" ref="AF41:AQ104" si="11">IFERROR(T41/H41,0)</f>
        <v>0</v>
      </c>
      <c r="AG41" s="18">
        <f t="shared" si="11"/>
        <v>0</v>
      </c>
      <c r="AH41" s="18">
        <f t="shared" si="11"/>
        <v>0</v>
      </c>
      <c r="AI41" s="18">
        <f t="shared" si="11"/>
        <v>0</v>
      </c>
      <c r="AJ41" s="18">
        <f t="shared" si="11"/>
        <v>0</v>
      </c>
      <c r="AK41" s="18">
        <f t="shared" si="11"/>
        <v>0</v>
      </c>
      <c r="AL41" s="18">
        <f t="shared" si="11"/>
        <v>0</v>
      </c>
      <c r="AM41" s="18">
        <f t="shared" si="11"/>
        <v>0</v>
      </c>
      <c r="AN41" s="18">
        <f t="shared" si="11"/>
        <v>0</v>
      </c>
      <c r="AO41" s="18">
        <f t="shared" si="11"/>
        <v>0</v>
      </c>
      <c r="AP41" s="18">
        <f t="shared" si="11"/>
        <v>0</v>
      </c>
      <c r="AQ41" s="18">
        <f t="shared" si="11"/>
        <v>0</v>
      </c>
    </row>
    <row r="42" spans="1:43" x14ac:dyDescent="0.3">
      <c r="A42" s="9" t="s">
        <v>94</v>
      </c>
      <c r="B42" s="10" t="s">
        <v>463</v>
      </c>
      <c r="C42" s="10" t="s">
        <v>22</v>
      </c>
      <c r="D42" s="10" t="s">
        <v>40</v>
      </c>
      <c r="E42" s="10" t="s">
        <v>693</v>
      </c>
      <c r="F42" s="10" t="s">
        <v>694</v>
      </c>
      <c r="G42" s="10" t="s">
        <v>698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2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 t="s">
        <v>403</v>
      </c>
      <c r="AE42" s="11" t="s">
        <v>403</v>
      </c>
      <c r="AF42" s="18">
        <f t="shared" si="11"/>
        <v>0</v>
      </c>
      <c r="AG42" s="18">
        <f t="shared" si="11"/>
        <v>0</v>
      </c>
      <c r="AH42" s="18">
        <f t="shared" si="11"/>
        <v>0</v>
      </c>
      <c r="AI42" s="18">
        <f t="shared" si="11"/>
        <v>0</v>
      </c>
      <c r="AJ42" s="18">
        <f t="shared" si="11"/>
        <v>0</v>
      </c>
      <c r="AK42" s="18">
        <f t="shared" si="11"/>
        <v>0</v>
      </c>
      <c r="AL42" s="18">
        <f t="shared" si="11"/>
        <v>0</v>
      </c>
      <c r="AM42" s="18">
        <f t="shared" si="11"/>
        <v>0</v>
      </c>
      <c r="AN42" s="18">
        <f t="shared" si="11"/>
        <v>0</v>
      </c>
      <c r="AO42" s="18">
        <f t="shared" si="11"/>
        <v>0</v>
      </c>
      <c r="AP42" s="18">
        <f t="shared" si="11"/>
        <v>0</v>
      </c>
      <c r="AQ42" s="18">
        <f t="shared" si="11"/>
        <v>0</v>
      </c>
    </row>
    <row r="43" spans="1:43" x14ac:dyDescent="0.3">
      <c r="A43" s="9" t="s">
        <v>49</v>
      </c>
      <c r="B43" s="10" t="s">
        <v>420</v>
      </c>
      <c r="C43" s="10" t="s">
        <v>22</v>
      </c>
      <c r="D43" s="10" t="s">
        <v>46</v>
      </c>
      <c r="E43" s="10" t="s">
        <v>693</v>
      </c>
      <c r="F43" s="10" t="s">
        <v>694</v>
      </c>
      <c r="G43" s="10" t="s">
        <v>700</v>
      </c>
      <c r="H43" s="11">
        <v>1.5506493506493551</v>
      </c>
      <c r="I43" s="11">
        <v>0</v>
      </c>
      <c r="J43" s="11">
        <v>0</v>
      </c>
      <c r="K43" s="11">
        <v>0</v>
      </c>
      <c r="L43" s="11">
        <v>1.3031358885017397</v>
      </c>
      <c r="M43" s="11">
        <v>1.3522727272727368</v>
      </c>
      <c r="N43" s="11">
        <v>1.3105590062111734</v>
      </c>
      <c r="O43" s="11">
        <v>1.3519668737060118</v>
      </c>
      <c r="P43" s="11">
        <v>2.6050808314087663</v>
      </c>
      <c r="Q43" s="11">
        <v>1.3081632653061233</v>
      </c>
      <c r="R43" s="11">
        <v>1.3244781783681114</v>
      </c>
      <c r="S43" s="11">
        <v>0</v>
      </c>
      <c r="T43" s="11">
        <v>1</v>
      </c>
      <c r="U43" s="11">
        <v>2</v>
      </c>
      <c r="V43" s="11">
        <v>2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 t="s">
        <v>403</v>
      </c>
      <c r="AE43" s="11" t="s">
        <v>403</v>
      </c>
      <c r="AF43" s="18">
        <f t="shared" si="11"/>
        <v>0.64489112227805512</v>
      </c>
      <c r="AG43" s="18">
        <f t="shared" si="11"/>
        <v>0</v>
      </c>
      <c r="AH43" s="18">
        <f t="shared" si="11"/>
        <v>0</v>
      </c>
      <c r="AI43" s="18">
        <f t="shared" si="11"/>
        <v>0</v>
      </c>
      <c r="AJ43" s="18">
        <f t="shared" si="11"/>
        <v>0</v>
      </c>
      <c r="AK43" s="18">
        <f t="shared" si="11"/>
        <v>0</v>
      </c>
      <c r="AL43" s="18">
        <f t="shared" si="11"/>
        <v>0</v>
      </c>
      <c r="AM43" s="18">
        <f t="shared" si="11"/>
        <v>0</v>
      </c>
      <c r="AN43" s="18">
        <f t="shared" si="11"/>
        <v>0</v>
      </c>
      <c r="AO43" s="18">
        <f t="shared" si="11"/>
        <v>0</v>
      </c>
      <c r="AP43" s="18">
        <f t="shared" si="11"/>
        <v>0</v>
      </c>
      <c r="AQ43" s="18">
        <f t="shared" si="11"/>
        <v>0</v>
      </c>
    </row>
    <row r="44" spans="1:43" x14ac:dyDescent="0.3">
      <c r="A44" s="9" t="s">
        <v>144</v>
      </c>
      <c r="B44" s="10" t="s">
        <v>502</v>
      </c>
      <c r="C44" s="10" t="s">
        <v>22</v>
      </c>
      <c r="D44" s="10" t="s">
        <v>44</v>
      </c>
      <c r="E44" s="10" t="s">
        <v>693</v>
      </c>
      <c r="F44" s="10" t="s">
        <v>694</v>
      </c>
      <c r="G44" s="10" t="s">
        <v>695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 t="s">
        <v>403</v>
      </c>
      <c r="U44" s="11" t="s">
        <v>403</v>
      </c>
      <c r="V44" s="11" t="s">
        <v>403</v>
      </c>
      <c r="W44" s="11" t="s">
        <v>403</v>
      </c>
      <c r="X44" s="11" t="s">
        <v>403</v>
      </c>
      <c r="Y44" s="11" t="s">
        <v>403</v>
      </c>
      <c r="Z44" s="11" t="s">
        <v>403</v>
      </c>
      <c r="AA44" s="11" t="s">
        <v>403</v>
      </c>
      <c r="AB44" s="11" t="s">
        <v>403</v>
      </c>
      <c r="AC44" s="11" t="s">
        <v>403</v>
      </c>
      <c r="AD44" s="11" t="s">
        <v>403</v>
      </c>
      <c r="AE44" s="11" t="s">
        <v>403</v>
      </c>
      <c r="AF44" s="18">
        <f t="shared" si="11"/>
        <v>0</v>
      </c>
      <c r="AG44" s="18">
        <f t="shared" si="11"/>
        <v>0</v>
      </c>
      <c r="AH44" s="18">
        <f t="shared" si="11"/>
        <v>0</v>
      </c>
      <c r="AI44" s="18">
        <f t="shared" si="11"/>
        <v>0</v>
      </c>
      <c r="AJ44" s="18">
        <f t="shared" si="11"/>
        <v>0</v>
      </c>
      <c r="AK44" s="18">
        <f t="shared" si="11"/>
        <v>0</v>
      </c>
      <c r="AL44" s="18">
        <f t="shared" si="11"/>
        <v>0</v>
      </c>
      <c r="AM44" s="18">
        <f t="shared" si="11"/>
        <v>0</v>
      </c>
      <c r="AN44" s="18">
        <f t="shared" si="11"/>
        <v>0</v>
      </c>
      <c r="AO44" s="18">
        <f t="shared" si="11"/>
        <v>0</v>
      </c>
      <c r="AP44" s="18">
        <f t="shared" si="11"/>
        <v>0</v>
      </c>
      <c r="AQ44" s="18">
        <f t="shared" si="11"/>
        <v>0</v>
      </c>
    </row>
    <row r="45" spans="1:43" x14ac:dyDescent="0.3">
      <c r="A45" s="9" t="s">
        <v>103</v>
      </c>
      <c r="B45" s="10" t="s">
        <v>472</v>
      </c>
      <c r="C45" s="10" t="s">
        <v>22</v>
      </c>
      <c r="D45" s="10" t="s">
        <v>44</v>
      </c>
      <c r="E45" s="10" t="s">
        <v>693</v>
      </c>
      <c r="F45" s="10" t="s">
        <v>694</v>
      </c>
      <c r="G45" s="10" t="s">
        <v>695</v>
      </c>
      <c r="H45" s="11">
        <v>0</v>
      </c>
      <c r="I45" s="11">
        <v>0</v>
      </c>
      <c r="J45" s="11">
        <v>0</v>
      </c>
      <c r="K45" s="11">
        <v>1.2859744990892601</v>
      </c>
      <c r="L45" s="11">
        <v>0</v>
      </c>
      <c r="M45" s="11">
        <v>1.3522727272727368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1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 t="s">
        <v>403</v>
      </c>
      <c r="AE45" s="11" t="s">
        <v>403</v>
      </c>
      <c r="AF45" s="18">
        <f t="shared" si="11"/>
        <v>0</v>
      </c>
      <c r="AG45" s="18">
        <f t="shared" si="11"/>
        <v>0</v>
      </c>
      <c r="AH45" s="18">
        <f t="shared" si="11"/>
        <v>0</v>
      </c>
      <c r="AI45" s="18">
        <f t="shared" si="11"/>
        <v>0.77762039660056237</v>
      </c>
      <c r="AJ45" s="18">
        <f t="shared" si="11"/>
        <v>0</v>
      </c>
      <c r="AK45" s="18">
        <f t="shared" si="11"/>
        <v>0</v>
      </c>
      <c r="AL45" s="18">
        <f t="shared" si="11"/>
        <v>0</v>
      </c>
      <c r="AM45" s="18">
        <f t="shared" si="11"/>
        <v>0</v>
      </c>
      <c r="AN45" s="18">
        <f t="shared" si="11"/>
        <v>0</v>
      </c>
      <c r="AO45" s="18">
        <f t="shared" si="11"/>
        <v>0</v>
      </c>
      <c r="AP45" s="18">
        <f t="shared" si="11"/>
        <v>0</v>
      </c>
      <c r="AQ45" s="18">
        <f t="shared" si="11"/>
        <v>0</v>
      </c>
    </row>
    <row r="46" spans="1:43" x14ac:dyDescent="0.3">
      <c r="A46" s="9" t="s">
        <v>51</v>
      </c>
      <c r="B46" s="10" t="s">
        <v>422</v>
      </c>
      <c r="C46" s="10" t="s">
        <v>22</v>
      </c>
      <c r="D46" s="10" t="s">
        <v>28</v>
      </c>
      <c r="E46" s="10" t="s">
        <v>693</v>
      </c>
      <c r="F46" s="10" t="s">
        <v>694</v>
      </c>
      <c r="G46" s="10" t="s">
        <v>695</v>
      </c>
      <c r="H46" s="11">
        <v>0</v>
      </c>
      <c r="I46" s="11">
        <v>3.8010152284263796</v>
      </c>
      <c r="J46" s="11">
        <v>0</v>
      </c>
      <c r="K46" s="11">
        <v>0</v>
      </c>
      <c r="L46" s="11">
        <v>1.3031358885017397</v>
      </c>
      <c r="M46" s="11">
        <v>0</v>
      </c>
      <c r="N46" s="11">
        <v>0</v>
      </c>
      <c r="O46" s="11">
        <v>1.3519668737060118</v>
      </c>
      <c r="P46" s="11">
        <v>0</v>
      </c>
      <c r="Q46" s="11">
        <v>1.3081632653061233</v>
      </c>
      <c r="R46" s="11">
        <v>1.3244781783681114</v>
      </c>
      <c r="S46" s="11">
        <v>0</v>
      </c>
      <c r="T46" s="11">
        <v>2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 t="s">
        <v>403</v>
      </c>
      <c r="AE46" s="11" t="s">
        <v>403</v>
      </c>
      <c r="AF46" s="18">
        <f t="shared" si="11"/>
        <v>0</v>
      </c>
      <c r="AG46" s="18">
        <f t="shared" si="11"/>
        <v>0</v>
      </c>
      <c r="AH46" s="18">
        <f t="shared" si="11"/>
        <v>0</v>
      </c>
      <c r="AI46" s="18">
        <f t="shared" si="11"/>
        <v>0</v>
      </c>
      <c r="AJ46" s="18">
        <f t="shared" si="11"/>
        <v>0</v>
      </c>
      <c r="AK46" s="18">
        <f t="shared" si="11"/>
        <v>0</v>
      </c>
      <c r="AL46" s="18">
        <f t="shared" si="11"/>
        <v>0</v>
      </c>
      <c r="AM46" s="18">
        <f t="shared" si="11"/>
        <v>0</v>
      </c>
      <c r="AN46" s="18">
        <f t="shared" si="11"/>
        <v>0</v>
      </c>
      <c r="AO46" s="18">
        <f t="shared" si="11"/>
        <v>0</v>
      </c>
      <c r="AP46" s="18">
        <f t="shared" si="11"/>
        <v>0</v>
      </c>
      <c r="AQ46" s="18">
        <f t="shared" si="11"/>
        <v>0</v>
      </c>
    </row>
    <row r="47" spans="1:43" x14ac:dyDescent="0.3">
      <c r="A47" s="9" t="s">
        <v>86</v>
      </c>
      <c r="B47" s="10" t="s">
        <v>455</v>
      </c>
      <c r="C47" s="10" t="s">
        <v>22</v>
      </c>
      <c r="D47" s="10" t="s">
        <v>48</v>
      </c>
      <c r="E47" s="10" t="s">
        <v>693</v>
      </c>
      <c r="F47" s="10" t="s">
        <v>694</v>
      </c>
      <c r="G47" s="10" t="s">
        <v>699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1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 t="s">
        <v>403</v>
      </c>
      <c r="AE47" s="11" t="s">
        <v>403</v>
      </c>
      <c r="AF47" s="18">
        <f t="shared" si="11"/>
        <v>0</v>
      </c>
      <c r="AG47" s="18">
        <f t="shared" si="11"/>
        <v>0</v>
      </c>
      <c r="AH47" s="18">
        <f t="shared" si="11"/>
        <v>0</v>
      </c>
      <c r="AI47" s="18">
        <f t="shared" si="11"/>
        <v>0</v>
      </c>
      <c r="AJ47" s="18">
        <f t="shared" si="11"/>
        <v>0</v>
      </c>
      <c r="AK47" s="18">
        <f t="shared" si="11"/>
        <v>0</v>
      </c>
      <c r="AL47" s="18">
        <f t="shared" si="11"/>
        <v>0</v>
      </c>
      <c r="AM47" s="18">
        <f t="shared" si="11"/>
        <v>0</v>
      </c>
      <c r="AN47" s="18">
        <f t="shared" si="11"/>
        <v>0</v>
      </c>
      <c r="AO47" s="18">
        <f t="shared" si="11"/>
        <v>0</v>
      </c>
      <c r="AP47" s="18">
        <f t="shared" si="11"/>
        <v>0</v>
      </c>
      <c r="AQ47" s="18">
        <f t="shared" si="11"/>
        <v>0</v>
      </c>
    </row>
    <row r="48" spans="1:43" x14ac:dyDescent="0.3">
      <c r="A48" s="9" t="s">
        <v>369</v>
      </c>
      <c r="B48" s="10" t="s">
        <v>679</v>
      </c>
      <c r="C48" s="10" t="s">
        <v>22</v>
      </c>
      <c r="D48" s="10" t="s">
        <v>28</v>
      </c>
      <c r="E48" s="10" t="s">
        <v>693</v>
      </c>
      <c r="F48" s="10" t="s">
        <v>701</v>
      </c>
      <c r="G48" s="10" t="s">
        <v>695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 t="s">
        <v>403</v>
      </c>
      <c r="U48" s="11" t="s">
        <v>403</v>
      </c>
      <c r="V48" s="11" t="s">
        <v>403</v>
      </c>
      <c r="W48" s="11" t="s">
        <v>403</v>
      </c>
      <c r="X48" s="11" t="s">
        <v>403</v>
      </c>
      <c r="Y48" s="11" t="s">
        <v>403</v>
      </c>
      <c r="Z48" s="11" t="s">
        <v>403</v>
      </c>
      <c r="AA48" s="11" t="s">
        <v>403</v>
      </c>
      <c r="AB48" s="11" t="s">
        <v>403</v>
      </c>
      <c r="AC48" s="11" t="s">
        <v>403</v>
      </c>
      <c r="AD48" s="11" t="s">
        <v>403</v>
      </c>
      <c r="AE48" s="11" t="s">
        <v>403</v>
      </c>
      <c r="AF48" s="18">
        <f t="shared" si="11"/>
        <v>0</v>
      </c>
      <c r="AG48" s="18">
        <f t="shared" si="11"/>
        <v>0</v>
      </c>
      <c r="AH48" s="18">
        <f t="shared" si="11"/>
        <v>0</v>
      </c>
      <c r="AI48" s="18">
        <f t="shared" si="11"/>
        <v>0</v>
      </c>
      <c r="AJ48" s="18">
        <f t="shared" si="11"/>
        <v>0</v>
      </c>
      <c r="AK48" s="18">
        <f t="shared" si="11"/>
        <v>0</v>
      </c>
      <c r="AL48" s="18">
        <f t="shared" si="11"/>
        <v>0</v>
      </c>
      <c r="AM48" s="18">
        <f t="shared" si="11"/>
        <v>0</v>
      </c>
      <c r="AN48" s="18">
        <f t="shared" si="11"/>
        <v>0</v>
      </c>
      <c r="AO48" s="18">
        <f t="shared" si="11"/>
        <v>0</v>
      </c>
      <c r="AP48" s="18">
        <f t="shared" si="11"/>
        <v>0</v>
      </c>
      <c r="AQ48" s="18">
        <f t="shared" si="11"/>
        <v>0</v>
      </c>
    </row>
    <row r="49" spans="1:43" x14ac:dyDescent="0.3">
      <c r="A49" s="9" t="s">
        <v>41</v>
      </c>
      <c r="B49" s="10" t="s">
        <v>416</v>
      </c>
      <c r="C49" s="10" t="s">
        <v>22</v>
      </c>
      <c r="D49" s="10" t="s">
        <v>40</v>
      </c>
      <c r="E49" s="10" t="s">
        <v>693</v>
      </c>
      <c r="F49" s="10" t="s">
        <v>694</v>
      </c>
      <c r="G49" s="10" t="s">
        <v>698</v>
      </c>
      <c r="H49" s="11">
        <v>0</v>
      </c>
      <c r="I49" s="11">
        <v>1.9005076142131898</v>
      </c>
      <c r="J49" s="11">
        <v>1.9317688266199602</v>
      </c>
      <c r="K49" s="11">
        <v>1.2859744990892601</v>
      </c>
      <c r="L49" s="11">
        <v>1.3031358885017397</v>
      </c>
      <c r="M49" s="11">
        <v>0</v>
      </c>
      <c r="N49" s="11">
        <v>0</v>
      </c>
      <c r="O49" s="11">
        <v>1.3519668737060118</v>
      </c>
      <c r="P49" s="11">
        <v>0</v>
      </c>
      <c r="Q49" s="11">
        <v>1.3081632653061233</v>
      </c>
      <c r="R49" s="11">
        <v>0</v>
      </c>
      <c r="S49" s="11">
        <v>1.3308957952467966</v>
      </c>
      <c r="T49" s="11">
        <v>0</v>
      </c>
      <c r="U49" s="11">
        <v>0</v>
      </c>
      <c r="V49" s="11">
        <v>1</v>
      </c>
      <c r="W49" s="11">
        <v>1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 t="s">
        <v>403</v>
      </c>
      <c r="AE49" s="11" t="s">
        <v>403</v>
      </c>
      <c r="AF49" s="18">
        <f t="shared" si="11"/>
        <v>0</v>
      </c>
      <c r="AG49" s="18">
        <f t="shared" si="11"/>
        <v>0</v>
      </c>
      <c r="AH49" s="18">
        <f t="shared" si="11"/>
        <v>0.51766028430519417</v>
      </c>
      <c r="AI49" s="18">
        <f t="shared" si="11"/>
        <v>0.77762039660056237</v>
      </c>
      <c r="AJ49" s="18">
        <f t="shared" si="11"/>
        <v>0</v>
      </c>
      <c r="AK49" s="18">
        <f t="shared" si="11"/>
        <v>0</v>
      </c>
      <c r="AL49" s="18">
        <f t="shared" si="11"/>
        <v>0</v>
      </c>
      <c r="AM49" s="18">
        <f t="shared" si="11"/>
        <v>0</v>
      </c>
      <c r="AN49" s="18">
        <f t="shared" si="11"/>
        <v>0</v>
      </c>
      <c r="AO49" s="18">
        <f t="shared" si="11"/>
        <v>0</v>
      </c>
      <c r="AP49" s="18">
        <f t="shared" si="11"/>
        <v>0</v>
      </c>
      <c r="AQ49" s="18">
        <f t="shared" si="11"/>
        <v>0</v>
      </c>
    </row>
    <row r="50" spans="1:43" x14ac:dyDescent="0.3">
      <c r="A50" s="9" t="s">
        <v>141</v>
      </c>
      <c r="B50" s="10" t="s">
        <v>499</v>
      </c>
      <c r="C50" s="10" t="s">
        <v>22</v>
      </c>
      <c r="D50" s="10" t="s">
        <v>46</v>
      </c>
      <c r="E50" s="10" t="s">
        <v>693</v>
      </c>
      <c r="F50" s="10" t="s">
        <v>694</v>
      </c>
      <c r="G50" s="10" t="s">
        <v>700</v>
      </c>
      <c r="H50" s="11">
        <v>1.5506493506493551</v>
      </c>
      <c r="I50" s="11">
        <v>0</v>
      </c>
      <c r="J50" s="11">
        <v>1.9317688266199602</v>
      </c>
      <c r="K50" s="11">
        <v>1.2859744990892601</v>
      </c>
      <c r="L50" s="11">
        <v>0</v>
      </c>
      <c r="M50" s="11">
        <v>4.0568181818182101</v>
      </c>
      <c r="N50" s="11">
        <v>0</v>
      </c>
      <c r="O50" s="11">
        <v>1.3519668737060118</v>
      </c>
      <c r="P50" s="11">
        <v>0</v>
      </c>
      <c r="Q50" s="11">
        <v>0</v>
      </c>
      <c r="R50" s="11">
        <v>0</v>
      </c>
      <c r="S50" s="11">
        <v>0</v>
      </c>
      <c r="T50" s="11" t="s">
        <v>403</v>
      </c>
      <c r="U50" s="11" t="s">
        <v>403</v>
      </c>
      <c r="V50" s="11" t="s">
        <v>403</v>
      </c>
      <c r="W50" s="11" t="s">
        <v>403</v>
      </c>
      <c r="X50" s="11" t="s">
        <v>403</v>
      </c>
      <c r="Y50" s="11" t="s">
        <v>403</v>
      </c>
      <c r="Z50" s="11" t="s">
        <v>403</v>
      </c>
      <c r="AA50" s="11" t="s">
        <v>403</v>
      </c>
      <c r="AB50" s="11" t="s">
        <v>403</v>
      </c>
      <c r="AC50" s="11" t="s">
        <v>403</v>
      </c>
      <c r="AD50" s="11" t="s">
        <v>403</v>
      </c>
      <c r="AE50" s="11" t="s">
        <v>403</v>
      </c>
      <c r="AF50" s="18">
        <f t="shared" si="11"/>
        <v>0</v>
      </c>
      <c r="AG50" s="18">
        <f t="shared" si="11"/>
        <v>0</v>
      </c>
      <c r="AH50" s="18">
        <f t="shared" si="11"/>
        <v>0</v>
      </c>
      <c r="AI50" s="18">
        <f t="shared" si="11"/>
        <v>0</v>
      </c>
      <c r="AJ50" s="18">
        <f t="shared" si="11"/>
        <v>0</v>
      </c>
      <c r="AK50" s="18">
        <f t="shared" si="11"/>
        <v>0</v>
      </c>
      <c r="AL50" s="18">
        <f t="shared" si="11"/>
        <v>0</v>
      </c>
      <c r="AM50" s="18">
        <f t="shared" si="11"/>
        <v>0</v>
      </c>
      <c r="AN50" s="18">
        <f t="shared" si="11"/>
        <v>0</v>
      </c>
      <c r="AO50" s="18">
        <f t="shared" si="11"/>
        <v>0</v>
      </c>
      <c r="AP50" s="18">
        <f t="shared" si="11"/>
        <v>0</v>
      </c>
      <c r="AQ50" s="18">
        <f t="shared" si="11"/>
        <v>0</v>
      </c>
    </row>
    <row r="51" spans="1:43" x14ac:dyDescent="0.3">
      <c r="A51" s="9" t="s">
        <v>246</v>
      </c>
      <c r="B51" s="10" t="s">
        <v>602</v>
      </c>
      <c r="C51" s="10" t="s">
        <v>22</v>
      </c>
      <c r="D51" s="10" t="s">
        <v>28</v>
      </c>
      <c r="E51" s="10" t="s">
        <v>693</v>
      </c>
      <c r="F51" s="10" t="s">
        <v>701</v>
      </c>
      <c r="G51" s="10" t="s">
        <v>695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 t="s">
        <v>403</v>
      </c>
      <c r="U51" s="11" t="s">
        <v>403</v>
      </c>
      <c r="V51" s="11" t="s">
        <v>403</v>
      </c>
      <c r="W51" s="11" t="s">
        <v>403</v>
      </c>
      <c r="X51" s="11" t="s">
        <v>403</v>
      </c>
      <c r="Y51" s="11" t="s">
        <v>403</v>
      </c>
      <c r="Z51" s="11" t="s">
        <v>403</v>
      </c>
      <c r="AA51" s="11" t="s">
        <v>403</v>
      </c>
      <c r="AB51" s="11" t="s">
        <v>403</v>
      </c>
      <c r="AC51" s="11" t="s">
        <v>403</v>
      </c>
      <c r="AD51" s="11" t="s">
        <v>403</v>
      </c>
      <c r="AE51" s="11" t="s">
        <v>403</v>
      </c>
      <c r="AF51" s="18">
        <f t="shared" si="11"/>
        <v>0</v>
      </c>
      <c r="AG51" s="18">
        <f t="shared" si="11"/>
        <v>0</v>
      </c>
      <c r="AH51" s="18">
        <f t="shared" si="11"/>
        <v>0</v>
      </c>
      <c r="AI51" s="18">
        <f t="shared" si="11"/>
        <v>0</v>
      </c>
      <c r="AJ51" s="18">
        <f t="shared" si="11"/>
        <v>0</v>
      </c>
      <c r="AK51" s="18">
        <f t="shared" si="11"/>
        <v>0</v>
      </c>
      <c r="AL51" s="18">
        <f t="shared" si="11"/>
        <v>0</v>
      </c>
      <c r="AM51" s="18">
        <f t="shared" si="11"/>
        <v>0</v>
      </c>
      <c r="AN51" s="18">
        <f t="shared" si="11"/>
        <v>0</v>
      </c>
      <c r="AO51" s="18">
        <f t="shared" si="11"/>
        <v>0</v>
      </c>
      <c r="AP51" s="18">
        <f t="shared" si="11"/>
        <v>0</v>
      </c>
      <c r="AQ51" s="18">
        <f t="shared" si="11"/>
        <v>0</v>
      </c>
    </row>
    <row r="52" spans="1:43" x14ac:dyDescent="0.3">
      <c r="A52" s="9" t="s">
        <v>52</v>
      </c>
      <c r="B52" s="10" t="s">
        <v>423</v>
      </c>
      <c r="C52" s="10" t="s">
        <v>22</v>
      </c>
      <c r="D52" s="10" t="s">
        <v>46</v>
      </c>
      <c r="E52" s="10" t="s">
        <v>693</v>
      </c>
      <c r="F52" s="10" t="s">
        <v>694</v>
      </c>
      <c r="G52" s="10" t="s">
        <v>700</v>
      </c>
      <c r="H52" s="11">
        <v>0</v>
      </c>
      <c r="I52" s="11">
        <v>3.8010152284263796</v>
      </c>
      <c r="J52" s="11">
        <v>1.9317688266199602</v>
      </c>
      <c r="K52" s="11">
        <v>1.2859744990892601</v>
      </c>
      <c r="L52" s="11">
        <v>0</v>
      </c>
      <c r="M52" s="11">
        <v>0</v>
      </c>
      <c r="N52" s="11">
        <v>2.6211180124223468</v>
      </c>
      <c r="O52" s="11">
        <v>2.7039337474120235</v>
      </c>
      <c r="P52" s="11">
        <v>0</v>
      </c>
      <c r="Q52" s="11">
        <v>1.3081632653061233</v>
      </c>
      <c r="R52" s="11">
        <v>1.3244781783681114</v>
      </c>
      <c r="S52" s="11">
        <v>0</v>
      </c>
      <c r="T52" s="11">
        <v>0</v>
      </c>
      <c r="U52" s="11">
        <v>2</v>
      </c>
      <c r="V52" s="11">
        <v>1</v>
      </c>
      <c r="W52" s="11">
        <v>1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 t="s">
        <v>403</v>
      </c>
      <c r="AE52" s="11" t="s">
        <v>403</v>
      </c>
      <c r="AF52" s="18">
        <f t="shared" si="11"/>
        <v>0</v>
      </c>
      <c r="AG52" s="18">
        <f t="shared" si="11"/>
        <v>0.52617521367521591</v>
      </c>
      <c r="AH52" s="18">
        <f t="shared" si="11"/>
        <v>0.51766028430519417</v>
      </c>
      <c r="AI52" s="18">
        <f t="shared" si="11"/>
        <v>0.77762039660056237</v>
      </c>
      <c r="AJ52" s="18">
        <f t="shared" si="11"/>
        <v>0</v>
      </c>
      <c r="AK52" s="18">
        <f t="shared" si="11"/>
        <v>0</v>
      </c>
      <c r="AL52" s="18">
        <f t="shared" si="11"/>
        <v>0</v>
      </c>
      <c r="AM52" s="18">
        <f t="shared" si="11"/>
        <v>0</v>
      </c>
      <c r="AN52" s="18">
        <f t="shared" si="11"/>
        <v>0</v>
      </c>
      <c r="AO52" s="18">
        <f t="shared" si="11"/>
        <v>0</v>
      </c>
      <c r="AP52" s="18">
        <f t="shared" si="11"/>
        <v>0</v>
      </c>
      <c r="AQ52" s="18">
        <f t="shared" si="11"/>
        <v>0</v>
      </c>
    </row>
    <row r="53" spans="1:43" x14ac:dyDescent="0.3">
      <c r="A53" s="9" t="s">
        <v>370</v>
      </c>
      <c r="B53" s="10" t="s">
        <v>680</v>
      </c>
      <c r="C53" s="10" t="s">
        <v>22</v>
      </c>
      <c r="D53" s="10" t="s">
        <v>28</v>
      </c>
      <c r="E53" s="10" t="s">
        <v>693</v>
      </c>
      <c r="F53" s="10" t="s">
        <v>701</v>
      </c>
      <c r="G53" s="10" t="s">
        <v>695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 t="s">
        <v>403</v>
      </c>
      <c r="U53" s="11" t="s">
        <v>403</v>
      </c>
      <c r="V53" s="11" t="s">
        <v>403</v>
      </c>
      <c r="W53" s="11" t="s">
        <v>403</v>
      </c>
      <c r="X53" s="11" t="s">
        <v>403</v>
      </c>
      <c r="Y53" s="11" t="s">
        <v>403</v>
      </c>
      <c r="Z53" s="11" t="s">
        <v>403</v>
      </c>
      <c r="AA53" s="11" t="s">
        <v>403</v>
      </c>
      <c r="AB53" s="11" t="s">
        <v>403</v>
      </c>
      <c r="AC53" s="11" t="s">
        <v>403</v>
      </c>
      <c r="AD53" s="11" t="s">
        <v>403</v>
      </c>
      <c r="AE53" s="11" t="s">
        <v>403</v>
      </c>
      <c r="AF53" s="18">
        <f t="shared" si="11"/>
        <v>0</v>
      </c>
      <c r="AG53" s="18">
        <f t="shared" si="11"/>
        <v>0</v>
      </c>
      <c r="AH53" s="18">
        <f t="shared" si="11"/>
        <v>0</v>
      </c>
      <c r="AI53" s="18">
        <f t="shared" si="11"/>
        <v>0</v>
      </c>
      <c r="AJ53" s="18">
        <f t="shared" si="11"/>
        <v>0</v>
      </c>
      <c r="AK53" s="18">
        <f t="shared" si="11"/>
        <v>0</v>
      </c>
      <c r="AL53" s="18">
        <f t="shared" si="11"/>
        <v>0</v>
      </c>
      <c r="AM53" s="18">
        <f t="shared" si="11"/>
        <v>0</v>
      </c>
      <c r="AN53" s="18">
        <f t="shared" si="11"/>
        <v>0</v>
      </c>
      <c r="AO53" s="18">
        <f t="shared" si="11"/>
        <v>0</v>
      </c>
      <c r="AP53" s="18">
        <f t="shared" si="11"/>
        <v>0</v>
      </c>
      <c r="AQ53" s="18">
        <f t="shared" si="11"/>
        <v>0</v>
      </c>
    </row>
    <row r="54" spans="1:43" x14ac:dyDescent="0.3">
      <c r="A54" s="9" t="s">
        <v>140</v>
      </c>
      <c r="B54" s="10" t="s">
        <v>498</v>
      </c>
      <c r="C54" s="10" t="s">
        <v>22</v>
      </c>
      <c r="D54" s="10" t="s">
        <v>28</v>
      </c>
      <c r="E54" s="10" t="s">
        <v>693</v>
      </c>
      <c r="F54" s="10" t="s">
        <v>694</v>
      </c>
      <c r="G54" s="10" t="s">
        <v>695</v>
      </c>
      <c r="H54" s="11">
        <v>0</v>
      </c>
      <c r="I54" s="11">
        <v>0</v>
      </c>
      <c r="J54" s="11">
        <v>0</v>
      </c>
      <c r="K54" s="11">
        <v>2.5719489981785202</v>
      </c>
      <c r="L54" s="11">
        <v>2.6062717770034793</v>
      </c>
      <c r="M54" s="11">
        <v>1.3522727272727368</v>
      </c>
      <c r="N54" s="11">
        <v>0</v>
      </c>
      <c r="O54" s="11">
        <v>0</v>
      </c>
      <c r="P54" s="11">
        <v>0</v>
      </c>
      <c r="Q54" s="11">
        <v>0</v>
      </c>
      <c r="R54" s="11">
        <v>1.3244781783681114</v>
      </c>
      <c r="S54" s="11">
        <v>0</v>
      </c>
      <c r="T54" s="11">
        <v>2</v>
      </c>
      <c r="U54" s="11">
        <v>1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 t="s">
        <v>403</v>
      </c>
      <c r="AE54" s="11" t="s">
        <v>403</v>
      </c>
      <c r="AF54" s="18">
        <f t="shared" si="11"/>
        <v>0</v>
      </c>
      <c r="AG54" s="18">
        <f t="shared" si="11"/>
        <v>0</v>
      </c>
      <c r="AH54" s="18">
        <f t="shared" si="11"/>
        <v>0</v>
      </c>
      <c r="AI54" s="18">
        <f t="shared" si="11"/>
        <v>0</v>
      </c>
      <c r="AJ54" s="18">
        <f t="shared" si="11"/>
        <v>0</v>
      </c>
      <c r="AK54" s="18">
        <f t="shared" si="11"/>
        <v>0</v>
      </c>
      <c r="AL54" s="18">
        <f t="shared" si="11"/>
        <v>0</v>
      </c>
      <c r="AM54" s="18">
        <f t="shared" si="11"/>
        <v>0</v>
      </c>
      <c r="AN54" s="18">
        <f t="shared" si="11"/>
        <v>0</v>
      </c>
      <c r="AO54" s="18">
        <f t="shared" si="11"/>
        <v>0</v>
      </c>
      <c r="AP54" s="18">
        <f t="shared" si="11"/>
        <v>0</v>
      </c>
      <c r="AQ54" s="18">
        <f t="shared" si="11"/>
        <v>0</v>
      </c>
    </row>
    <row r="55" spans="1:43" x14ac:dyDescent="0.3">
      <c r="A55" s="9" t="s">
        <v>371</v>
      </c>
      <c r="B55" s="10" t="s">
        <v>681</v>
      </c>
      <c r="C55" s="10" t="s">
        <v>22</v>
      </c>
      <c r="D55" s="10" t="s">
        <v>48</v>
      </c>
      <c r="E55" s="10" t="s">
        <v>693</v>
      </c>
      <c r="F55" s="10" t="s">
        <v>701</v>
      </c>
      <c r="G55" s="10" t="s">
        <v>699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 t="s">
        <v>403</v>
      </c>
      <c r="U55" s="11" t="s">
        <v>403</v>
      </c>
      <c r="V55" s="11" t="s">
        <v>403</v>
      </c>
      <c r="W55" s="11" t="s">
        <v>403</v>
      </c>
      <c r="X55" s="11" t="s">
        <v>403</v>
      </c>
      <c r="Y55" s="11" t="s">
        <v>403</v>
      </c>
      <c r="Z55" s="11" t="s">
        <v>403</v>
      </c>
      <c r="AA55" s="11" t="s">
        <v>403</v>
      </c>
      <c r="AB55" s="11" t="s">
        <v>403</v>
      </c>
      <c r="AC55" s="11" t="s">
        <v>403</v>
      </c>
      <c r="AD55" s="11" t="s">
        <v>403</v>
      </c>
      <c r="AE55" s="11" t="s">
        <v>403</v>
      </c>
      <c r="AF55" s="18">
        <f t="shared" si="11"/>
        <v>0</v>
      </c>
      <c r="AG55" s="18">
        <f t="shared" si="11"/>
        <v>0</v>
      </c>
      <c r="AH55" s="18">
        <f t="shared" si="11"/>
        <v>0</v>
      </c>
      <c r="AI55" s="18">
        <f t="shared" si="11"/>
        <v>0</v>
      </c>
      <c r="AJ55" s="18">
        <f t="shared" si="11"/>
        <v>0</v>
      </c>
      <c r="AK55" s="18">
        <f t="shared" si="11"/>
        <v>0</v>
      </c>
      <c r="AL55" s="18">
        <f t="shared" si="11"/>
        <v>0</v>
      </c>
      <c r="AM55" s="18">
        <f t="shared" si="11"/>
        <v>0</v>
      </c>
      <c r="AN55" s="18">
        <f t="shared" si="11"/>
        <v>0</v>
      </c>
      <c r="AO55" s="18">
        <f t="shared" si="11"/>
        <v>0</v>
      </c>
      <c r="AP55" s="18">
        <f t="shared" si="11"/>
        <v>0</v>
      </c>
      <c r="AQ55" s="18">
        <f t="shared" si="11"/>
        <v>0</v>
      </c>
    </row>
    <row r="56" spans="1:43" x14ac:dyDescent="0.3">
      <c r="A56" s="9" t="s">
        <v>96</v>
      </c>
      <c r="B56" s="10" t="s">
        <v>465</v>
      </c>
      <c r="C56" s="10" t="s">
        <v>22</v>
      </c>
      <c r="D56" s="10" t="s">
        <v>40</v>
      </c>
      <c r="E56" s="10" t="s">
        <v>693</v>
      </c>
      <c r="F56" s="10" t="s">
        <v>694</v>
      </c>
      <c r="G56" s="10" t="s">
        <v>698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1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 t="s">
        <v>403</v>
      </c>
      <c r="AE56" s="11" t="s">
        <v>403</v>
      </c>
      <c r="AF56" s="18">
        <f t="shared" si="11"/>
        <v>0</v>
      </c>
      <c r="AG56" s="18">
        <f t="shared" si="11"/>
        <v>0</v>
      </c>
      <c r="AH56" s="18">
        <f t="shared" si="11"/>
        <v>0</v>
      </c>
      <c r="AI56" s="18">
        <f t="shared" si="11"/>
        <v>0</v>
      </c>
      <c r="AJ56" s="18">
        <f t="shared" si="11"/>
        <v>0</v>
      </c>
      <c r="AK56" s="18">
        <f t="shared" si="11"/>
        <v>0</v>
      </c>
      <c r="AL56" s="18">
        <f t="shared" si="11"/>
        <v>0</v>
      </c>
      <c r="AM56" s="18">
        <f t="shared" si="11"/>
        <v>0</v>
      </c>
      <c r="AN56" s="18">
        <f t="shared" si="11"/>
        <v>0</v>
      </c>
      <c r="AO56" s="18">
        <f t="shared" si="11"/>
        <v>0</v>
      </c>
      <c r="AP56" s="18">
        <f t="shared" si="11"/>
        <v>0</v>
      </c>
      <c r="AQ56" s="18">
        <f t="shared" si="11"/>
        <v>0</v>
      </c>
    </row>
    <row r="57" spans="1:43" x14ac:dyDescent="0.3">
      <c r="A57" s="9" t="s">
        <v>92</v>
      </c>
      <c r="B57" s="10" t="s">
        <v>461</v>
      </c>
      <c r="C57" s="10" t="s">
        <v>22</v>
      </c>
      <c r="D57" s="10" t="s">
        <v>40</v>
      </c>
      <c r="E57" s="10" t="s">
        <v>693</v>
      </c>
      <c r="F57" s="10" t="s">
        <v>694</v>
      </c>
      <c r="G57" s="10" t="s">
        <v>698</v>
      </c>
      <c r="H57" s="11">
        <v>0</v>
      </c>
      <c r="I57" s="11">
        <v>0</v>
      </c>
      <c r="J57" s="11">
        <v>0</v>
      </c>
      <c r="K57" s="11">
        <v>1.2859744990892601</v>
      </c>
      <c r="L57" s="11">
        <v>0</v>
      </c>
      <c r="M57" s="11">
        <v>1.3522727272727368</v>
      </c>
      <c r="N57" s="11">
        <v>1.3105590062111734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 t="s">
        <v>403</v>
      </c>
      <c r="U57" s="11" t="s">
        <v>403</v>
      </c>
      <c r="V57" s="11" t="s">
        <v>403</v>
      </c>
      <c r="W57" s="11" t="s">
        <v>403</v>
      </c>
      <c r="X57" s="11" t="s">
        <v>403</v>
      </c>
      <c r="Y57" s="11" t="s">
        <v>403</v>
      </c>
      <c r="Z57" s="11" t="s">
        <v>403</v>
      </c>
      <c r="AA57" s="11" t="s">
        <v>403</v>
      </c>
      <c r="AB57" s="11" t="s">
        <v>403</v>
      </c>
      <c r="AC57" s="11" t="s">
        <v>403</v>
      </c>
      <c r="AD57" s="11" t="s">
        <v>403</v>
      </c>
      <c r="AE57" s="11" t="s">
        <v>403</v>
      </c>
      <c r="AF57" s="18">
        <f t="shared" si="11"/>
        <v>0</v>
      </c>
      <c r="AG57" s="18">
        <f t="shared" si="11"/>
        <v>0</v>
      </c>
      <c r="AH57" s="18">
        <f t="shared" si="11"/>
        <v>0</v>
      </c>
      <c r="AI57" s="18">
        <f t="shared" si="11"/>
        <v>0</v>
      </c>
      <c r="AJ57" s="18">
        <f t="shared" si="11"/>
        <v>0</v>
      </c>
      <c r="AK57" s="18">
        <f t="shared" si="11"/>
        <v>0</v>
      </c>
      <c r="AL57" s="18">
        <f t="shared" si="11"/>
        <v>0</v>
      </c>
      <c r="AM57" s="18">
        <f t="shared" si="11"/>
        <v>0</v>
      </c>
      <c r="AN57" s="18">
        <f t="shared" si="11"/>
        <v>0</v>
      </c>
      <c r="AO57" s="18">
        <f t="shared" si="11"/>
        <v>0</v>
      </c>
      <c r="AP57" s="18">
        <f t="shared" si="11"/>
        <v>0</v>
      </c>
      <c r="AQ57" s="18">
        <f t="shared" si="11"/>
        <v>0</v>
      </c>
    </row>
    <row r="58" spans="1:43" x14ac:dyDescent="0.3">
      <c r="A58" s="9" t="s">
        <v>143</v>
      </c>
      <c r="B58" s="10" t="s">
        <v>501</v>
      </c>
      <c r="C58" s="10" t="s">
        <v>22</v>
      </c>
      <c r="D58" s="10" t="s">
        <v>46</v>
      </c>
      <c r="E58" s="10" t="s">
        <v>693</v>
      </c>
      <c r="F58" s="10" t="s">
        <v>694</v>
      </c>
      <c r="G58" s="10" t="s">
        <v>700</v>
      </c>
      <c r="H58" s="11">
        <v>0</v>
      </c>
      <c r="I58" s="11">
        <v>0</v>
      </c>
      <c r="J58" s="11">
        <v>1.9317688266199602</v>
      </c>
      <c r="K58" s="11">
        <v>0</v>
      </c>
      <c r="L58" s="11">
        <v>0</v>
      </c>
      <c r="M58" s="11">
        <v>0</v>
      </c>
      <c r="N58" s="11">
        <v>1.3105590062111734</v>
      </c>
      <c r="O58" s="11">
        <v>0</v>
      </c>
      <c r="P58" s="11">
        <v>0</v>
      </c>
      <c r="Q58" s="11">
        <v>1.3081632653061233</v>
      </c>
      <c r="R58" s="11">
        <v>0</v>
      </c>
      <c r="S58" s="11">
        <v>3.9926873857403895</v>
      </c>
      <c r="T58" s="11">
        <v>0</v>
      </c>
      <c r="U58" s="11">
        <v>0</v>
      </c>
      <c r="V58" s="11">
        <v>0</v>
      </c>
      <c r="W58" s="11">
        <v>1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 t="s">
        <v>403</v>
      </c>
      <c r="AE58" s="11" t="s">
        <v>403</v>
      </c>
      <c r="AF58" s="18">
        <f t="shared" si="11"/>
        <v>0</v>
      </c>
      <c r="AG58" s="18">
        <f t="shared" si="11"/>
        <v>0</v>
      </c>
      <c r="AH58" s="18">
        <f t="shared" si="11"/>
        <v>0</v>
      </c>
      <c r="AI58" s="18">
        <f t="shared" si="11"/>
        <v>0</v>
      </c>
      <c r="AJ58" s="18">
        <f t="shared" si="11"/>
        <v>0</v>
      </c>
      <c r="AK58" s="18">
        <f t="shared" si="11"/>
        <v>0</v>
      </c>
      <c r="AL58" s="18">
        <f t="shared" si="11"/>
        <v>0</v>
      </c>
      <c r="AM58" s="18">
        <f t="shared" si="11"/>
        <v>0</v>
      </c>
      <c r="AN58" s="18">
        <f t="shared" si="11"/>
        <v>0</v>
      </c>
      <c r="AO58" s="18">
        <f t="shared" si="11"/>
        <v>0</v>
      </c>
      <c r="AP58" s="18">
        <f t="shared" si="11"/>
        <v>0</v>
      </c>
      <c r="AQ58" s="18">
        <f t="shared" si="11"/>
        <v>0</v>
      </c>
    </row>
    <row r="59" spans="1:43" x14ac:dyDescent="0.3">
      <c r="A59" s="9" t="s">
        <v>130</v>
      </c>
      <c r="B59" s="10" t="s">
        <v>494</v>
      </c>
      <c r="C59" s="10" t="s">
        <v>22</v>
      </c>
      <c r="D59" s="10" t="s">
        <v>42</v>
      </c>
      <c r="E59" s="10" t="s">
        <v>693</v>
      </c>
      <c r="F59" s="10" t="s">
        <v>694</v>
      </c>
      <c r="G59" s="10" t="s">
        <v>699</v>
      </c>
      <c r="H59" s="11">
        <v>0</v>
      </c>
      <c r="I59" s="11">
        <v>0</v>
      </c>
      <c r="J59" s="11">
        <v>0</v>
      </c>
      <c r="K59" s="11">
        <v>0</v>
      </c>
      <c r="L59" s="11">
        <v>1.3031358885017397</v>
      </c>
      <c r="M59" s="11">
        <v>1.3522727272727368</v>
      </c>
      <c r="N59" s="11">
        <v>0</v>
      </c>
      <c r="O59" s="11">
        <v>1.3519668737060118</v>
      </c>
      <c r="P59" s="11">
        <v>1.3025404157043832</v>
      </c>
      <c r="Q59" s="11">
        <v>0</v>
      </c>
      <c r="R59" s="11">
        <v>0</v>
      </c>
      <c r="S59" s="11">
        <v>0</v>
      </c>
      <c r="T59" s="11">
        <v>1</v>
      </c>
      <c r="U59" s="11">
        <v>1</v>
      </c>
      <c r="V59" s="11">
        <v>1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 t="s">
        <v>403</v>
      </c>
      <c r="AE59" s="11" t="s">
        <v>403</v>
      </c>
      <c r="AF59" s="18">
        <f t="shared" si="11"/>
        <v>0</v>
      </c>
      <c r="AG59" s="18">
        <f t="shared" si="11"/>
        <v>0</v>
      </c>
      <c r="AH59" s="18">
        <f t="shared" si="11"/>
        <v>0</v>
      </c>
      <c r="AI59" s="18">
        <f t="shared" si="11"/>
        <v>0</v>
      </c>
      <c r="AJ59" s="18">
        <f t="shared" si="11"/>
        <v>0</v>
      </c>
      <c r="AK59" s="18">
        <f t="shared" si="11"/>
        <v>0</v>
      </c>
      <c r="AL59" s="18">
        <f t="shared" si="11"/>
        <v>0</v>
      </c>
      <c r="AM59" s="18">
        <f t="shared" si="11"/>
        <v>0</v>
      </c>
      <c r="AN59" s="18">
        <f t="shared" si="11"/>
        <v>0</v>
      </c>
      <c r="AO59" s="18">
        <f t="shared" si="11"/>
        <v>0</v>
      </c>
      <c r="AP59" s="18">
        <f t="shared" si="11"/>
        <v>0</v>
      </c>
      <c r="AQ59" s="18">
        <f t="shared" si="11"/>
        <v>0</v>
      </c>
    </row>
    <row r="60" spans="1:43" x14ac:dyDescent="0.3">
      <c r="A60" s="9" t="s">
        <v>84</v>
      </c>
      <c r="B60" s="10" t="s">
        <v>453</v>
      </c>
      <c r="C60" s="10" t="s">
        <v>22</v>
      </c>
      <c r="D60" s="10" t="s">
        <v>48</v>
      </c>
      <c r="E60" s="10" t="s">
        <v>693</v>
      </c>
      <c r="F60" s="10" t="s">
        <v>694</v>
      </c>
      <c r="G60" s="10" t="s">
        <v>699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 t="s">
        <v>403</v>
      </c>
      <c r="U60" s="11" t="s">
        <v>403</v>
      </c>
      <c r="V60" s="11" t="s">
        <v>403</v>
      </c>
      <c r="W60" s="11" t="s">
        <v>403</v>
      </c>
      <c r="X60" s="11" t="s">
        <v>403</v>
      </c>
      <c r="Y60" s="11" t="s">
        <v>403</v>
      </c>
      <c r="Z60" s="11" t="s">
        <v>403</v>
      </c>
      <c r="AA60" s="11" t="s">
        <v>403</v>
      </c>
      <c r="AB60" s="11" t="s">
        <v>403</v>
      </c>
      <c r="AC60" s="11" t="s">
        <v>403</v>
      </c>
      <c r="AD60" s="11" t="s">
        <v>403</v>
      </c>
      <c r="AE60" s="11" t="s">
        <v>403</v>
      </c>
      <c r="AF60" s="18">
        <f t="shared" si="11"/>
        <v>0</v>
      </c>
      <c r="AG60" s="18">
        <f t="shared" si="11"/>
        <v>0</v>
      </c>
      <c r="AH60" s="18">
        <f t="shared" si="11"/>
        <v>0</v>
      </c>
      <c r="AI60" s="18">
        <f t="shared" si="11"/>
        <v>0</v>
      </c>
      <c r="AJ60" s="18">
        <f t="shared" si="11"/>
        <v>0</v>
      </c>
      <c r="AK60" s="18">
        <f t="shared" si="11"/>
        <v>0</v>
      </c>
      <c r="AL60" s="18">
        <f t="shared" si="11"/>
        <v>0</v>
      </c>
      <c r="AM60" s="18">
        <f t="shared" si="11"/>
        <v>0</v>
      </c>
      <c r="AN60" s="18">
        <f t="shared" si="11"/>
        <v>0</v>
      </c>
      <c r="AO60" s="18">
        <f t="shared" si="11"/>
        <v>0</v>
      </c>
      <c r="AP60" s="18">
        <f t="shared" si="11"/>
        <v>0</v>
      </c>
      <c r="AQ60" s="18">
        <f t="shared" si="11"/>
        <v>0</v>
      </c>
    </row>
    <row r="61" spans="1:43" x14ac:dyDescent="0.3">
      <c r="A61" s="9" t="s">
        <v>63</v>
      </c>
      <c r="B61" s="10" t="s">
        <v>434</v>
      </c>
      <c r="C61" s="10" t="s">
        <v>22</v>
      </c>
      <c r="D61" s="10" t="s">
        <v>42</v>
      </c>
      <c r="E61" s="10" t="s">
        <v>693</v>
      </c>
      <c r="F61" s="10" t="s">
        <v>694</v>
      </c>
      <c r="G61" s="10" t="s">
        <v>699</v>
      </c>
      <c r="H61" s="11">
        <v>1.5506493506493551</v>
      </c>
      <c r="I61" s="11">
        <v>5.7015228426395694</v>
      </c>
      <c r="J61" s="11">
        <v>1.9317688266199602</v>
      </c>
      <c r="K61" s="11">
        <v>0</v>
      </c>
      <c r="L61" s="11">
        <v>0</v>
      </c>
      <c r="M61" s="11">
        <v>1.3522727272727368</v>
      </c>
      <c r="N61" s="11">
        <v>1.3105590062111734</v>
      </c>
      <c r="O61" s="11">
        <v>2.7039337474120235</v>
      </c>
      <c r="P61" s="11">
        <v>2.6050808314087663</v>
      </c>
      <c r="Q61" s="11">
        <v>1.3081632653061233</v>
      </c>
      <c r="R61" s="11">
        <v>0</v>
      </c>
      <c r="S61" s="11">
        <v>1.3308957952467966</v>
      </c>
      <c r="T61" s="11">
        <v>1</v>
      </c>
      <c r="U61" s="11">
        <v>0</v>
      </c>
      <c r="V61" s="11">
        <v>1</v>
      </c>
      <c r="W61" s="11">
        <v>1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 t="s">
        <v>403</v>
      </c>
      <c r="AE61" s="11" t="s">
        <v>403</v>
      </c>
      <c r="AF61" s="18">
        <f t="shared" si="11"/>
        <v>0.64489112227805512</v>
      </c>
      <c r="AG61" s="18">
        <f t="shared" si="11"/>
        <v>0</v>
      </c>
      <c r="AH61" s="18">
        <f t="shared" si="11"/>
        <v>0.51766028430519417</v>
      </c>
      <c r="AI61" s="18">
        <f t="shared" si="11"/>
        <v>0</v>
      </c>
      <c r="AJ61" s="18">
        <f t="shared" si="11"/>
        <v>0</v>
      </c>
      <c r="AK61" s="18">
        <f t="shared" si="11"/>
        <v>0</v>
      </c>
      <c r="AL61" s="18">
        <f t="shared" si="11"/>
        <v>0</v>
      </c>
      <c r="AM61" s="18">
        <f t="shared" si="11"/>
        <v>0</v>
      </c>
      <c r="AN61" s="18">
        <f t="shared" si="11"/>
        <v>0</v>
      </c>
      <c r="AO61" s="18">
        <f t="shared" si="11"/>
        <v>0</v>
      </c>
      <c r="AP61" s="18">
        <f t="shared" si="11"/>
        <v>0</v>
      </c>
      <c r="AQ61" s="18">
        <f t="shared" si="11"/>
        <v>0</v>
      </c>
    </row>
    <row r="62" spans="1:43" x14ac:dyDescent="0.3">
      <c r="A62" s="9" t="s">
        <v>61</v>
      </c>
      <c r="B62" s="10" t="s">
        <v>432</v>
      </c>
      <c r="C62" s="10" t="s">
        <v>22</v>
      </c>
      <c r="D62" s="10" t="s">
        <v>48</v>
      </c>
      <c r="E62" s="10" t="s">
        <v>693</v>
      </c>
      <c r="F62" s="10" t="s">
        <v>694</v>
      </c>
      <c r="G62" s="10" t="s">
        <v>699</v>
      </c>
      <c r="H62" s="11">
        <v>3.1012987012987101</v>
      </c>
      <c r="I62" s="11">
        <v>3.8010152284263796</v>
      </c>
      <c r="J62" s="11">
        <v>0</v>
      </c>
      <c r="K62" s="11">
        <v>1.2859744990892601</v>
      </c>
      <c r="L62" s="11">
        <v>0</v>
      </c>
      <c r="M62" s="11">
        <v>2.7045454545454737</v>
      </c>
      <c r="N62" s="11">
        <v>1.3105590062111734</v>
      </c>
      <c r="O62" s="11">
        <v>0</v>
      </c>
      <c r="P62" s="11">
        <v>1.3025404157043832</v>
      </c>
      <c r="Q62" s="11">
        <v>3.9244897959183693</v>
      </c>
      <c r="R62" s="11">
        <v>2.6489563567362229</v>
      </c>
      <c r="S62" s="11">
        <v>3.9926873857403895</v>
      </c>
      <c r="T62" s="11">
        <v>1</v>
      </c>
      <c r="U62" s="11">
        <v>0</v>
      </c>
      <c r="V62" s="11">
        <v>2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 t="s">
        <v>403</v>
      </c>
      <c r="AE62" s="11" t="s">
        <v>403</v>
      </c>
      <c r="AF62" s="18">
        <f t="shared" si="11"/>
        <v>0.32244556113902756</v>
      </c>
      <c r="AG62" s="18">
        <f t="shared" si="11"/>
        <v>0</v>
      </c>
      <c r="AH62" s="18">
        <f t="shared" si="11"/>
        <v>0</v>
      </c>
      <c r="AI62" s="18">
        <f t="shared" ref="AI62:AQ125" si="12">IFERROR(W62/K62,0)</f>
        <v>0</v>
      </c>
      <c r="AJ62" s="18">
        <f t="shared" si="12"/>
        <v>0</v>
      </c>
      <c r="AK62" s="18">
        <f t="shared" si="12"/>
        <v>0</v>
      </c>
      <c r="AL62" s="18">
        <f t="shared" si="12"/>
        <v>0</v>
      </c>
      <c r="AM62" s="18">
        <f t="shared" si="12"/>
        <v>0</v>
      </c>
      <c r="AN62" s="18">
        <f t="shared" si="12"/>
        <v>0</v>
      </c>
      <c r="AO62" s="18">
        <f t="shared" si="12"/>
        <v>0</v>
      </c>
      <c r="AP62" s="18">
        <f t="shared" si="12"/>
        <v>0</v>
      </c>
      <c r="AQ62" s="18">
        <f t="shared" si="12"/>
        <v>0</v>
      </c>
    </row>
    <row r="63" spans="1:43" x14ac:dyDescent="0.3">
      <c r="A63" s="9" t="s">
        <v>60</v>
      </c>
      <c r="B63" s="10" t="s">
        <v>431</v>
      </c>
      <c r="C63" s="10" t="s">
        <v>22</v>
      </c>
      <c r="D63" s="10" t="s">
        <v>46</v>
      </c>
      <c r="E63" s="10" t="s">
        <v>693</v>
      </c>
      <c r="F63" s="10" t="s">
        <v>694</v>
      </c>
      <c r="G63" s="10" t="s">
        <v>700</v>
      </c>
      <c r="H63" s="11">
        <v>0</v>
      </c>
      <c r="I63" s="11">
        <v>1.9005076142131898</v>
      </c>
      <c r="J63" s="11">
        <v>0</v>
      </c>
      <c r="K63" s="11">
        <v>1.2859744990892601</v>
      </c>
      <c r="L63" s="11">
        <v>1.3031358885017397</v>
      </c>
      <c r="M63" s="11">
        <v>1.3522727272727368</v>
      </c>
      <c r="N63" s="11">
        <v>0</v>
      </c>
      <c r="O63" s="11">
        <v>0</v>
      </c>
      <c r="P63" s="11">
        <v>2.6050808314087663</v>
      </c>
      <c r="Q63" s="11">
        <v>1.3081632653061233</v>
      </c>
      <c r="R63" s="11">
        <v>2.6489563567362229</v>
      </c>
      <c r="S63" s="11">
        <v>1.3308957952467966</v>
      </c>
      <c r="T63" s="11">
        <v>2</v>
      </c>
      <c r="U63" s="11">
        <v>3</v>
      </c>
      <c r="V63" s="11">
        <v>2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 t="s">
        <v>403</v>
      </c>
      <c r="AE63" s="11" t="s">
        <v>403</v>
      </c>
      <c r="AF63" s="18">
        <f t="shared" ref="AF63:AK126" si="13">IFERROR(T63/H63,0)</f>
        <v>0</v>
      </c>
      <c r="AG63" s="18">
        <f t="shared" si="13"/>
        <v>1.5785256410256479</v>
      </c>
      <c r="AH63" s="18">
        <f t="shared" si="13"/>
        <v>0</v>
      </c>
      <c r="AI63" s="18">
        <f t="shared" si="12"/>
        <v>0</v>
      </c>
      <c r="AJ63" s="18">
        <f t="shared" si="12"/>
        <v>0</v>
      </c>
      <c r="AK63" s="18">
        <f t="shared" si="12"/>
        <v>0</v>
      </c>
      <c r="AL63" s="18">
        <f t="shared" si="12"/>
        <v>0</v>
      </c>
      <c r="AM63" s="18">
        <f t="shared" si="12"/>
        <v>0</v>
      </c>
      <c r="AN63" s="18">
        <f t="shared" si="12"/>
        <v>0</v>
      </c>
      <c r="AO63" s="18">
        <f t="shared" si="12"/>
        <v>0</v>
      </c>
      <c r="AP63" s="18">
        <f t="shared" si="12"/>
        <v>0</v>
      </c>
      <c r="AQ63" s="18">
        <f t="shared" si="12"/>
        <v>0</v>
      </c>
    </row>
    <row r="64" spans="1:43" x14ac:dyDescent="0.3">
      <c r="A64" s="9" t="s">
        <v>107</v>
      </c>
      <c r="B64" s="10" t="s">
        <v>476</v>
      </c>
      <c r="C64" s="10" t="s">
        <v>22</v>
      </c>
      <c r="D64" s="10" t="s">
        <v>40</v>
      </c>
      <c r="E64" s="10" t="s">
        <v>693</v>
      </c>
      <c r="F64" s="10" t="s">
        <v>694</v>
      </c>
      <c r="G64" s="10" t="s">
        <v>698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 t="s">
        <v>403</v>
      </c>
      <c r="U64" s="11" t="s">
        <v>403</v>
      </c>
      <c r="V64" s="11" t="s">
        <v>403</v>
      </c>
      <c r="W64" s="11" t="s">
        <v>403</v>
      </c>
      <c r="X64" s="11" t="s">
        <v>403</v>
      </c>
      <c r="Y64" s="11" t="s">
        <v>403</v>
      </c>
      <c r="Z64" s="11" t="s">
        <v>403</v>
      </c>
      <c r="AA64" s="11" t="s">
        <v>403</v>
      </c>
      <c r="AB64" s="11" t="s">
        <v>403</v>
      </c>
      <c r="AC64" s="11" t="s">
        <v>403</v>
      </c>
      <c r="AD64" s="11" t="s">
        <v>403</v>
      </c>
      <c r="AE64" s="11" t="s">
        <v>403</v>
      </c>
      <c r="AF64" s="18">
        <f t="shared" si="13"/>
        <v>0</v>
      </c>
      <c r="AG64" s="18">
        <f t="shared" si="13"/>
        <v>0</v>
      </c>
      <c r="AH64" s="18">
        <f t="shared" si="13"/>
        <v>0</v>
      </c>
      <c r="AI64" s="18">
        <f t="shared" si="12"/>
        <v>0</v>
      </c>
      <c r="AJ64" s="18">
        <f t="shared" si="12"/>
        <v>0</v>
      </c>
      <c r="AK64" s="18">
        <f t="shared" si="12"/>
        <v>0</v>
      </c>
      <c r="AL64" s="18">
        <f t="shared" si="12"/>
        <v>0</v>
      </c>
      <c r="AM64" s="18">
        <f t="shared" si="12"/>
        <v>0</v>
      </c>
      <c r="AN64" s="18">
        <f t="shared" si="12"/>
        <v>0</v>
      </c>
      <c r="AO64" s="18">
        <f t="shared" si="12"/>
        <v>0</v>
      </c>
      <c r="AP64" s="18">
        <f t="shared" si="12"/>
        <v>0</v>
      </c>
      <c r="AQ64" s="18">
        <f t="shared" si="12"/>
        <v>0</v>
      </c>
    </row>
    <row r="65" spans="1:43" x14ac:dyDescent="0.3">
      <c r="A65" s="9" t="s">
        <v>122</v>
      </c>
      <c r="B65" s="10" t="s">
        <v>489</v>
      </c>
      <c r="C65" s="10" t="s">
        <v>22</v>
      </c>
      <c r="D65" s="10" t="s">
        <v>44</v>
      </c>
      <c r="E65" s="10" t="s">
        <v>693</v>
      </c>
      <c r="F65" s="10" t="s">
        <v>694</v>
      </c>
      <c r="G65" s="10" t="s">
        <v>698</v>
      </c>
      <c r="H65" s="11">
        <v>9.3038961038961308</v>
      </c>
      <c r="I65" s="11">
        <v>3.8010152284263796</v>
      </c>
      <c r="J65" s="11">
        <v>5.7953064798598808</v>
      </c>
      <c r="K65" s="11">
        <v>0</v>
      </c>
      <c r="L65" s="11">
        <v>1.3031358885017397</v>
      </c>
      <c r="M65" s="11">
        <v>2.7045454545454737</v>
      </c>
      <c r="N65" s="11">
        <v>3.9316770186335197</v>
      </c>
      <c r="O65" s="11">
        <v>5.407867494824047</v>
      </c>
      <c r="P65" s="11">
        <v>1.3025404157043832</v>
      </c>
      <c r="Q65" s="11">
        <v>3.9244897959183693</v>
      </c>
      <c r="R65" s="11">
        <v>1.3244781783681114</v>
      </c>
      <c r="S65" s="11">
        <v>0</v>
      </c>
      <c r="T65" s="11">
        <v>3</v>
      </c>
      <c r="U65" s="11">
        <v>1</v>
      </c>
      <c r="V65" s="11">
        <v>1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 t="s">
        <v>403</v>
      </c>
      <c r="AE65" s="11" t="s">
        <v>403</v>
      </c>
      <c r="AF65" s="18">
        <f t="shared" si="13"/>
        <v>0.32244556113902756</v>
      </c>
      <c r="AG65" s="18">
        <f t="shared" si="13"/>
        <v>0.26308760683760796</v>
      </c>
      <c r="AH65" s="18">
        <f t="shared" si="13"/>
        <v>0.17255342810173138</v>
      </c>
      <c r="AI65" s="18">
        <f t="shared" si="12"/>
        <v>0</v>
      </c>
      <c r="AJ65" s="18">
        <f t="shared" si="12"/>
        <v>0</v>
      </c>
      <c r="AK65" s="18">
        <f t="shared" si="12"/>
        <v>0</v>
      </c>
      <c r="AL65" s="18">
        <f t="shared" si="12"/>
        <v>0</v>
      </c>
      <c r="AM65" s="18">
        <f t="shared" si="12"/>
        <v>0</v>
      </c>
      <c r="AN65" s="18">
        <f t="shared" si="12"/>
        <v>0</v>
      </c>
      <c r="AO65" s="18">
        <f t="shared" si="12"/>
        <v>0</v>
      </c>
      <c r="AP65" s="18">
        <f t="shared" si="12"/>
        <v>0</v>
      </c>
      <c r="AQ65" s="18">
        <f t="shared" si="12"/>
        <v>0</v>
      </c>
    </row>
    <row r="66" spans="1:43" x14ac:dyDescent="0.3">
      <c r="A66" s="9" t="s">
        <v>127</v>
      </c>
      <c r="B66" s="10" t="s">
        <v>493</v>
      </c>
      <c r="C66" s="10" t="s">
        <v>22</v>
      </c>
      <c r="D66" s="10" t="s">
        <v>28</v>
      </c>
      <c r="E66" s="10" t="s">
        <v>693</v>
      </c>
      <c r="F66" s="10" t="s">
        <v>694</v>
      </c>
      <c r="G66" s="10" t="s">
        <v>695</v>
      </c>
      <c r="H66" s="11">
        <v>0</v>
      </c>
      <c r="I66" s="11">
        <v>3.8010152284263796</v>
      </c>
      <c r="J66" s="11">
        <v>5.7953064798598808</v>
      </c>
      <c r="K66" s="11">
        <v>2.5719489981785202</v>
      </c>
      <c r="L66" s="11">
        <v>3.9094076655052192</v>
      </c>
      <c r="M66" s="11">
        <v>6.7613636363636829</v>
      </c>
      <c r="N66" s="11">
        <v>3.9316770186335197</v>
      </c>
      <c r="O66" s="11">
        <v>1.3519668737060118</v>
      </c>
      <c r="P66" s="11">
        <v>0</v>
      </c>
      <c r="Q66" s="11">
        <v>3.9244897959183693</v>
      </c>
      <c r="R66" s="11">
        <v>1.3244781783681114</v>
      </c>
      <c r="S66" s="11">
        <v>5.3235831809871863</v>
      </c>
      <c r="T66" s="11">
        <v>4</v>
      </c>
      <c r="U66" s="11">
        <v>5</v>
      </c>
      <c r="V66" s="11">
        <v>2</v>
      </c>
      <c r="W66" s="11">
        <v>1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 t="s">
        <v>403</v>
      </c>
      <c r="AE66" s="11" t="s">
        <v>403</v>
      </c>
      <c r="AF66" s="18">
        <f t="shared" si="13"/>
        <v>0</v>
      </c>
      <c r="AG66" s="18">
        <f t="shared" si="13"/>
        <v>1.3154380341880398</v>
      </c>
      <c r="AH66" s="18">
        <f t="shared" si="13"/>
        <v>0.34510685620346276</v>
      </c>
      <c r="AI66" s="18">
        <f t="shared" si="12"/>
        <v>0.38881019830028118</v>
      </c>
      <c r="AJ66" s="18">
        <f t="shared" si="12"/>
        <v>0</v>
      </c>
      <c r="AK66" s="18">
        <f t="shared" si="12"/>
        <v>0</v>
      </c>
      <c r="AL66" s="18">
        <f t="shared" si="12"/>
        <v>0</v>
      </c>
      <c r="AM66" s="18">
        <f t="shared" si="12"/>
        <v>0</v>
      </c>
      <c r="AN66" s="18">
        <f t="shared" si="12"/>
        <v>0</v>
      </c>
      <c r="AO66" s="18">
        <f t="shared" si="12"/>
        <v>0</v>
      </c>
      <c r="AP66" s="18">
        <f t="shared" si="12"/>
        <v>0</v>
      </c>
      <c r="AQ66" s="18">
        <f t="shared" si="12"/>
        <v>0</v>
      </c>
    </row>
    <row r="67" spans="1:43" x14ac:dyDescent="0.3">
      <c r="A67" s="9" t="s">
        <v>79</v>
      </c>
      <c r="B67" s="10" t="s">
        <v>448</v>
      </c>
      <c r="C67" s="10" t="s">
        <v>22</v>
      </c>
      <c r="D67" s="10" t="s">
        <v>40</v>
      </c>
      <c r="E67" s="10" t="s">
        <v>693</v>
      </c>
      <c r="F67" s="10" t="s">
        <v>694</v>
      </c>
      <c r="G67" s="10" t="s">
        <v>698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1</v>
      </c>
      <c r="V67" s="11">
        <v>2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 t="s">
        <v>403</v>
      </c>
      <c r="AE67" s="11" t="s">
        <v>403</v>
      </c>
      <c r="AF67" s="18">
        <f t="shared" si="13"/>
        <v>0</v>
      </c>
      <c r="AG67" s="18">
        <f t="shared" si="13"/>
        <v>0</v>
      </c>
      <c r="AH67" s="18">
        <f t="shared" si="13"/>
        <v>0</v>
      </c>
      <c r="AI67" s="18">
        <f t="shared" si="12"/>
        <v>0</v>
      </c>
      <c r="AJ67" s="18">
        <f t="shared" si="12"/>
        <v>0</v>
      </c>
      <c r="AK67" s="18">
        <f t="shared" si="12"/>
        <v>0</v>
      </c>
      <c r="AL67" s="18">
        <f t="shared" si="12"/>
        <v>0</v>
      </c>
      <c r="AM67" s="18">
        <f t="shared" si="12"/>
        <v>0</v>
      </c>
      <c r="AN67" s="18">
        <f t="shared" si="12"/>
        <v>0</v>
      </c>
      <c r="AO67" s="18">
        <f t="shared" si="12"/>
        <v>0</v>
      </c>
      <c r="AP67" s="18">
        <f t="shared" si="12"/>
        <v>0</v>
      </c>
      <c r="AQ67" s="18">
        <f t="shared" si="12"/>
        <v>0</v>
      </c>
    </row>
    <row r="68" spans="1:43" x14ac:dyDescent="0.3">
      <c r="A68" s="9" t="s">
        <v>75</v>
      </c>
      <c r="B68" s="10" t="s">
        <v>444</v>
      </c>
      <c r="C68" s="10" t="s">
        <v>22</v>
      </c>
      <c r="D68" s="10" t="s">
        <v>28</v>
      </c>
      <c r="E68" s="10" t="s">
        <v>693</v>
      </c>
      <c r="F68" s="10" t="s">
        <v>694</v>
      </c>
      <c r="G68" s="10" t="s">
        <v>695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 t="s">
        <v>403</v>
      </c>
      <c r="U68" s="11" t="s">
        <v>403</v>
      </c>
      <c r="V68" s="11" t="s">
        <v>403</v>
      </c>
      <c r="W68" s="11" t="s">
        <v>403</v>
      </c>
      <c r="X68" s="11" t="s">
        <v>403</v>
      </c>
      <c r="Y68" s="11" t="s">
        <v>403</v>
      </c>
      <c r="Z68" s="11" t="s">
        <v>403</v>
      </c>
      <c r="AA68" s="11" t="s">
        <v>403</v>
      </c>
      <c r="AB68" s="11" t="s">
        <v>403</v>
      </c>
      <c r="AC68" s="11" t="s">
        <v>403</v>
      </c>
      <c r="AD68" s="11" t="s">
        <v>403</v>
      </c>
      <c r="AE68" s="11" t="s">
        <v>403</v>
      </c>
      <c r="AF68" s="18">
        <f t="shared" si="13"/>
        <v>0</v>
      </c>
      <c r="AG68" s="18">
        <f t="shared" si="13"/>
        <v>0</v>
      </c>
      <c r="AH68" s="18">
        <f t="shared" si="13"/>
        <v>0</v>
      </c>
      <c r="AI68" s="18">
        <f t="shared" si="12"/>
        <v>0</v>
      </c>
      <c r="AJ68" s="18">
        <f t="shared" si="12"/>
        <v>0</v>
      </c>
      <c r="AK68" s="18">
        <f t="shared" si="12"/>
        <v>0</v>
      </c>
      <c r="AL68" s="18">
        <f t="shared" si="12"/>
        <v>0</v>
      </c>
      <c r="AM68" s="18">
        <f t="shared" si="12"/>
        <v>0</v>
      </c>
      <c r="AN68" s="18">
        <f t="shared" si="12"/>
        <v>0</v>
      </c>
      <c r="AO68" s="18">
        <f t="shared" si="12"/>
        <v>0</v>
      </c>
      <c r="AP68" s="18">
        <f t="shared" si="12"/>
        <v>0</v>
      </c>
      <c r="AQ68" s="18">
        <f t="shared" si="12"/>
        <v>0</v>
      </c>
    </row>
    <row r="69" spans="1:43" x14ac:dyDescent="0.3">
      <c r="A69" s="9" t="s">
        <v>73</v>
      </c>
      <c r="B69" s="10" t="s">
        <v>442</v>
      </c>
      <c r="C69" s="10" t="s">
        <v>22</v>
      </c>
      <c r="D69" s="10" t="s">
        <v>44</v>
      </c>
      <c r="E69" s="10" t="s">
        <v>693</v>
      </c>
      <c r="F69" s="10" t="s">
        <v>694</v>
      </c>
      <c r="G69" s="10" t="s">
        <v>699</v>
      </c>
      <c r="H69" s="11">
        <v>0</v>
      </c>
      <c r="I69" s="11">
        <v>1.9005076142131898</v>
      </c>
      <c r="J69" s="11">
        <v>3.8635376532399204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1.3244781783681114</v>
      </c>
      <c r="S69" s="11">
        <v>0</v>
      </c>
      <c r="T69" s="11">
        <v>0</v>
      </c>
      <c r="U69" s="11">
        <v>1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 t="s">
        <v>403</v>
      </c>
      <c r="AE69" s="11" t="s">
        <v>403</v>
      </c>
      <c r="AF69" s="18">
        <f t="shared" si="13"/>
        <v>0</v>
      </c>
      <c r="AG69" s="18">
        <f t="shared" si="13"/>
        <v>0.52617521367521591</v>
      </c>
      <c r="AH69" s="18">
        <f t="shared" si="13"/>
        <v>0</v>
      </c>
      <c r="AI69" s="18">
        <f t="shared" si="12"/>
        <v>0</v>
      </c>
      <c r="AJ69" s="18">
        <f t="shared" si="12"/>
        <v>0</v>
      </c>
      <c r="AK69" s="18">
        <f t="shared" si="12"/>
        <v>0</v>
      </c>
      <c r="AL69" s="18">
        <f t="shared" si="12"/>
        <v>0</v>
      </c>
      <c r="AM69" s="18">
        <f t="shared" si="12"/>
        <v>0</v>
      </c>
      <c r="AN69" s="18">
        <f t="shared" si="12"/>
        <v>0</v>
      </c>
      <c r="AO69" s="18">
        <f t="shared" si="12"/>
        <v>0</v>
      </c>
      <c r="AP69" s="18">
        <f t="shared" si="12"/>
        <v>0</v>
      </c>
      <c r="AQ69" s="18">
        <f t="shared" si="12"/>
        <v>0</v>
      </c>
    </row>
    <row r="70" spans="1:43" x14ac:dyDescent="0.3">
      <c r="A70" s="9" t="s">
        <v>247</v>
      </c>
      <c r="B70" s="10" t="s">
        <v>603</v>
      </c>
      <c r="C70" s="10" t="s">
        <v>118</v>
      </c>
      <c r="D70" s="10" t="s">
        <v>128</v>
      </c>
      <c r="E70" s="10" t="s">
        <v>693</v>
      </c>
      <c r="F70" s="10" t="s">
        <v>701</v>
      </c>
      <c r="G70" s="10" t="s">
        <v>698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 t="s">
        <v>403</v>
      </c>
      <c r="U70" s="11" t="s">
        <v>403</v>
      </c>
      <c r="V70" s="11" t="s">
        <v>403</v>
      </c>
      <c r="W70" s="11" t="s">
        <v>403</v>
      </c>
      <c r="X70" s="11" t="s">
        <v>403</v>
      </c>
      <c r="Y70" s="11" t="s">
        <v>403</v>
      </c>
      <c r="Z70" s="11" t="s">
        <v>403</v>
      </c>
      <c r="AA70" s="11" t="s">
        <v>403</v>
      </c>
      <c r="AB70" s="11" t="s">
        <v>403</v>
      </c>
      <c r="AC70" s="11" t="s">
        <v>403</v>
      </c>
      <c r="AD70" s="11" t="s">
        <v>403</v>
      </c>
      <c r="AE70" s="11" t="s">
        <v>403</v>
      </c>
      <c r="AF70" s="18">
        <f t="shared" si="13"/>
        <v>0</v>
      </c>
      <c r="AG70" s="18">
        <f t="shared" si="13"/>
        <v>0</v>
      </c>
      <c r="AH70" s="18">
        <f t="shared" si="13"/>
        <v>0</v>
      </c>
      <c r="AI70" s="18">
        <f t="shared" si="12"/>
        <v>0</v>
      </c>
      <c r="AJ70" s="18">
        <f t="shared" si="12"/>
        <v>0</v>
      </c>
      <c r="AK70" s="18">
        <f t="shared" si="12"/>
        <v>0</v>
      </c>
      <c r="AL70" s="18">
        <f t="shared" si="12"/>
        <v>0</v>
      </c>
      <c r="AM70" s="18">
        <f t="shared" si="12"/>
        <v>0</v>
      </c>
      <c r="AN70" s="18">
        <f t="shared" si="12"/>
        <v>0</v>
      </c>
      <c r="AO70" s="18">
        <f t="shared" si="12"/>
        <v>0</v>
      </c>
      <c r="AP70" s="18">
        <f t="shared" si="12"/>
        <v>0</v>
      </c>
      <c r="AQ70" s="18">
        <f t="shared" si="12"/>
        <v>0</v>
      </c>
    </row>
    <row r="71" spans="1:43" x14ac:dyDescent="0.3">
      <c r="A71" s="9" t="s">
        <v>66</v>
      </c>
      <c r="B71" s="10" t="s">
        <v>436</v>
      </c>
      <c r="C71" s="10" t="s">
        <v>22</v>
      </c>
      <c r="D71" s="10" t="s">
        <v>42</v>
      </c>
      <c r="E71" s="10" t="s">
        <v>693</v>
      </c>
      <c r="F71" s="10" t="s">
        <v>694</v>
      </c>
      <c r="G71" s="10" t="s">
        <v>699</v>
      </c>
      <c r="H71" s="11">
        <v>0</v>
      </c>
      <c r="I71" s="11">
        <v>0</v>
      </c>
      <c r="J71" s="11">
        <v>1.9317688266199602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1.3025404157043832</v>
      </c>
      <c r="Q71" s="11">
        <v>1.3081632653061233</v>
      </c>
      <c r="R71" s="11">
        <v>0</v>
      </c>
      <c r="S71" s="11">
        <v>2.6617915904935932</v>
      </c>
      <c r="T71" s="11">
        <v>2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 t="s">
        <v>403</v>
      </c>
      <c r="AE71" s="11" t="s">
        <v>403</v>
      </c>
      <c r="AF71" s="18">
        <f t="shared" si="13"/>
        <v>0</v>
      </c>
      <c r="AG71" s="18">
        <f t="shared" si="13"/>
        <v>0</v>
      </c>
      <c r="AH71" s="18">
        <f t="shared" si="13"/>
        <v>0</v>
      </c>
      <c r="AI71" s="18">
        <f t="shared" si="12"/>
        <v>0</v>
      </c>
      <c r="AJ71" s="18">
        <f t="shared" si="12"/>
        <v>0</v>
      </c>
      <c r="AK71" s="18">
        <f t="shared" si="12"/>
        <v>0</v>
      </c>
      <c r="AL71" s="18">
        <f t="shared" si="12"/>
        <v>0</v>
      </c>
      <c r="AM71" s="18">
        <f t="shared" si="12"/>
        <v>0</v>
      </c>
      <c r="AN71" s="18">
        <f t="shared" si="12"/>
        <v>0</v>
      </c>
      <c r="AO71" s="18">
        <f t="shared" si="12"/>
        <v>0</v>
      </c>
      <c r="AP71" s="18">
        <f t="shared" si="12"/>
        <v>0</v>
      </c>
      <c r="AQ71" s="18">
        <f t="shared" si="12"/>
        <v>0</v>
      </c>
    </row>
    <row r="72" spans="1:43" x14ac:dyDescent="0.3">
      <c r="A72" s="9" t="s">
        <v>19</v>
      </c>
      <c r="B72" s="10" t="s">
        <v>404</v>
      </c>
      <c r="C72" s="10" t="s">
        <v>22</v>
      </c>
      <c r="D72" s="10" t="s">
        <v>28</v>
      </c>
      <c r="E72" s="10" t="s">
        <v>693</v>
      </c>
      <c r="F72" s="10" t="s">
        <v>694</v>
      </c>
      <c r="G72" s="10" t="s">
        <v>695</v>
      </c>
      <c r="H72" s="11">
        <v>0</v>
      </c>
      <c r="I72" s="11">
        <v>7.6020304568527592</v>
      </c>
      <c r="J72" s="11">
        <v>5.7953064798598808</v>
      </c>
      <c r="K72" s="11">
        <v>0</v>
      </c>
      <c r="L72" s="11">
        <v>1.3031358885017397</v>
      </c>
      <c r="M72" s="11">
        <v>4.0568181818182101</v>
      </c>
      <c r="N72" s="11">
        <v>3.9316770186335197</v>
      </c>
      <c r="O72" s="11">
        <v>0</v>
      </c>
      <c r="P72" s="11">
        <v>2.6050808314087663</v>
      </c>
      <c r="Q72" s="11">
        <v>0</v>
      </c>
      <c r="R72" s="11">
        <v>6.6223908918405563</v>
      </c>
      <c r="S72" s="11">
        <v>1.3308957952467966</v>
      </c>
      <c r="T72" s="11">
        <v>0</v>
      </c>
      <c r="U72" s="11">
        <v>3</v>
      </c>
      <c r="V72" s="11">
        <v>4</v>
      </c>
      <c r="W72" s="11">
        <v>1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 t="s">
        <v>403</v>
      </c>
      <c r="AE72" s="11" t="s">
        <v>403</v>
      </c>
      <c r="AF72" s="18">
        <f t="shared" si="13"/>
        <v>0</v>
      </c>
      <c r="AG72" s="18">
        <f t="shared" si="13"/>
        <v>0.39463141025641196</v>
      </c>
      <c r="AH72" s="18">
        <f t="shared" si="13"/>
        <v>0.69021371240692553</v>
      </c>
      <c r="AI72" s="18">
        <f t="shared" si="12"/>
        <v>0</v>
      </c>
      <c r="AJ72" s="18">
        <f t="shared" si="12"/>
        <v>0</v>
      </c>
      <c r="AK72" s="18">
        <f t="shared" si="12"/>
        <v>0</v>
      </c>
      <c r="AL72" s="18">
        <f t="shared" si="12"/>
        <v>0</v>
      </c>
      <c r="AM72" s="18">
        <f t="shared" si="12"/>
        <v>0</v>
      </c>
      <c r="AN72" s="18">
        <f t="shared" si="12"/>
        <v>0</v>
      </c>
      <c r="AO72" s="18">
        <f t="shared" si="12"/>
        <v>0</v>
      </c>
      <c r="AP72" s="18">
        <f t="shared" si="12"/>
        <v>0</v>
      </c>
      <c r="AQ72" s="18">
        <f t="shared" si="12"/>
        <v>0</v>
      </c>
    </row>
    <row r="73" spans="1:43" x14ac:dyDescent="0.3">
      <c r="A73" s="9" t="s">
        <v>35</v>
      </c>
      <c r="B73" s="10" t="s">
        <v>413</v>
      </c>
      <c r="C73" s="10" t="s">
        <v>22</v>
      </c>
      <c r="D73" s="10" t="s">
        <v>40</v>
      </c>
      <c r="E73" s="10" t="s">
        <v>693</v>
      </c>
      <c r="F73" s="10" t="s">
        <v>694</v>
      </c>
      <c r="G73" s="10" t="s">
        <v>698</v>
      </c>
      <c r="H73" s="11">
        <v>0</v>
      </c>
      <c r="I73" s="11">
        <v>1.9005076142131898</v>
      </c>
      <c r="J73" s="11">
        <v>1.9317688266199602</v>
      </c>
      <c r="K73" s="11">
        <v>1.2859744990892601</v>
      </c>
      <c r="L73" s="11">
        <v>1.3031358885017397</v>
      </c>
      <c r="M73" s="11">
        <v>2.7045454545454737</v>
      </c>
      <c r="N73" s="11">
        <v>0</v>
      </c>
      <c r="O73" s="11">
        <v>1.3519668737060118</v>
      </c>
      <c r="P73" s="11">
        <v>0</v>
      </c>
      <c r="Q73" s="11">
        <v>0</v>
      </c>
      <c r="R73" s="11">
        <v>1.3244781783681114</v>
      </c>
      <c r="S73" s="11">
        <v>0</v>
      </c>
      <c r="T73" s="11">
        <v>0</v>
      </c>
      <c r="U73" s="11">
        <v>1</v>
      </c>
      <c r="V73" s="11">
        <v>1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 t="s">
        <v>403</v>
      </c>
      <c r="AE73" s="11" t="s">
        <v>403</v>
      </c>
      <c r="AF73" s="18">
        <f t="shared" si="13"/>
        <v>0</v>
      </c>
      <c r="AG73" s="18">
        <f t="shared" si="13"/>
        <v>0.52617521367521591</v>
      </c>
      <c r="AH73" s="18">
        <f t="shared" si="13"/>
        <v>0.51766028430519417</v>
      </c>
      <c r="AI73" s="18">
        <f t="shared" si="12"/>
        <v>0</v>
      </c>
      <c r="AJ73" s="18">
        <f t="shared" si="12"/>
        <v>0</v>
      </c>
      <c r="AK73" s="18">
        <f t="shared" si="12"/>
        <v>0</v>
      </c>
      <c r="AL73" s="18">
        <f t="shared" si="12"/>
        <v>0</v>
      </c>
      <c r="AM73" s="18">
        <f t="shared" si="12"/>
        <v>0</v>
      </c>
      <c r="AN73" s="18">
        <f t="shared" si="12"/>
        <v>0</v>
      </c>
      <c r="AO73" s="18">
        <f t="shared" si="12"/>
        <v>0</v>
      </c>
      <c r="AP73" s="18">
        <f t="shared" si="12"/>
        <v>0</v>
      </c>
      <c r="AQ73" s="18">
        <f t="shared" si="12"/>
        <v>0</v>
      </c>
    </row>
    <row r="74" spans="1:43" x14ac:dyDescent="0.3">
      <c r="A74" s="9" t="s">
        <v>53</v>
      </c>
      <c r="B74" s="10" t="s">
        <v>424</v>
      </c>
      <c r="C74" s="10" t="s">
        <v>22</v>
      </c>
      <c r="D74" s="10" t="s">
        <v>28</v>
      </c>
      <c r="E74" s="10" t="s">
        <v>693</v>
      </c>
      <c r="F74" s="10" t="s">
        <v>694</v>
      </c>
      <c r="G74" s="10" t="s">
        <v>695</v>
      </c>
      <c r="H74" s="11">
        <v>1.5506493506493551</v>
      </c>
      <c r="I74" s="11">
        <v>1.9005076142131898</v>
      </c>
      <c r="J74" s="11">
        <v>0</v>
      </c>
      <c r="K74" s="11">
        <v>0</v>
      </c>
      <c r="L74" s="11">
        <v>1.3031358885017397</v>
      </c>
      <c r="M74" s="11">
        <v>0</v>
      </c>
      <c r="N74" s="11">
        <v>1.3105590062111734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1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 t="s">
        <v>403</v>
      </c>
      <c r="AE74" s="11" t="s">
        <v>403</v>
      </c>
      <c r="AF74" s="18">
        <f t="shared" si="13"/>
        <v>0</v>
      </c>
      <c r="AG74" s="18">
        <f t="shared" si="13"/>
        <v>0</v>
      </c>
      <c r="AH74" s="18">
        <f t="shared" si="13"/>
        <v>0</v>
      </c>
      <c r="AI74" s="18">
        <f t="shared" si="12"/>
        <v>0</v>
      </c>
      <c r="AJ74" s="18">
        <f t="shared" si="12"/>
        <v>0</v>
      </c>
      <c r="AK74" s="18">
        <f t="shared" si="12"/>
        <v>0</v>
      </c>
      <c r="AL74" s="18">
        <f t="shared" si="12"/>
        <v>0</v>
      </c>
      <c r="AM74" s="18">
        <f t="shared" si="12"/>
        <v>0</v>
      </c>
      <c r="AN74" s="18">
        <f t="shared" si="12"/>
        <v>0</v>
      </c>
      <c r="AO74" s="18">
        <f t="shared" si="12"/>
        <v>0</v>
      </c>
      <c r="AP74" s="18">
        <f t="shared" si="12"/>
        <v>0</v>
      </c>
      <c r="AQ74" s="18">
        <f t="shared" si="12"/>
        <v>0</v>
      </c>
    </row>
    <row r="75" spans="1:43" x14ac:dyDescent="0.3">
      <c r="A75" s="9" t="s">
        <v>68</v>
      </c>
      <c r="B75" s="10" t="s">
        <v>437</v>
      </c>
      <c r="C75" s="10" t="s">
        <v>22</v>
      </c>
      <c r="D75" s="10" t="s">
        <v>28</v>
      </c>
      <c r="E75" s="10" t="s">
        <v>693</v>
      </c>
      <c r="F75" s="10" t="s">
        <v>694</v>
      </c>
      <c r="G75" s="10" t="s">
        <v>695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1.3105590062111734</v>
      </c>
      <c r="O75" s="11">
        <v>1.3519668737060118</v>
      </c>
      <c r="P75" s="11">
        <v>2.6050808314087663</v>
      </c>
      <c r="Q75" s="11">
        <v>0</v>
      </c>
      <c r="R75" s="11">
        <v>2.6489563567362229</v>
      </c>
      <c r="S75" s="11">
        <v>0</v>
      </c>
      <c r="T75" s="11" t="s">
        <v>403</v>
      </c>
      <c r="U75" s="11" t="s">
        <v>403</v>
      </c>
      <c r="V75" s="11" t="s">
        <v>403</v>
      </c>
      <c r="W75" s="11" t="s">
        <v>403</v>
      </c>
      <c r="X75" s="11" t="s">
        <v>403</v>
      </c>
      <c r="Y75" s="11" t="s">
        <v>403</v>
      </c>
      <c r="Z75" s="11" t="s">
        <v>403</v>
      </c>
      <c r="AA75" s="11" t="s">
        <v>403</v>
      </c>
      <c r="AB75" s="11" t="s">
        <v>403</v>
      </c>
      <c r="AC75" s="11" t="s">
        <v>403</v>
      </c>
      <c r="AD75" s="11" t="s">
        <v>403</v>
      </c>
      <c r="AE75" s="11" t="s">
        <v>403</v>
      </c>
      <c r="AF75" s="18">
        <f t="shared" si="13"/>
        <v>0</v>
      </c>
      <c r="AG75" s="18">
        <f t="shared" si="13"/>
        <v>0</v>
      </c>
      <c r="AH75" s="18">
        <f t="shared" si="13"/>
        <v>0</v>
      </c>
      <c r="AI75" s="18">
        <f t="shared" si="12"/>
        <v>0</v>
      </c>
      <c r="AJ75" s="18">
        <f t="shared" si="12"/>
        <v>0</v>
      </c>
      <c r="AK75" s="18">
        <f t="shared" si="12"/>
        <v>0</v>
      </c>
      <c r="AL75" s="18">
        <f t="shared" si="12"/>
        <v>0</v>
      </c>
      <c r="AM75" s="18">
        <f t="shared" si="12"/>
        <v>0</v>
      </c>
      <c r="AN75" s="18">
        <f t="shared" si="12"/>
        <v>0</v>
      </c>
      <c r="AO75" s="18">
        <f t="shared" si="12"/>
        <v>0</v>
      </c>
      <c r="AP75" s="18">
        <f t="shared" si="12"/>
        <v>0</v>
      </c>
      <c r="AQ75" s="18">
        <f t="shared" si="12"/>
        <v>0</v>
      </c>
    </row>
    <row r="76" spans="1:43" x14ac:dyDescent="0.3">
      <c r="A76" s="9" t="s">
        <v>76</v>
      </c>
      <c r="B76" s="10" t="s">
        <v>445</v>
      </c>
      <c r="C76" s="10" t="s">
        <v>22</v>
      </c>
      <c r="D76" s="10" t="s">
        <v>48</v>
      </c>
      <c r="E76" s="10" t="s">
        <v>693</v>
      </c>
      <c r="F76" s="10" t="s">
        <v>694</v>
      </c>
      <c r="G76" s="10" t="s">
        <v>699</v>
      </c>
      <c r="H76" s="11">
        <v>0</v>
      </c>
      <c r="I76" s="11">
        <v>0</v>
      </c>
      <c r="J76" s="11">
        <v>0</v>
      </c>
      <c r="K76" s="11">
        <v>0</v>
      </c>
      <c r="L76" s="11">
        <v>1.3031358885017397</v>
      </c>
      <c r="M76" s="11">
        <v>1.3522727272727368</v>
      </c>
      <c r="N76" s="11">
        <v>0</v>
      </c>
      <c r="O76" s="11">
        <v>0</v>
      </c>
      <c r="P76" s="11">
        <v>1.3025404157043832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1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 t="s">
        <v>403</v>
      </c>
      <c r="AE76" s="11" t="s">
        <v>403</v>
      </c>
      <c r="AF76" s="18">
        <f t="shared" si="13"/>
        <v>0</v>
      </c>
      <c r="AG76" s="18">
        <f t="shared" si="13"/>
        <v>0</v>
      </c>
      <c r="AH76" s="18">
        <f t="shared" si="13"/>
        <v>0</v>
      </c>
      <c r="AI76" s="18">
        <f t="shared" si="12"/>
        <v>0</v>
      </c>
      <c r="AJ76" s="18">
        <f t="shared" si="12"/>
        <v>0</v>
      </c>
      <c r="AK76" s="18">
        <f t="shared" si="12"/>
        <v>0</v>
      </c>
      <c r="AL76" s="18">
        <f t="shared" si="12"/>
        <v>0</v>
      </c>
      <c r="AM76" s="18">
        <f t="shared" si="12"/>
        <v>0</v>
      </c>
      <c r="AN76" s="18">
        <f t="shared" si="12"/>
        <v>0</v>
      </c>
      <c r="AO76" s="18">
        <f t="shared" si="12"/>
        <v>0</v>
      </c>
      <c r="AP76" s="18">
        <f t="shared" si="12"/>
        <v>0</v>
      </c>
      <c r="AQ76" s="18">
        <f t="shared" si="12"/>
        <v>0</v>
      </c>
    </row>
    <row r="77" spans="1:43" x14ac:dyDescent="0.3">
      <c r="A77" s="9" t="s">
        <v>161</v>
      </c>
      <c r="B77" s="10" t="s">
        <v>519</v>
      </c>
      <c r="C77" s="10" t="s">
        <v>22</v>
      </c>
      <c r="D77" s="10" t="s">
        <v>48</v>
      </c>
      <c r="E77" s="10" t="s">
        <v>693</v>
      </c>
      <c r="F77" s="10" t="s">
        <v>694</v>
      </c>
      <c r="G77" s="10" t="s">
        <v>699</v>
      </c>
      <c r="H77" s="11">
        <v>3.1012987012987101</v>
      </c>
      <c r="I77" s="11">
        <v>5.7015228426395694</v>
      </c>
      <c r="J77" s="11">
        <v>7.7270753064798408</v>
      </c>
      <c r="K77" s="11">
        <v>7.7158469945355606</v>
      </c>
      <c r="L77" s="11">
        <v>3.9094076655052192</v>
      </c>
      <c r="M77" s="11">
        <v>8.1136363636364202</v>
      </c>
      <c r="N77" s="11">
        <v>2.6211180124223468</v>
      </c>
      <c r="O77" s="11">
        <v>8.1118012422360692</v>
      </c>
      <c r="P77" s="11">
        <v>3.9076212471131502</v>
      </c>
      <c r="Q77" s="11">
        <v>3.9244897959183693</v>
      </c>
      <c r="R77" s="11">
        <v>2.6489563567362229</v>
      </c>
      <c r="S77" s="11">
        <v>10.647166361974373</v>
      </c>
      <c r="T77" s="11">
        <v>9</v>
      </c>
      <c r="U77" s="11">
        <v>3</v>
      </c>
      <c r="V77" s="11">
        <v>3</v>
      </c>
      <c r="W77" s="11">
        <v>2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 t="s">
        <v>403</v>
      </c>
      <c r="AE77" s="11" t="s">
        <v>403</v>
      </c>
      <c r="AF77" s="18">
        <f t="shared" si="13"/>
        <v>2.9020100502512483</v>
      </c>
      <c r="AG77" s="18">
        <f t="shared" si="13"/>
        <v>0.52617521367521591</v>
      </c>
      <c r="AH77" s="18">
        <f t="shared" si="13"/>
        <v>0.38824521322889566</v>
      </c>
      <c r="AI77" s="18">
        <f t="shared" si="12"/>
        <v>0.25920679886685416</v>
      </c>
      <c r="AJ77" s="18">
        <f t="shared" si="12"/>
        <v>0</v>
      </c>
      <c r="AK77" s="18">
        <f t="shared" si="12"/>
        <v>0</v>
      </c>
      <c r="AL77" s="18">
        <f t="shared" si="12"/>
        <v>0</v>
      </c>
      <c r="AM77" s="18">
        <f t="shared" si="12"/>
        <v>0</v>
      </c>
      <c r="AN77" s="18">
        <f t="shared" si="12"/>
        <v>0</v>
      </c>
      <c r="AO77" s="18">
        <f t="shared" si="12"/>
        <v>0</v>
      </c>
      <c r="AP77" s="18">
        <f t="shared" si="12"/>
        <v>0</v>
      </c>
      <c r="AQ77" s="18">
        <f t="shared" si="12"/>
        <v>0</v>
      </c>
    </row>
    <row r="78" spans="1:43" x14ac:dyDescent="0.3">
      <c r="A78" s="9" t="s">
        <v>43</v>
      </c>
      <c r="B78" s="10" t="s">
        <v>417</v>
      </c>
      <c r="C78" s="10" t="s">
        <v>22</v>
      </c>
      <c r="D78" s="10" t="s">
        <v>44</v>
      </c>
      <c r="E78" s="10" t="s">
        <v>693</v>
      </c>
      <c r="F78" s="10" t="s">
        <v>694</v>
      </c>
      <c r="G78" s="10" t="s">
        <v>698</v>
      </c>
      <c r="H78" s="11">
        <v>10.854545454545486</v>
      </c>
      <c r="I78" s="11">
        <v>7.6020304568527592</v>
      </c>
      <c r="J78" s="11">
        <v>7.7270753064798408</v>
      </c>
      <c r="K78" s="11">
        <v>5.1438979963570404</v>
      </c>
      <c r="L78" s="11">
        <v>7.8188153310104385</v>
      </c>
      <c r="M78" s="11">
        <v>5.4090909090909474</v>
      </c>
      <c r="N78" s="11">
        <v>3.9316770186335197</v>
      </c>
      <c r="O78" s="11">
        <v>6.7598343685300586</v>
      </c>
      <c r="P78" s="11">
        <v>5.2101616628175327</v>
      </c>
      <c r="Q78" s="11">
        <v>2.6163265306122465</v>
      </c>
      <c r="R78" s="11">
        <v>3.9734345351043339</v>
      </c>
      <c r="S78" s="11">
        <v>3.9926873857403895</v>
      </c>
      <c r="T78" s="11">
        <v>2</v>
      </c>
      <c r="U78" s="11">
        <v>4</v>
      </c>
      <c r="V78" s="11">
        <v>4</v>
      </c>
      <c r="W78" s="11">
        <v>1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 t="s">
        <v>403</v>
      </c>
      <c r="AE78" s="11" t="s">
        <v>403</v>
      </c>
      <c r="AF78" s="18">
        <f t="shared" si="13"/>
        <v>0.18425460636515861</v>
      </c>
      <c r="AG78" s="18">
        <f t="shared" si="13"/>
        <v>0.52617521367521591</v>
      </c>
      <c r="AH78" s="18">
        <f t="shared" si="13"/>
        <v>0.51766028430519417</v>
      </c>
      <c r="AI78" s="18">
        <f t="shared" si="12"/>
        <v>0.19440509915014059</v>
      </c>
      <c r="AJ78" s="18">
        <f t="shared" si="12"/>
        <v>0</v>
      </c>
      <c r="AK78" s="18">
        <f t="shared" si="12"/>
        <v>0</v>
      </c>
      <c r="AL78" s="18">
        <f t="shared" si="12"/>
        <v>0</v>
      </c>
      <c r="AM78" s="18">
        <f t="shared" si="12"/>
        <v>0</v>
      </c>
      <c r="AN78" s="18">
        <f t="shared" si="12"/>
        <v>0</v>
      </c>
      <c r="AO78" s="18">
        <f t="shared" si="12"/>
        <v>0</v>
      </c>
      <c r="AP78" s="18">
        <f t="shared" si="12"/>
        <v>0</v>
      </c>
      <c r="AQ78" s="18">
        <f t="shared" si="12"/>
        <v>0</v>
      </c>
    </row>
    <row r="79" spans="1:43" x14ac:dyDescent="0.3">
      <c r="A79" s="9" t="s">
        <v>45</v>
      </c>
      <c r="B79" s="10" t="s">
        <v>418</v>
      </c>
      <c r="C79" s="10" t="s">
        <v>22</v>
      </c>
      <c r="D79" s="10" t="s">
        <v>44</v>
      </c>
      <c r="E79" s="10" t="s">
        <v>693</v>
      </c>
      <c r="F79" s="10" t="s">
        <v>694</v>
      </c>
      <c r="G79" s="10" t="s">
        <v>698</v>
      </c>
      <c r="H79" s="11">
        <v>3.1012987012987101</v>
      </c>
      <c r="I79" s="11">
        <v>3.8010152284263796</v>
      </c>
      <c r="J79" s="11">
        <v>7.7270753064798408</v>
      </c>
      <c r="K79" s="11">
        <v>2.5719489981785202</v>
      </c>
      <c r="L79" s="11">
        <v>1.3031358885017397</v>
      </c>
      <c r="M79" s="11">
        <v>1.3522727272727368</v>
      </c>
      <c r="N79" s="11">
        <v>0</v>
      </c>
      <c r="O79" s="11">
        <v>0</v>
      </c>
      <c r="P79" s="11">
        <v>1.3025404157043832</v>
      </c>
      <c r="Q79" s="11">
        <v>2.6163265306122465</v>
      </c>
      <c r="R79" s="11">
        <v>3.9734345351043339</v>
      </c>
      <c r="S79" s="11">
        <v>6.6544789762339827</v>
      </c>
      <c r="T79" s="11">
        <v>4</v>
      </c>
      <c r="U79" s="11">
        <v>3</v>
      </c>
      <c r="V79" s="11">
        <v>4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 t="s">
        <v>403</v>
      </c>
      <c r="AE79" s="11" t="s">
        <v>403</v>
      </c>
      <c r="AF79" s="18">
        <f t="shared" si="13"/>
        <v>1.2897822445561102</v>
      </c>
      <c r="AG79" s="18">
        <f t="shared" si="13"/>
        <v>0.78926282051282393</v>
      </c>
      <c r="AH79" s="18">
        <f t="shared" si="13"/>
        <v>0.51766028430519417</v>
      </c>
      <c r="AI79" s="18">
        <f t="shared" si="12"/>
        <v>0</v>
      </c>
      <c r="AJ79" s="18">
        <f t="shared" si="12"/>
        <v>0</v>
      </c>
      <c r="AK79" s="18">
        <f t="shared" si="12"/>
        <v>0</v>
      </c>
      <c r="AL79" s="18">
        <f t="shared" si="12"/>
        <v>0</v>
      </c>
      <c r="AM79" s="18">
        <f t="shared" si="12"/>
        <v>0</v>
      </c>
      <c r="AN79" s="18">
        <f t="shared" si="12"/>
        <v>0</v>
      </c>
      <c r="AO79" s="18">
        <f t="shared" si="12"/>
        <v>0</v>
      </c>
      <c r="AP79" s="18">
        <f t="shared" si="12"/>
        <v>0</v>
      </c>
      <c r="AQ79" s="18">
        <f t="shared" si="12"/>
        <v>0</v>
      </c>
    </row>
    <row r="80" spans="1:43" x14ac:dyDescent="0.3">
      <c r="A80" s="9" t="s">
        <v>148</v>
      </c>
      <c r="B80" s="10" t="s">
        <v>506</v>
      </c>
      <c r="C80" s="10" t="s">
        <v>22</v>
      </c>
      <c r="D80" s="10" t="s">
        <v>46</v>
      </c>
      <c r="E80" s="10" t="s">
        <v>693</v>
      </c>
      <c r="F80" s="10" t="s">
        <v>694</v>
      </c>
      <c r="G80" s="10" t="s">
        <v>700</v>
      </c>
      <c r="H80" s="11">
        <v>0</v>
      </c>
      <c r="I80" s="11">
        <v>1.9005076142131898</v>
      </c>
      <c r="J80" s="11">
        <v>1.9317688266199602</v>
      </c>
      <c r="K80" s="11">
        <v>0</v>
      </c>
      <c r="L80" s="11">
        <v>1.3031358885017397</v>
      </c>
      <c r="M80" s="11">
        <v>1.3522727272727368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1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 t="s">
        <v>403</v>
      </c>
      <c r="AE80" s="11" t="s">
        <v>403</v>
      </c>
      <c r="AF80" s="18">
        <f t="shared" si="13"/>
        <v>0</v>
      </c>
      <c r="AG80" s="18">
        <f t="shared" si="13"/>
        <v>0</v>
      </c>
      <c r="AH80" s="18">
        <f t="shared" si="13"/>
        <v>0.51766028430519417</v>
      </c>
      <c r="AI80" s="18">
        <f t="shared" si="12"/>
        <v>0</v>
      </c>
      <c r="AJ80" s="18">
        <f t="shared" si="12"/>
        <v>0</v>
      </c>
      <c r="AK80" s="18">
        <f t="shared" si="12"/>
        <v>0</v>
      </c>
      <c r="AL80" s="18">
        <f t="shared" si="12"/>
        <v>0</v>
      </c>
      <c r="AM80" s="18">
        <f t="shared" si="12"/>
        <v>0</v>
      </c>
      <c r="AN80" s="18">
        <f t="shared" si="12"/>
        <v>0</v>
      </c>
      <c r="AO80" s="18">
        <f t="shared" si="12"/>
        <v>0</v>
      </c>
      <c r="AP80" s="18">
        <f t="shared" si="12"/>
        <v>0</v>
      </c>
      <c r="AQ80" s="18">
        <f t="shared" si="12"/>
        <v>0</v>
      </c>
    </row>
    <row r="81" spans="1:43" x14ac:dyDescent="0.3">
      <c r="A81" s="9" t="s">
        <v>149</v>
      </c>
      <c r="B81" s="10" t="s">
        <v>507</v>
      </c>
      <c r="C81" s="10" t="s">
        <v>22</v>
      </c>
      <c r="D81" s="10" t="s">
        <v>46</v>
      </c>
      <c r="E81" s="10" t="s">
        <v>693</v>
      </c>
      <c r="F81" s="10" t="s">
        <v>694</v>
      </c>
      <c r="G81" s="10" t="s">
        <v>700</v>
      </c>
      <c r="H81" s="11">
        <v>0</v>
      </c>
      <c r="I81" s="11">
        <v>0</v>
      </c>
      <c r="J81" s="11">
        <v>0</v>
      </c>
      <c r="K81" s="11">
        <v>0</v>
      </c>
      <c r="L81" s="11">
        <v>1.3031358885017397</v>
      </c>
      <c r="M81" s="11">
        <v>1.3522727272727368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1.3308957952467966</v>
      </c>
      <c r="T81" s="11" t="s">
        <v>403</v>
      </c>
      <c r="U81" s="11" t="s">
        <v>403</v>
      </c>
      <c r="V81" s="11" t="s">
        <v>403</v>
      </c>
      <c r="W81" s="11" t="s">
        <v>403</v>
      </c>
      <c r="X81" s="11" t="s">
        <v>403</v>
      </c>
      <c r="Y81" s="11" t="s">
        <v>403</v>
      </c>
      <c r="Z81" s="11" t="s">
        <v>403</v>
      </c>
      <c r="AA81" s="11" t="s">
        <v>403</v>
      </c>
      <c r="AB81" s="11" t="s">
        <v>403</v>
      </c>
      <c r="AC81" s="11" t="s">
        <v>403</v>
      </c>
      <c r="AD81" s="11" t="s">
        <v>403</v>
      </c>
      <c r="AE81" s="11" t="s">
        <v>403</v>
      </c>
      <c r="AF81" s="18">
        <f t="shared" si="13"/>
        <v>0</v>
      </c>
      <c r="AG81" s="18">
        <f t="shared" si="13"/>
        <v>0</v>
      </c>
      <c r="AH81" s="18">
        <f t="shared" si="13"/>
        <v>0</v>
      </c>
      <c r="AI81" s="18">
        <f t="shared" si="12"/>
        <v>0</v>
      </c>
      <c r="AJ81" s="18">
        <f t="shared" si="12"/>
        <v>0</v>
      </c>
      <c r="AK81" s="18">
        <f t="shared" si="12"/>
        <v>0</v>
      </c>
      <c r="AL81" s="18">
        <f t="shared" si="12"/>
        <v>0</v>
      </c>
      <c r="AM81" s="18">
        <f t="shared" si="12"/>
        <v>0</v>
      </c>
      <c r="AN81" s="18">
        <f t="shared" si="12"/>
        <v>0</v>
      </c>
      <c r="AO81" s="18">
        <f t="shared" si="12"/>
        <v>0</v>
      </c>
      <c r="AP81" s="18">
        <f t="shared" si="12"/>
        <v>0</v>
      </c>
      <c r="AQ81" s="18">
        <f t="shared" si="12"/>
        <v>0</v>
      </c>
    </row>
    <row r="82" spans="1:43" x14ac:dyDescent="0.3">
      <c r="A82" s="9" t="s">
        <v>83</v>
      </c>
      <c r="B82" s="10" t="s">
        <v>452</v>
      </c>
      <c r="C82" s="10" t="s">
        <v>22</v>
      </c>
      <c r="D82" s="10" t="s">
        <v>28</v>
      </c>
      <c r="E82" s="10" t="s">
        <v>693</v>
      </c>
      <c r="F82" s="10" t="s">
        <v>694</v>
      </c>
      <c r="G82" s="10" t="s">
        <v>695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1.3308957952467966</v>
      </c>
      <c r="T82" s="11" t="s">
        <v>403</v>
      </c>
      <c r="U82" s="11" t="s">
        <v>403</v>
      </c>
      <c r="V82" s="11" t="s">
        <v>403</v>
      </c>
      <c r="W82" s="11" t="s">
        <v>403</v>
      </c>
      <c r="X82" s="11" t="s">
        <v>403</v>
      </c>
      <c r="Y82" s="11" t="s">
        <v>403</v>
      </c>
      <c r="Z82" s="11" t="s">
        <v>403</v>
      </c>
      <c r="AA82" s="11" t="s">
        <v>403</v>
      </c>
      <c r="AB82" s="11" t="s">
        <v>403</v>
      </c>
      <c r="AC82" s="11" t="s">
        <v>403</v>
      </c>
      <c r="AD82" s="11" t="s">
        <v>403</v>
      </c>
      <c r="AE82" s="11" t="s">
        <v>403</v>
      </c>
      <c r="AF82" s="18">
        <f t="shared" si="13"/>
        <v>0</v>
      </c>
      <c r="AG82" s="18">
        <f t="shared" si="13"/>
        <v>0</v>
      </c>
      <c r="AH82" s="18">
        <f t="shared" si="13"/>
        <v>0</v>
      </c>
      <c r="AI82" s="18">
        <f t="shared" si="12"/>
        <v>0</v>
      </c>
      <c r="AJ82" s="18">
        <f t="shared" si="12"/>
        <v>0</v>
      </c>
      <c r="AK82" s="18">
        <f t="shared" si="12"/>
        <v>0</v>
      </c>
      <c r="AL82" s="18">
        <f t="shared" si="12"/>
        <v>0</v>
      </c>
      <c r="AM82" s="18">
        <f t="shared" si="12"/>
        <v>0</v>
      </c>
      <c r="AN82" s="18">
        <f t="shared" si="12"/>
        <v>0</v>
      </c>
      <c r="AO82" s="18">
        <f t="shared" si="12"/>
        <v>0</v>
      </c>
      <c r="AP82" s="18">
        <f t="shared" si="12"/>
        <v>0</v>
      </c>
      <c r="AQ82" s="18">
        <f t="shared" si="12"/>
        <v>0</v>
      </c>
    </row>
    <row r="83" spans="1:43" x14ac:dyDescent="0.3">
      <c r="A83" s="9" t="s">
        <v>147</v>
      </c>
      <c r="B83" s="10" t="s">
        <v>505</v>
      </c>
      <c r="C83" s="10" t="s">
        <v>22</v>
      </c>
      <c r="D83" s="10" t="s">
        <v>42</v>
      </c>
      <c r="E83" s="10" t="s">
        <v>693</v>
      </c>
      <c r="F83" s="10" t="s">
        <v>694</v>
      </c>
      <c r="G83" s="10" t="s">
        <v>699</v>
      </c>
      <c r="H83" s="11">
        <v>0</v>
      </c>
      <c r="I83" s="11">
        <v>1.9005076142131898</v>
      </c>
      <c r="J83" s="11">
        <v>0</v>
      </c>
      <c r="K83" s="11">
        <v>1.2859744990892601</v>
      </c>
      <c r="L83" s="11">
        <v>2.6062717770034793</v>
      </c>
      <c r="M83" s="11">
        <v>0</v>
      </c>
      <c r="N83" s="11">
        <v>1.3105590062111734</v>
      </c>
      <c r="O83" s="11">
        <v>0</v>
      </c>
      <c r="P83" s="11">
        <v>0</v>
      </c>
      <c r="Q83" s="11">
        <v>0</v>
      </c>
      <c r="R83" s="11">
        <v>2.6489563567362229</v>
      </c>
      <c r="S83" s="11">
        <v>0</v>
      </c>
      <c r="T83" s="11">
        <v>1</v>
      </c>
      <c r="U83" s="11">
        <v>2</v>
      </c>
      <c r="V83" s="11">
        <v>1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 t="s">
        <v>403</v>
      </c>
      <c r="AE83" s="11" t="s">
        <v>403</v>
      </c>
      <c r="AF83" s="18">
        <f t="shared" si="13"/>
        <v>0</v>
      </c>
      <c r="AG83" s="18">
        <f t="shared" si="13"/>
        <v>1.0523504273504318</v>
      </c>
      <c r="AH83" s="18">
        <f t="shared" si="13"/>
        <v>0</v>
      </c>
      <c r="AI83" s="18">
        <f t="shared" si="12"/>
        <v>0</v>
      </c>
      <c r="AJ83" s="18">
        <f t="shared" si="12"/>
        <v>0</v>
      </c>
      <c r="AK83" s="18">
        <f t="shared" si="12"/>
        <v>0</v>
      </c>
      <c r="AL83" s="18">
        <f t="shared" si="12"/>
        <v>0</v>
      </c>
      <c r="AM83" s="18">
        <f t="shared" si="12"/>
        <v>0</v>
      </c>
      <c r="AN83" s="18">
        <f t="shared" si="12"/>
        <v>0</v>
      </c>
      <c r="AO83" s="18">
        <f t="shared" si="12"/>
        <v>0</v>
      </c>
      <c r="AP83" s="18">
        <f t="shared" si="12"/>
        <v>0</v>
      </c>
      <c r="AQ83" s="18">
        <f t="shared" si="12"/>
        <v>0</v>
      </c>
    </row>
    <row r="84" spans="1:43" x14ac:dyDescent="0.3">
      <c r="A84" s="9" t="s">
        <v>193</v>
      </c>
      <c r="B84" s="10" t="s">
        <v>551</v>
      </c>
      <c r="C84" s="10" t="s">
        <v>22</v>
      </c>
      <c r="D84" s="10" t="s">
        <v>44</v>
      </c>
      <c r="E84" s="10" t="s">
        <v>693</v>
      </c>
      <c r="F84" s="10" t="s">
        <v>694</v>
      </c>
      <c r="G84" s="10" t="s">
        <v>698</v>
      </c>
      <c r="H84" s="11">
        <v>3.1012987012987101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1.3105590062111734</v>
      </c>
      <c r="O84" s="11">
        <v>1.3519668737060118</v>
      </c>
      <c r="P84" s="11">
        <v>1.3025404157043832</v>
      </c>
      <c r="Q84" s="11">
        <v>0</v>
      </c>
      <c r="R84" s="11">
        <v>0</v>
      </c>
      <c r="S84" s="11">
        <v>0</v>
      </c>
      <c r="T84" s="11" t="s">
        <v>403</v>
      </c>
      <c r="U84" s="11" t="s">
        <v>403</v>
      </c>
      <c r="V84" s="11" t="s">
        <v>403</v>
      </c>
      <c r="W84" s="11" t="s">
        <v>403</v>
      </c>
      <c r="X84" s="11" t="s">
        <v>403</v>
      </c>
      <c r="Y84" s="11" t="s">
        <v>403</v>
      </c>
      <c r="Z84" s="11" t="s">
        <v>403</v>
      </c>
      <c r="AA84" s="11" t="s">
        <v>403</v>
      </c>
      <c r="AB84" s="11" t="s">
        <v>403</v>
      </c>
      <c r="AC84" s="11" t="s">
        <v>403</v>
      </c>
      <c r="AD84" s="11" t="s">
        <v>403</v>
      </c>
      <c r="AE84" s="11" t="s">
        <v>403</v>
      </c>
      <c r="AF84" s="18">
        <f t="shared" si="13"/>
        <v>0</v>
      </c>
      <c r="AG84" s="18">
        <f t="shared" si="13"/>
        <v>0</v>
      </c>
      <c r="AH84" s="18">
        <f t="shared" si="13"/>
        <v>0</v>
      </c>
      <c r="AI84" s="18">
        <f t="shared" si="12"/>
        <v>0</v>
      </c>
      <c r="AJ84" s="18">
        <f t="shared" si="12"/>
        <v>0</v>
      </c>
      <c r="AK84" s="18">
        <f t="shared" si="12"/>
        <v>0</v>
      </c>
      <c r="AL84" s="18">
        <f t="shared" si="12"/>
        <v>0</v>
      </c>
      <c r="AM84" s="18">
        <f t="shared" si="12"/>
        <v>0</v>
      </c>
      <c r="AN84" s="18">
        <f t="shared" si="12"/>
        <v>0</v>
      </c>
      <c r="AO84" s="18">
        <f t="shared" si="12"/>
        <v>0</v>
      </c>
      <c r="AP84" s="18">
        <f t="shared" si="12"/>
        <v>0</v>
      </c>
      <c r="AQ84" s="18">
        <f t="shared" si="12"/>
        <v>0</v>
      </c>
    </row>
    <row r="85" spans="1:43" x14ac:dyDescent="0.3">
      <c r="A85" s="9" t="s">
        <v>372</v>
      </c>
      <c r="B85" s="10" t="s">
        <v>682</v>
      </c>
      <c r="C85" s="10" t="s">
        <v>22</v>
      </c>
      <c r="D85" s="10" t="s">
        <v>48</v>
      </c>
      <c r="E85" s="10" t="s">
        <v>708</v>
      </c>
      <c r="F85" s="10" t="s">
        <v>701</v>
      </c>
      <c r="G85" s="10" t="s">
        <v>699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 t="s">
        <v>403</v>
      </c>
      <c r="U85" s="11" t="s">
        <v>403</v>
      </c>
      <c r="V85" s="11" t="s">
        <v>403</v>
      </c>
      <c r="W85" s="11" t="s">
        <v>403</v>
      </c>
      <c r="X85" s="11" t="s">
        <v>403</v>
      </c>
      <c r="Y85" s="11" t="s">
        <v>403</v>
      </c>
      <c r="Z85" s="11" t="s">
        <v>403</v>
      </c>
      <c r="AA85" s="11" t="s">
        <v>403</v>
      </c>
      <c r="AB85" s="11" t="s">
        <v>403</v>
      </c>
      <c r="AC85" s="11" t="s">
        <v>403</v>
      </c>
      <c r="AD85" s="11" t="s">
        <v>403</v>
      </c>
      <c r="AE85" s="11" t="s">
        <v>403</v>
      </c>
      <c r="AF85" s="18">
        <f t="shared" si="13"/>
        <v>0</v>
      </c>
      <c r="AG85" s="18">
        <f t="shared" si="13"/>
        <v>0</v>
      </c>
      <c r="AH85" s="18">
        <f t="shared" si="13"/>
        <v>0</v>
      </c>
      <c r="AI85" s="18">
        <f t="shared" si="12"/>
        <v>0</v>
      </c>
      <c r="AJ85" s="18">
        <f t="shared" si="12"/>
        <v>0</v>
      </c>
      <c r="AK85" s="18">
        <f t="shared" si="12"/>
        <v>0</v>
      </c>
      <c r="AL85" s="18">
        <f t="shared" si="12"/>
        <v>0</v>
      </c>
      <c r="AM85" s="18">
        <f t="shared" si="12"/>
        <v>0</v>
      </c>
      <c r="AN85" s="18">
        <f t="shared" si="12"/>
        <v>0</v>
      </c>
      <c r="AO85" s="18">
        <f t="shared" si="12"/>
        <v>0</v>
      </c>
      <c r="AP85" s="18">
        <f t="shared" si="12"/>
        <v>0</v>
      </c>
      <c r="AQ85" s="18">
        <f t="shared" si="12"/>
        <v>0</v>
      </c>
    </row>
    <row r="86" spans="1:43" x14ac:dyDescent="0.3">
      <c r="A86" s="9" t="s">
        <v>179</v>
      </c>
      <c r="B86" s="10" t="s">
        <v>537</v>
      </c>
      <c r="C86" s="10" t="s">
        <v>118</v>
      </c>
      <c r="D86" s="10" t="s">
        <v>134</v>
      </c>
      <c r="E86" s="10" t="s">
        <v>704</v>
      </c>
      <c r="F86" s="10" t="s">
        <v>694</v>
      </c>
      <c r="G86" s="10" t="s">
        <v>698</v>
      </c>
      <c r="H86" s="11">
        <v>12.540153452685418</v>
      </c>
      <c r="I86" s="11">
        <v>10.020191693290744</v>
      </c>
      <c r="J86" s="11">
        <v>8.3515151515151516</v>
      </c>
      <c r="K86" s="11">
        <v>8.1011235955056264</v>
      </c>
      <c r="L86" s="11">
        <v>6.9134615384615259</v>
      </c>
      <c r="M86" s="11">
        <v>8.1085043988269589</v>
      </c>
      <c r="N86" s="11">
        <v>8.133196721311478</v>
      </c>
      <c r="O86" s="11">
        <v>5.7806324110671987</v>
      </c>
      <c r="P86" s="11">
        <v>11.586956521739133</v>
      </c>
      <c r="Q86" s="11">
        <v>2.3142250530785544</v>
      </c>
      <c r="R86" s="11">
        <v>5.7928118393234662</v>
      </c>
      <c r="S86" s="11">
        <v>11.539855072463771</v>
      </c>
      <c r="T86" s="11">
        <v>8</v>
      </c>
      <c r="U86" s="11">
        <v>2</v>
      </c>
      <c r="V86" s="11">
        <v>8</v>
      </c>
      <c r="W86" s="11">
        <v>2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 t="s">
        <v>403</v>
      </c>
      <c r="AE86" s="11" t="s">
        <v>403</v>
      </c>
      <c r="AF86" s="18">
        <f t="shared" si="13"/>
        <v>0.63795072605645309</v>
      </c>
      <c r="AG86" s="18">
        <f t="shared" si="13"/>
        <v>0.19959697990001002</v>
      </c>
      <c r="AH86" s="18">
        <f t="shared" si="13"/>
        <v>0.9579100145137881</v>
      </c>
      <c r="AI86" s="18">
        <f t="shared" si="12"/>
        <v>0.24687933425797479</v>
      </c>
      <c r="AJ86" s="18">
        <f t="shared" si="12"/>
        <v>0</v>
      </c>
      <c r="AK86" s="18">
        <f t="shared" si="12"/>
        <v>0</v>
      </c>
      <c r="AL86" s="18">
        <f t="shared" si="12"/>
        <v>0</v>
      </c>
      <c r="AM86" s="18">
        <f t="shared" si="12"/>
        <v>0</v>
      </c>
      <c r="AN86" s="18">
        <f t="shared" si="12"/>
        <v>0</v>
      </c>
      <c r="AO86" s="18">
        <f t="shared" si="12"/>
        <v>0</v>
      </c>
      <c r="AP86" s="18">
        <f t="shared" si="12"/>
        <v>0</v>
      </c>
      <c r="AQ86" s="18">
        <f t="shared" si="12"/>
        <v>0</v>
      </c>
    </row>
    <row r="87" spans="1:43" x14ac:dyDescent="0.3">
      <c r="A87" s="9" t="s">
        <v>185</v>
      </c>
      <c r="B87" s="10" t="s">
        <v>543</v>
      </c>
      <c r="C87" s="10" t="s">
        <v>118</v>
      </c>
      <c r="D87" s="10" t="s">
        <v>134</v>
      </c>
      <c r="E87" s="10" t="s">
        <v>704</v>
      </c>
      <c r="F87" s="10" t="s">
        <v>694</v>
      </c>
      <c r="G87" s="10" t="s">
        <v>700</v>
      </c>
      <c r="H87" s="11">
        <v>4.1800511508951397</v>
      </c>
      <c r="I87" s="11">
        <v>13.360255591054324</v>
      </c>
      <c r="J87" s="11">
        <v>10.021818181818183</v>
      </c>
      <c r="K87" s="11">
        <v>4.6292134831460725</v>
      </c>
      <c r="L87" s="11">
        <v>8.0657051282051135</v>
      </c>
      <c r="M87" s="11">
        <v>4.6334310850439762</v>
      </c>
      <c r="N87" s="11">
        <v>3.4856557377049193</v>
      </c>
      <c r="O87" s="11">
        <v>4.6245059288537584</v>
      </c>
      <c r="P87" s="11">
        <v>4.6347826086956534</v>
      </c>
      <c r="Q87" s="11">
        <v>3.4713375796178316</v>
      </c>
      <c r="R87" s="11">
        <v>4.634249471458773</v>
      </c>
      <c r="S87" s="11">
        <v>5.7699275362318856</v>
      </c>
      <c r="T87" s="11">
        <v>4</v>
      </c>
      <c r="U87" s="11">
        <v>5</v>
      </c>
      <c r="V87" s="11">
        <v>4</v>
      </c>
      <c r="W87" s="11">
        <v>1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 t="s">
        <v>403</v>
      </c>
      <c r="AE87" s="11" t="s">
        <v>403</v>
      </c>
      <c r="AF87" s="18">
        <f t="shared" si="13"/>
        <v>0.95692608908467958</v>
      </c>
      <c r="AG87" s="18">
        <f t="shared" si="13"/>
        <v>0.37424433731251883</v>
      </c>
      <c r="AH87" s="18">
        <f t="shared" si="13"/>
        <v>0.39912917271407833</v>
      </c>
      <c r="AI87" s="18">
        <f t="shared" si="12"/>
        <v>0.21601941747572792</v>
      </c>
      <c r="AJ87" s="18">
        <f t="shared" si="12"/>
        <v>0</v>
      </c>
      <c r="AK87" s="18">
        <f t="shared" si="12"/>
        <v>0</v>
      </c>
      <c r="AL87" s="18">
        <f t="shared" si="12"/>
        <v>0</v>
      </c>
      <c r="AM87" s="18">
        <f t="shared" si="12"/>
        <v>0</v>
      </c>
      <c r="AN87" s="18">
        <f t="shared" si="12"/>
        <v>0</v>
      </c>
      <c r="AO87" s="18">
        <f t="shared" si="12"/>
        <v>0</v>
      </c>
      <c r="AP87" s="18">
        <f t="shared" si="12"/>
        <v>0</v>
      </c>
      <c r="AQ87" s="18">
        <f t="shared" si="12"/>
        <v>0</v>
      </c>
    </row>
    <row r="88" spans="1:43" x14ac:dyDescent="0.3">
      <c r="A88" s="9" t="s">
        <v>186</v>
      </c>
      <c r="B88" s="10" t="s">
        <v>544</v>
      </c>
      <c r="C88" s="10" t="s">
        <v>118</v>
      </c>
      <c r="D88" s="10" t="s">
        <v>134</v>
      </c>
      <c r="E88" s="10" t="s">
        <v>704</v>
      </c>
      <c r="F88" s="10" t="s">
        <v>694</v>
      </c>
      <c r="G88" s="10" t="s">
        <v>698</v>
      </c>
      <c r="H88" s="11">
        <v>2.7867007672634263</v>
      </c>
      <c r="I88" s="11">
        <v>5.0100958466453722</v>
      </c>
      <c r="J88" s="11">
        <v>1.6703030303030304</v>
      </c>
      <c r="K88" s="11">
        <v>8.1011235955056264</v>
      </c>
      <c r="L88" s="11">
        <v>1.1522435897435874</v>
      </c>
      <c r="M88" s="11">
        <v>13.900293255131929</v>
      </c>
      <c r="N88" s="11">
        <v>1.1618852459016398</v>
      </c>
      <c r="O88" s="11">
        <v>8.0928853754940775</v>
      </c>
      <c r="P88" s="11">
        <v>4.6347826086956534</v>
      </c>
      <c r="Q88" s="11">
        <v>5.7855626326963856</v>
      </c>
      <c r="R88" s="11">
        <v>3.4756871035940797</v>
      </c>
      <c r="S88" s="11">
        <v>6.9239130434782616</v>
      </c>
      <c r="T88" s="11">
        <v>3</v>
      </c>
      <c r="U88" s="11">
        <v>3</v>
      </c>
      <c r="V88" s="11">
        <v>4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 t="s">
        <v>403</v>
      </c>
      <c r="AE88" s="11" t="s">
        <v>403</v>
      </c>
      <c r="AF88" s="18">
        <f t="shared" si="13"/>
        <v>1.0765418502202646</v>
      </c>
      <c r="AG88" s="18">
        <f t="shared" si="13"/>
        <v>0.59879093970003006</v>
      </c>
      <c r="AH88" s="18">
        <f t="shared" si="13"/>
        <v>2.3947750362844702</v>
      </c>
      <c r="AI88" s="18">
        <f t="shared" si="12"/>
        <v>0</v>
      </c>
      <c r="AJ88" s="18">
        <f t="shared" si="12"/>
        <v>0</v>
      </c>
      <c r="AK88" s="18">
        <f t="shared" si="12"/>
        <v>0</v>
      </c>
      <c r="AL88" s="18">
        <f t="shared" si="12"/>
        <v>0</v>
      </c>
      <c r="AM88" s="18">
        <f t="shared" si="12"/>
        <v>0</v>
      </c>
      <c r="AN88" s="18">
        <f t="shared" si="12"/>
        <v>0</v>
      </c>
      <c r="AO88" s="18">
        <f t="shared" si="12"/>
        <v>0</v>
      </c>
      <c r="AP88" s="18">
        <f t="shared" si="12"/>
        <v>0</v>
      </c>
      <c r="AQ88" s="18">
        <f t="shared" si="12"/>
        <v>0</v>
      </c>
    </row>
    <row r="89" spans="1:43" x14ac:dyDescent="0.3">
      <c r="A89" s="9" t="s">
        <v>178</v>
      </c>
      <c r="B89" s="10" t="s">
        <v>536</v>
      </c>
      <c r="C89" s="10" t="s">
        <v>118</v>
      </c>
      <c r="D89" s="10" t="s">
        <v>134</v>
      </c>
      <c r="E89" s="10" t="s">
        <v>704</v>
      </c>
      <c r="F89" s="10" t="s">
        <v>694</v>
      </c>
      <c r="G89" s="10" t="s">
        <v>699</v>
      </c>
      <c r="H89" s="11">
        <v>13.933503836317131</v>
      </c>
      <c r="I89" s="11">
        <v>21.710415335463278</v>
      </c>
      <c r="J89" s="11">
        <v>20.043636363636367</v>
      </c>
      <c r="K89" s="11">
        <v>13.887640449438218</v>
      </c>
      <c r="L89" s="11">
        <v>4.6089743589743497</v>
      </c>
      <c r="M89" s="11">
        <v>13.900293255131929</v>
      </c>
      <c r="N89" s="11">
        <v>9.2950819672131182</v>
      </c>
      <c r="O89" s="11">
        <v>9.2490118577075169</v>
      </c>
      <c r="P89" s="11">
        <v>10.42826086956522</v>
      </c>
      <c r="Q89" s="11">
        <v>4.6284501061571088</v>
      </c>
      <c r="R89" s="11">
        <v>6.9513742071881595</v>
      </c>
      <c r="S89" s="11">
        <v>9.2318840579710155</v>
      </c>
      <c r="T89" s="11">
        <v>7</v>
      </c>
      <c r="U89" s="11">
        <v>12</v>
      </c>
      <c r="V89" s="11">
        <v>9</v>
      </c>
      <c r="W89" s="11">
        <v>1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 t="s">
        <v>403</v>
      </c>
      <c r="AE89" s="11" t="s">
        <v>403</v>
      </c>
      <c r="AF89" s="18">
        <f t="shared" si="13"/>
        <v>0.50238619676945684</v>
      </c>
      <c r="AG89" s="18">
        <f t="shared" si="13"/>
        <v>0.55273009818464314</v>
      </c>
      <c r="AH89" s="18">
        <f t="shared" si="13"/>
        <v>0.44902031930333808</v>
      </c>
      <c r="AI89" s="18">
        <f t="shared" si="12"/>
        <v>7.2006472491909307E-2</v>
      </c>
      <c r="AJ89" s="18">
        <f t="shared" si="12"/>
        <v>0</v>
      </c>
      <c r="AK89" s="18">
        <f t="shared" si="12"/>
        <v>0</v>
      </c>
      <c r="AL89" s="18">
        <f t="shared" si="12"/>
        <v>0</v>
      </c>
      <c r="AM89" s="18">
        <f t="shared" si="12"/>
        <v>0</v>
      </c>
      <c r="AN89" s="18">
        <f t="shared" si="12"/>
        <v>0</v>
      </c>
      <c r="AO89" s="18">
        <f t="shared" si="12"/>
        <v>0</v>
      </c>
      <c r="AP89" s="18">
        <f t="shared" si="12"/>
        <v>0</v>
      </c>
      <c r="AQ89" s="18">
        <f t="shared" si="12"/>
        <v>0</v>
      </c>
    </row>
    <row r="90" spans="1:43" x14ac:dyDescent="0.3">
      <c r="A90" s="9" t="s">
        <v>183</v>
      </c>
      <c r="B90" s="10" t="s">
        <v>541</v>
      </c>
      <c r="C90" s="10" t="s">
        <v>118</v>
      </c>
      <c r="D90" s="10" t="s">
        <v>134</v>
      </c>
      <c r="E90" s="10" t="s">
        <v>704</v>
      </c>
      <c r="F90" s="10" t="s">
        <v>694</v>
      </c>
      <c r="G90" s="10" t="s">
        <v>698</v>
      </c>
      <c r="H90" s="11">
        <v>18.113554987212272</v>
      </c>
      <c r="I90" s="11">
        <v>25.050479233226859</v>
      </c>
      <c r="J90" s="11">
        <v>26.724848484848486</v>
      </c>
      <c r="K90" s="11">
        <v>20.831460674157327</v>
      </c>
      <c r="L90" s="11">
        <v>19.58814102564099</v>
      </c>
      <c r="M90" s="11">
        <v>22.008797653958887</v>
      </c>
      <c r="N90" s="11">
        <v>16.266393442622956</v>
      </c>
      <c r="O90" s="11">
        <v>18.498023715415034</v>
      </c>
      <c r="P90" s="11">
        <v>11.586956521739133</v>
      </c>
      <c r="Q90" s="11">
        <v>16.19957537154988</v>
      </c>
      <c r="R90" s="11">
        <v>17.378435517970399</v>
      </c>
      <c r="S90" s="11">
        <v>18.463768115942031</v>
      </c>
      <c r="T90" s="11">
        <v>15</v>
      </c>
      <c r="U90" s="11">
        <v>11</v>
      </c>
      <c r="V90" s="11">
        <v>15</v>
      </c>
      <c r="W90" s="11">
        <v>3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 t="s">
        <v>403</v>
      </c>
      <c r="AE90" s="11" t="s">
        <v>403</v>
      </c>
      <c r="AF90" s="18">
        <f t="shared" si="13"/>
        <v>0.82810911555404965</v>
      </c>
      <c r="AG90" s="18">
        <f t="shared" si="13"/>
        <v>0.43911335578002203</v>
      </c>
      <c r="AH90" s="18">
        <f t="shared" si="13"/>
        <v>0.56127539912917268</v>
      </c>
      <c r="AI90" s="18">
        <f t="shared" si="12"/>
        <v>0.14401294498381861</v>
      </c>
      <c r="AJ90" s="18">
        <f t="shared" si="12"/>
        <v>0</v>
      </c>
      <c r="AK90" s="18">
        <f t="shared" si="12"/>
        <v>0</v>
      </c>
      <c r="AL90" s="18">
        <f t="shared" ref="AL90:AQ153" si="14">IFERROR(Z90/N90,0)</f>
        <v>0</v>
      </c>
      <c r="AM90" s="18">
        <f t="shared" si="14"/>
        <v>0</v>
      </c>
      <c r="AN90" s="18">
        <f t="shared" si="14"/>
        <v>0</v>
      </c>
      <c r="AO90" s="18">
        <f t="shared" si="14"/>
        <v>0</v>
      </c>
      <c r="AP90" s="18">
        <f t="shared" si="14"/>
        <v>0</v>
      </c>
      <c r="AQ90" s="18">
        <f t="shared" si="14"/>
        <v>0</v>
      </c>
    </row>
    <row r="91" spans="1:43" x14ac:dyDescent="0.3">
      <c r="A91" s="9" t="s">
        <v>177</v>
      </c>
      <c r="B91" s="10" t="s">
        <v>535</v>
      </c>
      <c r="C91" s="10" t="s">
        <v>118</v>
      </c>
      <c r="D91" s="10" t="s">
        <v>134</v>
      </c>
      <c r="E91" s="10" t="s">
        <v>704</v>
      </c>
      <c r="F91" s="10" t="s">
        <v>694</v>
      </c>
      <c r="G91" s="10" t="s">
        <v>695</v>
      </c>
      <c r="H91" s="11">
        <v>1.3933503836317132</v>
      </c>
      <c r="I91" s="11">
        <v>8.3501597444089537</v>
      </c>
      <c r="J91" s="11">
        <v>1.6703030303030304</v>
      </c>
      <c r="K91" s="11">
        <v>3.4719101123595544</v>
      </c>
      <c r="L91" s="11">
        <v>1.1522435897435874</v>
      </c>
      <c r="M91" s="11">
        <v>4.6334310850439762</v>
      </c>
      <c r="N91" s="11">
        <v>0</v>
      </c>
      <c r="O91" s="11">
        <v>3.4683794466403186</v>
      </c>
      <c r="P91" s="11">
        <v>2.3173913043478267</v>
      </c>
      <c r="Q91" s="11">
        <v>5.7855626326963856</v>
      </c>
      <c r="R91" s="11">
        <v>1.1585623678646932</v>
      </c>
      <c r="S91" s="11">
        <v>1.1539855072463769</v>
      </c>
      <c r="T91" s="11">
        <v>4</v>
      </c>
      <c r="U91" s="11">
        <v>3</v>
      </c>
      <c r="V91" s="11">
        <v>3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 t="s">
        <v>403</v>
      </c>
      <c r="AE91" s="11" t="s">
        <v>403</v>
      </c>
      <c r="AF91" s="18">
        <f t="shared" si="13"/>
        <v>2.870778267254039</v>
      </c>
      <c r="AG91" s="18">
        <f t="shared" si="13"/>
        <v>0.35927456382001804</v>
      </c>
      <c r="AH91" s="18">
        <f t="shared" si="13"/>
        <v>1.7960812772133525</v>
      </c>
      <c r="AI91" s="18">
        <f t="shared" si="13"/>
        <v>0</v>
      </c>
      <c r="AJ91" s="18">
        <f t="shared" si="13"/>
        <v>0</v>
      </c>
      <c r="AK91" s="18">
        <f t="shared" si="13"/>
        <v>0</v>
      </c>
      <c r="AL91" s="18">
        <f t="shared" si="14"/>
        <v>0</v>
      </c>
      <c r="AM91" s="18">
        <f t="shared" si="14"/>
        <v>0</v>
      </c>
      <c r="AN91" s="18">
        <f t="shared" si="14"/>
        <v>0</v>
      </c>
      <c r="AO91" s="18">
        <f t="shared" si="14"/>
        <v>0</v>
      </c>
      <c r="AP91" s="18">
        <f t="shared" si="14"/>
        <v>0</v>
      </c>
      <c r="AQ91" s="18">
        <f t="shared" si="14"/>
        <v>0</v>
      </c>
    </row>
    <row r="92" spans="1:43" x14ac:dyDescent="0.3">
      <c r="A92" s="9" t="s">
        <v>228</v>
      </c>
      <c r="B92" s="10" t="s">
        <v>586</v>
      </c>
      <c r="C92" s="10" t="s">
        <v>118</v>
      </c>
      <c r="D92" s="10" t="s">
        <v>134</v>
      </c>
      <c r="E92" s="10" t="s">
        <v>704</v>
      </c>
      <c r="F92" s="10" t="s">
        <v>694</v>
      </c>
      <c r="G92" s="10" t="s">
        <v>698</v>
      </c>
      <c r="H92" s="11">
        <v>0</v>
      </c>
      <c r="I92" s="11">
        <v>0</v>
      </c>
      <c r="J92" s="11">
        <v>1.6703030303030304</v>
      </c>
      <c r="K92" s="11">
        <v>0</v>
      </c>
      <c r="L92" s="11">
        <v>0</v>
      </c>
      <c r="M92" s="11">
        <v>0</v>
      </c>
      <c r="N92" s="11">
        <v>2.3237704918032795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 t="s">
        <v>403</v>
      </c>
      <c r="U92" s="11" t="s">
        <v>403</v>
      </c>
      <c r="V92" s="11" t="s">
        <v>403</v>
      </c>
      <c r="W92" s="11" t="s">
        <v>403</v>
      </c>
      <c r="X92" s="11" t="s">
        <v>403</v>
      </c>
      <c r="Y92" s="11" t="s">
        <v>403</v>
      </c>
      <c r="Z92" s="11" t="s">
        <v>403</v>
      </c>
      <c r="AA92" s="11" t="s">
        <v>403</v>
      </c>
      <c r="AB92" s="11" t="s">
        <v>403</v>
      </c>
      <c r="AC92" s="11" t="s">
        <v>403</v>
      </c>
      <c r="AD92" s="11" t="s">
        <v>403</v>
      </c>
      <c r="AE92" s="11" t="s">
        <v>403</v>
      </c>
      <c r="AF92" s="18">
        <f t="shared" si="13"/>
        <v>0</v>
      </c>
      <c r="AG92" s="18">
        <f t="shared" si="13"/>
        <v>0</v>
      </c>
      <c r="AH92" s="18">
        <f t="shared" si="13"/>
        <v>0</v>
      </c>
      <c r="AI92" s="18">
        <f t="shared" si="13"/>
        <v>0</v>
      </c>
      <c r="AJ92" s="18">
        <f t="shared" si="13"/>
        <v>0</v>
      </c>
      <c r="AK92" s="18">
        <f t="shared" si="13"/>
        <v>0</v>
      </c>
      <c r="AL92" s="18">
        <f t="shared" si="14"/>
        <v>0</v>
      </c>
      <c r="AM92" s="18">
        <f t="shared" si="14"/>
        <v>0</v>
      </c>
      <c r="AN92" s="18">
        <f t="shared" si="14"/>
        <v>0</v>
      </c>
      <c r="AO92" s="18">
        <f t="shared" si="14"/>
        <v>0</v>
      </c>
      <c r="AP92" s="18">
        <f t="shared" si="14"/>
        <v>0</v>
      </c>
      <c r="AQ92" s="18">
        <f t="shared" si="14"/>
        <v>0</v>
      </c>
    </row>
    <row r="93" spans="1:43" x14ac:dyDescent="0.3">
      <c r="A93" s="9" t="s">
        <v>373</v>
      </c>
      <c r="B93" s="10" t="s">
        <v>683</v>
      </c>
      <c r="C93" s="10" t="s">
        <v>118</v>
      </c>
      <c r="D93" s="10" t="s">
        <v>134</v>
      </c>
      <c r="E93" s="10" t="s">
        <v>704</v>
      </c>
      <c r="F93" s="10" t="s">
        <v>701</v>
      </c>
      <c r="G93" s="10" t="s">
        <v>700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 t="s">
        <v>403</v>
      </c>
      <c r="U93" s="11" t="s">
        <v>403</v>
      </c>
      <c r="V93" s="11" t="s">
        <v>403</v>
      </c>
      <c r="W93" s="11" t="s">
        <v>403</v>
      </c>
      <c r="X93" s="11" t="s">
        <v>403</v>
      </c>
      <c r="Y93" s="11" t="s">
        <v>403</v>
      </c>
      <c r="Z93" s="11" t="s">
        <v>403</v>
      </c>
      <c r="AA93" s="11" t="s">
        <v>403</v>
      </c>
      <c r="AB93" s="11" t="s">
        <v>403</v>
      </c>
      <c r="AC93" s="11" t="s">
        <v>403</v>
      </c>
      <c r="AD93" s="11" t="s">
        <v>403</v>
      </c>
      <c r="AE93" s="11" t="s">
        <v>403</v>
      </c>
      <c r="AF93" s="18">
        <f t="shared" si="13"/>
        <v>0</v>
      </c>
      <c r="AG93" s="18">
        <f t="shared" si="13"/>
        <v>0</v>
      </c>
      <c r="AH93" s="18">
        <f t="shared" si="13"/>
        <v>0</v>
      </c>
      <c r="AI93" s="18">
        <f t="shared" si="13"/>
        <v>0</v>
      </c>
      <c r="AJ93" s="18">
        <f t="shared" si="13"/>
        <v>0</v>
      </c>
      <c r="AK93" s="18">
        <f t="shared" si="13"/>
        <v>0</v>
      </c>
      <c r="AL93" s="18">
        <f t="shared" si="14"/>
        <v>0</v>
      </c>
      <c r="AM93" s="18">
        <f t="shared" si="14"/>
        <v>0</v>
      </c>
      <c r="AN93" s="18">
        <f t="shared" si="14"/>
        <v>0</v>
      </c>
      <c r="AO93" s="18">
        <f t="shared" si="14"/>
        <v>0</v>
      </c>
      <c r="AP93" s="18">
        <f t="shared" si="14"/>
        <v>0</v>
      </c>
      <c r="AQ93" s="18">
        <f t="shared" si="14"/>
        <v>0</v>
      </c>
    </row>
    <row r="94" spans="1:43" x14ac:dyDescent="0.3">
      <c r="A94" s="9" t="s">
        <v>188</v>
      </c>
      <c r="B94" s="10" t="s">
        <v>546</v>
      </c>
      <c r="C94" s="10" t="s">
        <v>118</v>
      </c>
      <c r="D94" s="10" t="s">
        <v>134</v>
      </c>
      <c r="E94" s="10" t="s">
        <v>704</v>
      </c>
      <c r="F94" s="10" t="s">
        <v>694</v>
      </c>
      <c r="G94" s="10" t="s">
        <v>700</v>
      </c>
      <c r="H94" s="11">
        <v>0</v>
      </c>
      <c r="I94" s="11">
        <v>0</v>
      </c>
      <c r="J94" s="11">
        <v>0</v>
      </c>
      <c r="K94" s="11">
        <v>1.1573033707865181</v>
      </c>
      <c r="L94" s="11">
        <v>0</v>
      </c>
      <c r="M94" s="11">
        <v>0</v>
      </c>
      <c r="N94" s="11">
        <v>1.1618852459016398</v>
      </c>
      <c r="O94" s="11">
        <v>0</v>
      </c>
      <c r="P94" s="11">
        <v>1.1586956521739133</v>
      </c>
      <c r="Q94" s="11">
        <v>0</v>
      </c>
      <c r="R94" s="11">
        <v>3.4756871035940797</v>
      </c>
      <c r="S94" s="11">
        <v>0</v>
      </c>
      <c r="T94" s="11">
        <v>1</v>
      </c>
      <c r="U94" s="11">
        <v>0</v>
      </c>
      <c r="V94" s="11">
        <v>2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 t="s">
        <v>403</v>
      </c>
      <c r="AE94" s="11" t="s">
        <v>403</v>
      </c>
      <c r="AF94" s="18">
        <f t="shared" si="13"/>
        <v>0</v>
      </c>
      <c r="AG94" s="18">
        <f t="shared" si="13"/>
        <v>0</v>
      </c>
      <c r="AH94" s="18">
        <f t="shared" si="13"/>
        <v>0</v>
      </c>
      <c r="AI94" s="18">
        <f t="shared" si="13"/>
        <v>0</v>
      </c>
      <c r="AJ94" s="18">
        <f t="shared" si="13"/>
        <v>0</v>
      </c>
      <c r="AK94" s="18">
        <f t="shared" si="13"/>
        <v>0</v>
      </c>
      <c r="AL94" s="18">
        <f t="shared" si="14"/>
        <v>0</v>
      </c>
      <c r="AM94" s="18">
        <f t="shared" si="14"/>
        <v>0</v>
      </c>
      <c r="AN94" s="18">
        <f t="shared" si="14"/>
        <v>0</v>
      </c>
      <c r="AO94" s="18">
        <f t="shared" si="14"/>
        <v>0</v>
      </c>
      <c r="AP94" s="18">
        <f t="shared" si="14"/>
        <v>0</v>
      </c>
      <c r="AQ94" s="18">
        <f t="shared" si="14"/>
        <v>0</v>
      </c>
    </row>
    <row r="95" spans="1:43" x14ac:dyDescent="0.3">
      <c r="A95" s="9" t="s">
        <v>192</v>
      </c>
      <c r="B95" s="10" t="s">
        <v>550</v>
      </c>
      <c r="C95" s="10" t="s">
        <v>118</v>
      </c>
      <c r="D95" s="10" t="s">
        <v>134</v>
      </c>
      <c r="E95" s="10" t="s">
        <v>704</v>
      </c>
      <c r="F95" s="10" t="s">
        <v>694</v>
      </c>
      <c r="G95" s="10" t="s">
        <v>699</v>
      </c>
      <c r="H95" s="11">
        <v>6.9667519181585655</v>
      </c>
      <c r="I95" s="11">
        <v>10.020191693290744</v>
      </c>
      <c r="J95" s="11">
        <v>8.3515151515151516</v>
      </c>
      <c r="K95" s="11">
        <v>9.258426966292145</v>
      </c>
      <c r="L95" s="11">
        <v>3.4567307692307629</v>
      </c>
      <c r="M95" s="11">
        <v>6.9501466275659647</v>
      </c>
      <c r="N95" s="11">
        <v>4.6475409836065591</v>
      </c>
      <c r="O95" s="11">
        <v>3.4683794466403186</v>
      </c>
      <c r="P95" s="11">
        <v>5.7934782608695663</v>
      </c>
      <c r="Q95" s="11">
        <v>2.3142250530785544</v>
      </c>
      <c r="R95" s="11">
        <v>9.2684989429175459</v>
      </c>
      <c r="S95" s="11">
        <v>8.0778985507246404</v>
      </c>
      <c r="T95" s="11">
        <v>5</v>
      </c>
      <c r="U95" s="11">
        <v>6</v>
      </c>
      <c r="V95" s="11">
        <v>8</v>
      </c>
      <c r="W95" s="11">
        <v>1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 t="s">
        <v>403</v>
      </c>
      <c r="AE95" s="11" t="s">
        <v>403</v>
      </c>
      <c r="AF95" s="18">
        <f t="shared" si="13"/>
        <v>0.71769456681350974</v>
      </c>
      <c r="AG95" s="18">
        <f t="shared" si="13"/>
        <v>0.59879093970003006</v>
      </c>
      <c r="AH95" s="18">
        <f t="shared" si="13"/>
        <v>0.9579100145137881</v>
      </c>
      <c r="AI95" s="18">
        <f t="shared" si="13"/>
        <v>0.10800970873786396</v>
      </c>
      <c r="AJ95" s="18">
        <f t="shared" si="13"/>
        <v>0</v>
      </c>
      <c r="AK95" s="18">
        <f t="shared" si="13"/>
        <v>0</v>
      </c>
      <c r="AL95" s="18">
        <f t="shared" si="14"/>
        <v>0</v>
      </c>
      <c r="AM95" s="18">
        <f t="shared" si="14"/>
        <v>0</v>
      </c>
      <c r="AN95" s="18">
        <f t="shared" si="14"/>
        <v>0</v>
      </c>
      <c r="AO95" s="18">
        <f t="shared" si="14"/>
        <v>0</v>
      </c>
      <c r="AP95" s="18">
        <f t="shared" si="14"/>
        <v>0</v>
      </c>
      <c r="AQ95" s="18">
        <f t="shared" si="14"/>
        <v>0</v>
      </c>
    </row>
    <row r="96" spans="1:43" x14ac:dyDescent="0.3">
      <c r="A96" s="9" t="s">
        <v>190</v>
      </c>
      <c r="B96" s="10" t="s">
        <v>548</v>
      </c>
      <c r="C96" s="10" t="s">
        <v>118</v>
      </c>
      <c r="D96" s="10" t="s">
        <v>134</v>
      </c>
      <c r="E96" s="10" t="s">
        <v>704</v>
      </c>
      <c r="F96" s="10" t="s">
        <v>694</v>
      </c>
      <c r="G96" s="10" t="s">
        <v>699</v>
      </c>
      <c r="H96" s="11">
        <v>2.7867007672634263</v>
      </c>
      <c r="I96" s="11">
        <v>1.6700319488817905</v>
      </c>
      <c r="J96" s="11">
        <v>3.3406060606060608</v>
      </c>
      <c r="K96" s="11">
        <v>0</v>
      </c>
      <c r="L96" s="11">
        <v>1.1522435897435874</v>
      </c>
      <c r="M96" s="11">
        <v>1.158357771260994</v>
      </c>
      <c r="N96" s="11">
        <v>2.3237704918032795</v>
      </c>
      <c r="O96" s="11">
        <v>1.1561264822134396</v>
      </c>
      <c r="P96" s="11">
        <v>2.3173913043478267</v>
      </c>
      <c r="Q96" s="11">
        <v>2.3142250530785544</v>
      </c>
      <c r="R96" s="11">
        <v>0</v>
      </c>
      <c r="S96" s="11">
        <v>1.1539855072463769</v>
      </c>
      <c r="T96" s="11">
        <v>1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 t="s">
        <v>403</v>
      </c>
      <c r="AE96" s="11" t="s">
        <v>403</v>
      </c>
      <c r="AF96" s="18">
        <f t="shared" si="13"/>
        <v>0.35884728340675487</v>
      </c>
      <c r="AG96" s="18">
        <f t="shared" si="13"/>
        <v>0</v>
      </c>
      <c r="AH96" s="18">
        <f t="shared" si="13"/>
        <v>0</v>
      </c>
      <c r="AI96" s="18">
        <f t="shared" si="13"/>
        <v>0</v>
      </c>
      <c r="AJ96" s="18">
        <f t="shared" si="13"/>
        <v>0</v>
      </c>
      <c r="AK96" s="18">
        <f t="shared" si="13"/>
        <v>0</v>
      </c>
      <c r="AL96" s="18">
        <f t="shared" si="14"/>
        <v>0</v>
      </c>
      <c r="AM96" s="18">
        <f t="shared" si="14"/>
        <v>0</v>
      </c>
      <c r="AN96" s="18">
        <f t="shared" si="14"/>
        <v>0</v>
      </c>
      <c r="AO96" s="18">
        <f t="shared" si="14"/>
        <v>0</v>
      </c>
      <c r="AP96" s="18">
        <f t="shared" si="14"/>
        <v>0</v>
      </c>
      <c r="AQ96" s="18">
        <f t="shared" si="14"/>
        <v>0</v>
      </c>
    </row>
    <row r="97" spans="1:43" x14ac:dyDescent="0.3">
      <c r="A97" s="9" t="s">
        <v>191</v>
      </c>
      <c r="B97" s="10" t="s">
        <v>549</v>
      </c>
      <c r="C97" s="10" t="s">
        <v>118</v>
      </c>
      <c r="D97" s="10" t="s">
        <v>128</v>
      </c>
      <c r="E97" s="10" t="s">
        <v>704</v>
      </c>
      <c r="F97" s="10" t="s">
        <v>694</v>
      </c>
      <c r="G97" s="10" t="s">
        <v>698</v>
      </c>
      <c r="H97" s="11">
        <v>2.7867007672634263</v>
      </c>
      <c r="I97" s="11">
        <v>1.6700319488817905</v>
      </c>
      <c r="J97" s="11">
        <v>0</v>
      </c>
      <c r="K97" s="11">
        <v>2.3146067415730363</v>
      </c>
      <c r="L97" s="11">
        <v>1.1522435897435874</v>
      </c>
      <c r="M97" s="11">
        <v>1.158357771260994</v>
      </c>
      <c r="N97" s="11">
        <v>2.3237704918032795</v>
      </c>
      <c r="O97" s="11">
        <v>3.4683794466403186</v>
      </c>
      <c r="P97" s="11">
        <v>0</v>
      </c>
      <c r="Q97" s="11">
        <v>1.1571125265392772</v>
      </c>
      <c r="R97" s="11">
        <v>1.1585623678646932</v>
      </c>
      <c r="S97" s="11">
        <v>3.4619565217391308</v>
      </c>
      <c r="T97" s="11" t="s">
        <v>403</v>
      </c>
      <c r="U97" s="11" t="s">
        <v>403</v>
      </c>
      <c r="V97" s="11" t="s">
        <v>403</v>
      </c>
      <c r="W97" s="11" t="s">
        <v>403</v>
      </c>
      <c r="X97" s="11" t="s">
        <v>403</v>
      </c>
      <c r="Y97" s="11" t="s">
        <v>403</v>
      </c>
      <c r="Z97" s="11" t="s">
        <v>403</v>
      </c>
      <c r="AA97" s="11" t="s">
        <v>403</v>
      </c>
      <c r="AB97" s="11" t="s">
        <v>403</v>
      </c>
      <c r="AC97" s="11" t="s">
        <v>403</v>
      </c>
      <c r="AD97" s="11" t="s">
        <v>403</v>
      </c>
      <c r="AE97" s="11" t="s">
        <v>403</v>
      </c>
      <c r="AF97" s="18">
        <f t="shared" si="13"/>
        <v>0</v>
      </c>
      <c r="AG97" s="18">
        <f t="shared" si="13"/>
        <v>0</v>
      </c>
      <c r="AH97" s="18">
        <f t="shared" si="13"/>
        <v>0</v>
      </c>
      <c r="AI97" s="18">
        <f t="shared" si="13"/>
        <v>0</v>
      </c>
      <c r="AJ97" s="18">
        <f t="shared" si="13"/>
        <v>0</v>
      </c>
      <c r="AK97" s="18">
        <f t="shared" si="13"/>
        <v>0</v>
      </c>
      <c r="AL97" s="18">
        <f t="shared" si="14"/>
        <v>0</v>
      </c>
      <c r="AM97" s="18">
        <f t="shared" si="14"/>
        <v>0</v>
      </c>
      <c r="AN97" s="18">
        <f t="shared" si="14"/>
        <v>0</v>
      </c>
      <c r="AO97" s="18">
        <f t="shared" si="14"/>
        <v>0</v>
      </c>
      <c r="AP97" s="18">
        <f t="shared" si="14"/>
        <v>0</v>
      </c>
      <c r="AQ97" s="18">
        <f t="shared" si="14"/>
        <v>0</v>
      </c>
    </row>
    <row r="98" spans="1:43" x14ac:dyDescent="0.3">
      <c r="A98" s="9" t="s">
        <v>249</v>
      </c>
      <c r="B98" s="10" t="s">
        <v>604</v>
      </c>
      <c r="C98" s="10" t="s">
        <v>22</v>
      </c>
      <c r="D98" s="10" t="s">
        <v>48</v>
      </c>
      <c r="E98" s="10" t="s">
        <v>707</v>
      </c>
      <c r="F98" s="10" t="s">
        <v>694</v>
      </c>
      <c r="G98" s="10" t="s">
        <v>699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 t="s">
        <v>403</v>
      </c>
      <c r="U98" s="11" t="s">
        <v>403</v>
      </c>
      <c r="V98" s="11" t="s">
        <v>403</v>
      </c>
      <c r="W98" s="11" t="s">
        <v>403</v>
      </c>
      <c r="X98" s="11" t="s">
        <v>403</v>
      </c>
      <c r="Y98" s="11" t="s">
        <v>403</v>
      </c>
      <c r="Z98" s="11" t="s">
        <v>403</v>
      </c>
      <c r="AA98" s="11" t="s">
        <v>403</v>
      </c>
      <c r="AB98" s="11" t="s">
        <v>403</v>
      </c>
      <c r="AC98" s="11" t="s">
        <v>403</v>
      </c>
      <c r="AD98" s="11" t="s">
        <v>403</v>
      </c>
      <c r="AE98" s="11" t="s">
        <v>403</v>
      </c>
      <c r="AF98" s="18">
        <f t="shared" si="13"/>
        <v>0</v>
      </c>
      <c r="AG98" s="18">
        <f t="shared" si="13"/>
        <v>0</v>
      </c>
      <c r="AH98" s="18">
        <f t="shared" si="13"/>
        <v>0</v>
      </c>
      <c r="AI98" s="18">
        <f t="shared" si="13"/>
        <v>0</v>
      </c>
      <c r="AJ98" s="18">
        <f t="shared" si="13"/>
        <v>0</v>
      </c>
      <c r="AK98" s="18">
        <f t="shared" si="13"/>
        <v>0</v>
      </c>
      <c r="AL98" s="18">
        <f t="shared" si="14"/>
        <v>0</v>
      </c>
      <c r="AM98" s="18">
        <f t="shared" si="14"/>
        <v>0</v>
      </c>
      <c r="AN98" s="18">
        <f t="shared" si="14"/>
        <v>0</v>
      </c>
      <c r="AO98" s="18">
        <f t="shared" si="14"/>
        <v>0</v>
      </c>
      <c r="AP98" s="18">
        <f t="shared" si="14"/>
        <v>0</v>
      </c>
      <c r="AQ98" s="18">
        <f t="shared" si="14"/>
        <v>0</v>
      </c>
    </row>
    <row r="99" spans="1:43" x14ac:dyDescent="0.3">
      <c r="A99" s="9" t="s">
        <v>253</v>
      </c>
      <c r="B99" s="10" t="s">
        <v>608</v>
      </c>
      <c r="C99" s="10" t="s">
        <v>22</v>
      </c>
      <c r="D99" s="10" t="s">
        <v>28</v>
      </c>
      <c r="E99" s="10" t="s">
        <v>707</v>
      </c>
      <c r="F99" s="10" t="s">
        <v>694</v>
      </c>
      <c r="G99" s="10" t="s">
        <v>695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 t="s">
        <v>403</v>
      </c>
      <c r="U99" s="11" t="s">
        <v>403</v>
      </c>
      <c r="V99" s="11" t="s">
        <v>403</v>
      </c>
      <c r="W99" s="11" t="s">
        <v>403</v>
      </c>
      <c r="X99" s="11" t="s">
        <v>403</v>
      </c>
      <c r="Y99" s="11" t="s">
        <v>403</v>
      </c>
      <c r="Z99" s="11" t="s">
        <v>403</v>
      </c>
      <c r="AA99" s="11" t="s">
        <v>403</v>
      </c>
      <c r="AB99" s="11" t="s">
        <v>403</v>
      </c>
      <c r="AC99" s="11" t="s">
        <v>403</v>
      </c>
      <c r="AD99" s="11" t="s">
        <v>403</v>
      </c>
      <c r="AE99" s="11" t="s">
        <v>403</v>
      </c>
      <c r="AF99" s="18">
        <f t="shared" si="13"/>
        <v>0</v>
      </c>
      <c r="AG99" s="18">
        <f t="shared" si="13"/>
        <v>0</v>
      </c>
      <c r="AH99" s="18">
        <f t="shared" si="13"/>
        <v>0</v>
      </c>
      <c r="AI99" s="18">
        <f t="shared" si="13"/>
        <v>0</v>
      </c>
      <c r="AJ99" s="18">
        <f t="shared" si="13"/>
        <v>0</v>
      </c>
      <c r="AK99" s="18">
        <f t="shared" si="13"/>
        <v>0</v>
      </c>
      <c r="AL99" s="18">
        <f t="shared" si="14"/>
        <v>0</v>
      </c>
      <c r="AM99" s="18">
        <f t="shared" si="14"/>
        <v>0</v>
      </c>
      <c r="AN99" s="18">
        <f t="shared" si="14"/>
        <v>0</v>
      </c>
      <c r="AO99" s="18">
        <f t="shared" si="14"/>
        <v>0</v>
      </c>
      <c r="AP99" s="18">
        <f t="shared" si="14"/>
        <v>0</v>
      </c>
      <c r="AQ99" s="18">
        <f t="shared" si="14"/>
        <v>0</v>
      </c>
    </row>
    <row r="100" spans="1:43" x14ac:dyDescent="0.3">
      <c r="A100" s="9" t="s">
        <v>374</v>
      </c>
      <c r="B100" s="10" t="s">
        <v>684</v>
      </c>
      <c r="C100" s="10" t="s">
        <v>20</v>
      </c>
      <c r="D100" s="10" t="s">
        <v>36</v>
      </c>
      <c r="E100" s="10" t="s">
        <v>708</v>
      </c>
      <c r="F100" s="10" t="s">
        <v>701</v>
      </c>
      <c r="G100" s="10" t="s">
        <v>697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 t="s">
        <v>403</v>
      </c>
      <c r="U100" s="11" t="s">
        <v>403</v>
      </c>
      <c r="V100" s="11" t="s">
        <v>403</v>
      </c>
      <c r="W100" s="11" t="s">
        <v>403</v>
      </c>
      <c r="X100" s="11" t="s">
        <v>403</v>
      </c>
      <c r="Y100" s="11" t="s">
        <v>403</v>
      </c>
      <c r="Z100" s="11" t="s">
        <v>403</v>
      </c>
      <c r="AA100" s="11" t="s">
        <v>403</v>
      </c>
      <c r="AB100" s="11" t="s">
        <v>403</v>
      </c>
      <c r="AC100" s="11" t="s">
        <v>403</v>
      </c>
      <c r="AD100" s="11" t="s">
        <v>403</v>
      </c>
      <c r="AE100" s="11" t="s">
        <v>403</v>
      </c>
      <c r="AF100" s="18">
        <f t="shared" si="13"/>
        <v>0</v>
      </c>
      <c r="AG100" s="18">
        <f t="shared" si="13"/>
        <v>0</v>
      </c>
      <c r="AH100" s="18">
        <f t="shared" si="13"/>
        <v>0</v>
      </c>
      <c r="AI100" s="18">
        <f t="shared" si="13"/>
        <v>0</v>
      </c>
      <c r="AJ100" s="18">
        <f t="shared" si="13"/>
        <v>0</v>
      </c>
      <c r="AK100" s="18">
        <f t="shared" si="13"/>
        <v>0</v>
      </c>
      <c r="AL100" s="18">
        <f t="shared" si="14"/>
        <v>0</v>
      </c>
      <c r="AM100" s="18">
        <f t="shared" si="14"/>
        <v>0</v>
      </c>
      <c r="AN100" s="18">
        <f t="shared" si="14"/>
        <v>0</v>
      </c>
      <c r="AO100" s="18">
        <f t="shared" si="14"/>
        <v>0</v>
      </c>
      <c r="AP100" s="18">
        <f t="shared" si="14"/>
        <v>0</v>
      </c>
      <c r="AQ100" s="18">
        <f t="shared" si="14"/>
        <v>0</v>
      </c>
    </row>
    <row r="101" spans="1:43" x14ac:dyDescent="0.3">
      <c r="A101" s="9" t="s">
        <v>159</v>
      </c>
      <c r="B101" s="10" t="s">
        <v>517</v>
      </c>
      <c r="C101" s="10" t="s">
        <v>20</v>
      </c>
      <c r="D101" s="10" t="s">
        <v>34</v>
      </c>
      <c r="E101" s="10" t="s">
        <v>693</v>
      </c>
      <c r="F101" s="10" t="s">
        <v>694</v>
      </c>
      <c r="G101" s="10" t="s">
        <v>697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1.3081632653061233</v>
      </c>
      <c r="R101" s="11">
        <v>1.3244781783681114</v>
      </c>
      <c r="S101" s="11">
        <v>0</v>
      </c>
      <c r="T101" s="11" t="s">
        <v>403</v>
      </c>
      <c r="U101" s="11" t="s">
        <v>403</v>
      </c>
      <c r="V101" s="11" t="s">
        <v>403</v>
      </c>
      <c r="W101" s="11" t="s">
        <v>403</v>
      </c>
      <c r="X101" s="11" t="s">
        <v>403</v>
      </c>
      <c r="Y101" s="11" t="s">
        <v>403</v>
      </c>
      <c r="Z101" s="11" t="s">
        <v>403</v>
      </c>
      <c r="AA101" s="11" t="s">
        <v>403</v>
      </c>
      <c r="AB101" s="11" t="s">
        <v>403</v>
      </c>
      <c r="AC101" s="11" t="s">
        <v>403</v>
      </c>
      <c r="AD101" s="11" t="s">
        <v>403</v>
      </c>
      <c r="AE101" s="11" t="s">
        <v>403</v>
      </c>
      <c r="AF101" s="18">
        <f t="shared" si="13"/>
        <v>0</v>
      </c>
      <c r="AG101" s="18">
        <f t="shared" si="13"/>
        <v>0</v>
      </c>
      <c r="AH101" s="18">
        <f t="shared" si="13"/>
        <v>0</v>
      </c>
      <c r="AI101" s="18">
        <f t="shared" si="13"/>
        <v>0</v>
      </c>
      <c r="AJ101" s="18">
        <f t="shared" si="13"/>
        <v>0</v>
      </c>
      <c r="AK101" s="18">
        <f t="shared" si="13"/>
        <v>0</v>
      </c>
      <c r="AL101" s="18">
        <f t="shared" si="14"/>
        <v>0</v>
      </c>
      <c r="AM101" s="18">
        <f t="shared" si="14"/>
        <v>0</v>
      </c>
      <c r="AN101" s="18">
        <f t="shared" si="14"/>
        <v>0</v>
      </c>
      <c r="AO101" s="18">
        <f t="shared" si="14"/>
        <v>0</v>
      </c>
      <c r="AP101" s="18">
        <f t="shared" si="14"/>
        <v>0</v>
      </c>
      <c r="AQ101" s="18">
        <f t="shared" si="14"/>
        <v>0</v>
      </c>
    </row>
    <row r="102" spans="1:43" x14ac:dyDescent="0.3">
      <c r="A102" s="9" t="s">
        <v>120</v>
      </c>
      <c r="B102" s="10" t="s">
        <v>487</v>
      </c>
      <c r="C102" s="10" t="s">
        <v>20</v>
      </c>
      <c r="D102" s="10" t="s">
        <v>36</v>
      </c>
      <c r="E102" s="10" t="s">
        <v>693</v>
      </c>
      <c r="F102" s="10" t="s">
        <v>694</v>
      </c>
      <c r="G102" s="10" t="s">
        <v>697</v>
      </c>
      <c r="H102" s="11">
        <v>4.6519480519480654</v>
      </c>
      <c r="I102" s="11">
        <v>3.8010152284263796</v>
      </c>
      <c r="J102" s="11">
        <v>0</v>
      </c>
      <c r="K102" s="11">
        <v>0</v>
      </c>
      <c r="L102" s="11">
        <v>0</v>
      </c>
      <c r="M102" s="11">
        <v>0</v>
      </c>
      <c r="N102" s="11">
        <v>1.3105590062111734</v>
      </c>
      <c r="O102" s="11">
        <v>2.7039337474120235</v>
      </c>
      <c r="P102" s="11">
        <v>0</v>
      </c>
      <c r="Q102" s="11">
        <v>0</v>
      </c>
      <c r="R102" s="11">
        <v>0</v>
      </c>
      <c r="S102" s="11">
        <v>1.3308957952467966</v>
      </c>
      <c r="T102" s="11">
        <v>1</v>
      </c>
      <c r="U102" s="11">
        <v>1</v>
      </c>
      <c r="V102" s="11">
        <v>2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 t="s">
        <v>403</v>
      </c>
      <c r="AE102" s="11" t="s">
        <v>403</v>
      </c>
      <c r="AF102" s="18">
        <f t="shared" si="13"/>
        <v>0.21496370742601836</v>
      </c>
      <c r="AG102" s="18">
        <f t="shared" si="13"/>
        <v>0.26308760683760796</v>
      </c>
      <c r="AH102" s="18">
        <f t="shared" si="13"/>
        <v>0</v>
      </c>
      <c r="AI102" s="18">
        <f t="shared" si="13"/>
        <v>0</v>
      </c>
      <c r="AJ102" s="18">
        <f t="shared" si="13"/>
        <v>0</v>
      </c>
      <c r="AK102" s="18">
        <f t="shared" si="13"/>
        <v>0</v>
      </c>
      <c r="AL102" s="18">
        <f t="shared" si="14"/>
        <v>0</v>
      </c>
      <c r="AM102" s="18">
        <f t="shared" si="14"/>
        <v>0</v>
      </c>
      <c r="AN102" s="18">
        <f t="shared" si="14"/>
        <v>0</v>
      </c>
      <c r="AO102" s="18">
        <f t="shared" si="14"/>
        <v>0</v>
      </c>
      <c r="AP102" s="18">
        <f t="shared" si="14"/>
        <v>0</v>
      </c>
      <c r="AQ102" s="18">
        <f t="shared" si="14"/>
        <v>0</v>
      </c>
    </row>
    <row r="103" spans="1:43" x14ac:dyDescent="0.3">
      <c r="A103" s="9" t="s">
        <v>33</v>
      </c>
      <c r="B103" s="10" t="s">
        <v>412</v>
      </c>
      <c r="C103" s="10" t="s">
        <v>20</v>
      </c>
      <c r="D103" s="10" t="s">
        <v>30</v>
      </c>
      <c r="E103" s="10" t="s">
        <v>693</v>
      </c>
      <c r="F103" s="10" t="s">
        <v>694</v>
      </c>
      <c r="G103" s="10" t="s">
        <v>696</v>
      </c>
      <c r="H103" s="11">
        <v>4.6519480519480654</v>
      </c>
      <c r="I103" s="11">
        <v>0</v>
      </c>
      <c r="J103" s="11">
        <v>0</v>
      </c>
      <c r="K103" s="11">
        <v>0</v>
      </c>
      <c r="L103" s="11">
        <v>0</v>
      </c>
      <c r="M103" s="11">
        <v>1.3522727272727368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1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 t="s">
        <v>403</v>
      </c>
      <c r="AE103" s="11" t="s">
        <v>403</v>
      </c>
      <c r="AF103" s="18">
        <f t="shared" si="13"/>
        <v>0.21496370742601836</v>
      </c>
      <c r="AG103" s="18">
        <f t="shared" si="13"/>
        <v>0</v>
      </c>
      <c r="AH103" s="18">
        <f t="shared" si="13"/>
        <v>0</v>
      </c>
      <c r="AI103" s="18">
        <f t="shared" si="13"/>
        <v>0</v>
      </c>
      <c r="AJ103" s="18">
        <f t="shared" si="13"/>
        <v>0</v>
      </c>
      <c r="AK103" s="18">
        <f t="shared" si="13"/>
        <v>0</v>
      </c>
      <c r="AL103" s="18">
        <f t="shared" si="14"/>
        <v>0</v>
      </c>
      <c r="AM103" s="18">
        <f t="shared" si="14"/>
        <v>0</v>
      </c>
      <c r="AN103" s="18">
        <f t="shared" si="14"/>
        <v>0</v>
      </c>
      <c r="AO103" s="18">
        <f t="shared" si="14"/>
        <v>0</v>
      </c>
      <c r="AP103" s="18">
        <f t="shared" si="14"/>
        <v>0</v>
      </c>
      <c r="AQ103" s="18">
        <f t="shared" si="14"/>
        <v>0</v>
      </c>
    </row>
    <row r="104" spans="1:43" x14ac:dyDescent="0.3">
      <c r="A104" s="9" t="s">
        <v>25</v>
      </c>
      <c r="B104" s="10" t="s">
        <v>407</v>
      </c>
      <c r="C104" s="10" t="s">
        <v>20</v>
      </c>
      <c r="D104" s="10" t="s">
        <v>32</v>
      </c>
      <c r="E104" s="10" t="s">
        <v>693</v>
      </c>
      <c r="F104" s="10" t="s">
        <v>694</v>
      </c>
      <c r="G104" s="10" t="s">
        <v>696</v>
      </c>
      <c r="H104" s="11">
        <v>0</v>
      </c>
      <c r="I104" s="11">
        <v>0</v>
      </c>
      <c r="J104" s="11">
        <v>3.8635376532399204</v>
      </c>
      <c r="K104" s="11">
        <v>0</v>
      </c>
      <c r="L104" s="11">
        <v>2.6062717770034793</v>
      </c>
      <c r="M104" s="11">
        <v>0</v>
      </c>
      <c r="N104" s="11">
        <v>1.3105590062111734</v>
      </c>
      <c r="O104" s="11">
        <v>0</v>
      </c>
      <c r="P104" s="11">
        <v>2.6050808314087663</v>
      </c>
      <c r="Q104" s="11">
        <v>1.3081632653061233</v>
      </c>
      <c r="R104" s="11">
        <v>2.6489563567362229</v>
      </c>
      <c r="S104" s="11">
        <v>1.3308957952467966</v>
      </c>
      <c r="T104" s="11">
        <v>2</v>
      </c>
      <c r="U104" s="11">
        <v>0</v>
      </c>
      <c r="V104" s="11">
        <v>1</v>
      </c>
      <c r="W104" s="11">
        <v>1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 t="s">
        <v>403</v>
      </c>
      <c r="AE104" s="11" t="s">
        <v>403</v>
      </c>
      <c r="AF104" s="18">
        <f t="shared" si="13"/>
        <v>0</v>
      </c>
      <c r="AG104" s="18">
        <f t="shared" si="13"/>
        <v>0</v>
      </c>
      <c r="AH104" s="18">
        <f t="shared" si="13"/>
        <v>0.25883014215259709</v>
      </c>
      <c r="AI104" s="18">
        <f t="shared" si="13"/>
        <v>0</v>
      </c>
      <c r="AJ104" s="18">
        <f t="shared" si="13"/>
        <v>0</v>
      </c>
      <c r="AK104" s="18">
        <f t="shared" si="13"/>
        <v>0</v>
      </c>
      <c r="AL104" s="18">
        <f t="shared" si="14"/>
        <v>0</v>
      </c>
      <c r="AM104" s="18">
        <f t="shared" si="14"/>
        <v>0</v>
      </c>
      <c r="AN104" s="18">
        <f t="shared" si="14"/>
        <v>0</v>
      </c>
      <c r="AO104" s="18">
        <f t="shared" si="14"/>
        <v>0</v>
      </c>
      <c r="AP104" s="18">
        <f t="shared" si="14"/>
        <v>0</v>
      </c>
      <c r="AQ104" s="18">
        <f t="shared" si="14"/>
        <v>0</v>
      </c>
    </row>
    <row r="105" spans="1:43" x14ac:dyDescent="0.3">
      <c r="A105" s="9" t="s">
        <v>119</v>
      </c>
      <c r="B105" s="10" t="s">
        <v>486</v>
      </c>
      <c r="C105" s="10" t="s">
        <v>20</v>
      </c>
      <c r="D105" s="10" t="s">
        <v>34</v>
      </c>
      <c r="E105" s="10" t="s">
        <v>693</v>
      </c>
      <c r="F105" s="10" t="s">
        <v>694</v>
      </c>
      <c r="G105" s="10" t="s">
        <v>697</v>
      </c>
      <c r="H105" s="11">
        <v>1.5506493506493551</v>
      </c>
      <c r="I105" s="11">
        <v>3.8010152284263796</v>
      </c>
      <c r="J105" s="11">
        <v>1.9317688266199602</v>
      </c>
      <c r="K105" s="11">
        <v>0</v>
      </c>
      <c r="L105" s="11">
        <v>0</v>
      </c>
      <c r="M105" s="11">
        <v>1.3522727272727368</v>
      </c>
      <c r="N105" s="11">
        <v>0</v>
      </c>
      <c r="O105" s="11">
        <v>1.3519668737060118</v>
      </c>
      <c r="P105" s="11">
        <v>0</v>
      </c>
      <c r="Q105" s="11">
        <v>1.3081632653061233</v>
      </c>
      <c r="R105" s="11">
        <v>1.3244781783681114</v>
      </c>
      <c r="S105" s="11">
        <v>0</v>
      </c>
      <c r="T105" s="11">
        <v>1</v>
      </c>
      <c r="U105" s="11">
        <v>0</v>
      </c>
      <c r="V105" s="11">
        <v>2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 t="s">
        <v>403</v>
      </c>
      <c r="AE105" s="11" t="s">
        <v>403</v>
      </c>
      <c r="AF105" s="18">
        <f t="shared" si="13"/>
        <v>0.64489112227805512</v>
      </c>
      <c r="AG105" s="18">
        <f t="shared" si="13"/>
        <v>0</v>
      </c>
      <c r="AH105" s="18">
        <f t="shared" si="13"/>
        <v>1.0353205686103883</v>
      </c>
      <c r="AI105" s="18">
        <f t="shared" si="13"/>
        <v>0</v>
      </c>
      <c r="AJ105" s="18">
        <f t="shared" si="13"/>
        <v>0</v>
      </c>
      <c r="AK105" s="18">
        <f t="shared" si="13"/>
        <v>0</v>
      </c>
      <c r="AL105" s="18">
        <f t="shared" si="14"/>
        <v>0</v>
      </c>
      <c r="AM105" s="18">
        <f t="shared" si="14"/>
        <v>0</v>
      </c>
      <c r="AN105" s="18">
        <f t="shared" si="14"/>
        <v>0</v>
      </c>
      <c r="AO105" s="18">
        <f t="shared" si="14"/>
        <v>0</v>
      </c>
      <c r="AP105" s="18">
        <f t="shared" si="14"/>
        <v>0</v>
      </c>
      <c r="AQ105" s="18">
        <f t="shared" si="14"/>
        <v>0</v>
      </c>
    </row>
    <row r="106" spans="1:43" x14ac:dyDescent="0.3">
      <c r="A106" s="9" t="s">
        <v>64</v>
      </c>
      <c r="B106" s="10" t="s">
        <v>435</v>
      </c>
      <c r="C106" s="10" t="s">
        <v>20</v>
      </c>
      <c r="D106" s="10" t="s">
        <v>34</v>
      </c>
      <c r="E106" s="10" t="s">
        <v>693</v>
      </c>
      <c r="F106" s="10" t="s">
        <v>694</v>
      </c>
      <c r="G106" s="10" t="s">
        <v>697</v>
      </c>
      <c r="H106" s="11">
        <v>4.6519480519480654</v>
      </c>
      <c r="I106" s="11">
        <v>3.8010152284263796</v>
      </c>
      <c r="J106" s="11">
        <v>3.8635376532399204</v>
      </c>
      <c r="K106" s="11">
        <v>3.8579234972677803</v>
      </c>
      <c r="L106" s="11">
        <v>1.3031358885017397</v>
      </c>
      <c r="M106" s="11">
        <v>1.3522727272727368</v>
      </c>
      <c r="N106" s="11">
        <v>1.3105590062111734</v>
      </c>
      <c r="O106" s="11">
        <v>1.3519668737060118</v>
      </c>
      <c r="P106" s="11">
        <v>0</v>
      </c>
      <c r="Q106" s="11">
        <v>1.3081632653061233</v>
      </c>
      <c r="R106" s="11">
        <v>2.6489563567362229</v>
      </c>
      <c r="S106" s="11">
        <v>1.3308957952467966</v>
      </c>
      <c r="T106" s="11">
        <v>3</v>
      </c>
      <c r="U106" s="11">
        <v>4</v>
      </c>
      <c r="V106" s="11">
        <v>0</v>
      </c>
      <c r="W106" s="11">
        <v>1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 t="s">
        <v>403</v>
      </c>
      <c r="AE106" s="11" t="s">
        <v>403</v>
      </c>
      <c r="AF106" s="18">
        <f t="shared" si="13"/>
        <v>0.64489112227805512</v>
      </c>
      <c r="AG106" s="18">
        <f t="shared" si="13"/>
        <v>1.0523504273504318</v>
      </c>
      <c r="AH106" s="18">
        <f t="shared" si="13"/>
        <v>0</v>
      </c>
      <c r="AI106" s="18">
        <f t="shared" si="13"/>
        <v>0.25920679886685416</v>
      </c>
      <c r="AJ106" s="18">
        <f t="shared" si="13"/>
        <v>0</v>
      </c>
      <c r="AK106" s="18">
        <f t="shared" si="13"/>
        <v>0</v>
      </c>
      <c r="AL106" s="18">
        <f t="shared" si="14"/>
        <v>0</v>
      </c>
      <c r="AM106" s="18">
        <f t="shared" si="14"/>
        <v>0</v>
      </c>
      <c r="AN106" s="18">
        <f t="shared" si="14"/>
        <v>0</v>
      </c>
      <c r="AO106" s="18">
        <f t="shared" si="14"/>
        <v>0</v>
      </c>
      <c r="AP106" s="18">
        <f t="shared" si="14"/>
        <v>0</v>
      </c>
      <c r="AQ106" s="18">
        <f t="shared" si="14"/>
        <v>0</v>
      </c>
    </row>
    <row r="107" spans="1:43" x14ac:dyDescent="0.3">
      <c r="A107" s="9" t="s">
        <v>59</v>
      </c>
      <c r="B107" s="10" t="s">
        <v>430</v>
      </c>
      <c r="C107" s="10" t="s">
        <v>20</v>
      </c>
      <c r="D107" s="10" t="s">
        <v>36</v>
      </c>
      <c r="E107" s="10" t="s">
        <v>693</v>
      </c>
      <c r="F107" s="10" t="s">
        <v>694</v>
      </c>
      <c r="G107" s="10" t="s">
        <v>697</v>
      </c>
      <c r="H107" s="11">
        <v>0</v>
      </c>
      <c r="I107" s="11">
        <v>3.8010152284263796</v>
      </c>
      <c r="J107" s="11">
        <v>1.9317688266199602</v>
      </c>
      <c r="K107" s="11">
        <v>2.5719489981785202</v>
      </c>
      <c r="L107" s="11">
        <v>0</v>
      </c>
      <c r="M107" s="11">
        <v>0</v>
      </c>
      <c r="N107" s="11">
        <v>0</v>
      </c>
      <c r="O107" s="11">
        <v>1.3519668737060118</v>
      </c>
      <c r="P107" s="11">
        <v>1.3025404157043832</v>
      </c>
      <c r="Q107" s="11">
        <v>0</v>
      </c>
      <c r="R107" s="11">
        <v>1.3244781783681114</v>
      </c>
      <c r="S107" s="11">
        <v>2.6617915904935932</v>
      </c>
      <c r="T107" s="11">
        <v>0</v>
      </c>
      <c r="U107" s="11">
        <v>2</v>
      </c>
      <c r="V107" s="11">
        <v>1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403</v>
      </c>
      <c r="AE107" s="11" t="s">
        <v>403</v>
      </c>
      <c r="AF107" s="18">
        <f t="shared" si="13"/>
        <v>0</v>
      </c>
      <c r="AG107" s="18">
        <f t="shared" si="13"/>
        <v>0.52617521367521591</v>
      </c>
      <c r="AH107" s="18">
        <f t="shared" si="13"/>
        <v>0.51766028430519417</v>
      </c>
      <c r="AI107" s="18">
        <f t="shared" si="13"/>
        <v>0</v>
      </c>
      <c r="AJ107" s="18">
        <f t="shared" si="13"/>
        <v>0</v>
      </c>
      <c r="AK107" s="18">
        <f t="shared" si="13"/>
        <v>0</v>
      </c>
      <c r="AL107" s="18">
        <f t="shared" si="14"/>
        <v>0</v>
      </c>
      <c r="AM107" s="18">
        <f t="shared" si="14"/>
        <v>0</v>
      </c>
      <c r="AN107" s="18">
        <f t="shared" si="14"/>
        <v>0</v>
      </c>
      <c r="AO107" s="18">
        <f t="shared" si="14"/>
        <v>0</v>
      </c>
      <c r="AP107" s="18">
        <f t="shared" si="14"/>
        <v>0</v>
      </c>
      <c r="AQ107" s="18">
        <f t="shared" si="14"/>
        <v>0</v>
      </c>
    </row>
    <row r="108" spans="1:43" x14ac:dyDescent="0.3">
      <c r="A108" s="9" t="s">
        <v>135</v>
      </c>
      <c r="B108" s="10" t="s">
        <v>495</v>
      </c>
      <c r="C108" s="10" t="s">
        <v>20</v>
      </c>
      <c r="D108" s="10" t="s">
        <v>32</v>
      </c>
      <c r="E108" s="10" t="s">
        <v>693</v>
      </c>
      <c r="F108" s="10" t="s">
        <v>694</v>
      </c>
      <c r="G108" s="10" t="s">
        <v>696</v>
      </c>
      <c r="H108" s="11">
        <v>0</v>
      </c>
      <c r="I108" s="11">
        <v>1.9005076142131898</v>
      </c>
      <c r="J108" s="11">
        <v>7.7270753064798408</v>
      </c>
      <c r="K108" s="11">
        <v>1.2859744990892601</v>
      </c>
      <c r="L108" s="11">
        <v>1.3031358885017397</v>
      </c>
      <c r="M108" s="11">
        <v>1.3522727272727368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 t="s">
        <v>403</v>
      </c>
      <c r="U108" s="11" t="s">
        <v>403</v>
      </c>
      <c r="V108" s="11" t="s">
        <v>403</v>
      </c>
      <c r="W108" s="11" t="s">
        <v>403</v>
      </c>
      <c r="X108" s="11" t="s">
        <v>403</v>
      </c>
      <c r="Y108" s="11" t="s">
        <v>403</v>
      </c>
      <c r="Z108" s="11" t="s">
        <v>403</v>
      </c>
      <c r="AA108" s="11" t="s">
        <v>403</v>
      </c>
      <c r="AB108" s="11" t="s">
        <v>403</v>
      </c>
      <c r="AC108" s="11" t="s">
        <v>403</v>
      </c>
      <c r="AD108" s="11" t="s">
        <v>403</v>
      </c>
      <c r="AE108" s="11" t="s">
        <v>403</v>
      </c>
      <c r="AF108" s="18">
        <f t="shared" si="13"/>
        <v>0</v>
      </c>
      <c r="AG108" s="18">
        <f t="shared" si="13"/>
        <v>0</v>
      </c>
      <c r="AH108" s="18">
        <f t="shared" si="13"/>
        <v>0</v>
      </c>
      <c r="AI108" s="18">
        <f t="shared" si="13"/>
        <v>0</v>
      </c>
      <c r="AJ108" s="18">
        <f t="shared" si="13"/>
        <v>0</v>
      </c>
      <c r="AK108" s="18">
        <f t="shared" si="13"/>
        <v>0</v>
      </c>
      <c r="AL108" s="18">
        <f t="shared" si="14"/>
        <v>0</v>
      </c>
      <c r="AM108" s="18">
        <f t="shared" si="14"/>
        <v>0</v>
      </c>
      <c r="AN108" s="18">
        <f t="shared" si="14"/>
        <v>0</v>
      </c>
      <c r="AO108" s="18">
        <f t="shared" si="14"/>
        <v>0</v>
      </c>
      <c r="AP108" s="18">
        <f t="shared" si="14"/>
        <v>0</v>
      </c>
      <c r="AQ108" s="18">
        <f t="shared" si="14"/>
        <v>0</v>
      </c>
    </row>
    <row r="109" spans="1:43" x14ac:dyDescent="0.3">
      <c r="A109" s="9" t="s">
        <v>121</v>
      </c>
      <c r="B109" s="10" t="s">
        <v>488</v>
      </c>
      <c r="C109" s="10" t="s">
        <v>20</v>
      </c>
      <c r="D109" s="10" t="s">
        <v>36</v>
      </c>
      <c r="E109" s="10" t="s">
        <v>693</v>
      </c>
      <c r="F109" s="10" t="s">
        <v>694</v>
      </c>
      <c r="G109" s="10" t="s">
        <v>697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1.3025404157043832</v>
      </c>
      <c r="Q109" s="11">
        <v>1.3081632653061233</v>
      </c>
      <c r="R109" s="11">
        <v>0</v>
      </c>
      <c r="S109" s="11">
        <v>1.3308957952467966</v>
      </c>
      <c r="T109" s="11">
        <v>4</v>
      </c>
      <c r="U109" s="11">
        <v>1</v>
      </c>
      <c r="V109" s="11">
        <v>1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 t="s">
        <v>403</v>
      </c>
      <c r="AE109" s="11" t="s">
        <v>403</v>
      </c>
      <c r="AF109" s="18">
        <f t="shared" si="13"/>
        <v>0</v>
      </c>
      <c r="AG109" s="18">
        <f t="shared" si="13"/>
        <v>0</v>
      </c>
      <c r="AH109" s="18">
        <f t="shared" si="13"/>
        <v>0</v>
      </c>
      <c r="AI109" s="18">
        <f t="shared" si="13"/>
        <v>0</v>
      </c>
      <c r="AJ109" s="18">
        <f t="shared" si="13"/>
        <v>0</v>
      </c>
      <c r="AK109" s="18">
        <f t="shared" si="13"/>
        <v>0</v>
      </c>
      <c r="AL109" s="18">
        <f t="shared" si="14"/>
        <v>0</v>
      </c>
      <c r="AM109" s="18">
        <f t="shared" si="14"/>
        <v>0</v>
      </c>
      <c r="AN109" s="18">
        <f t="shared" si="14"/>
        <v>0</v>
      </c>
      <c r="AO109" s="18">
        <f t="shared" si="14"/>
        <v>0</v>
      </c>
      <c r="AP109" s="18">
        <f t="shared" si="14"/>
        <v>0</v>
      </c>
      <c r="AQ109" s="18">
        <f t="shared" si="14"/>
        <v>0</v>
      </c>
    </row>
    <row r="110" spans="1:43" x14ac:dyDescent="0.3">
      <c r="A110" s="9" t="s">
        <v>126</v>
      </c>
      <c r="B110" s="10" t="s">
        <v>492</v>
      </c>
      <c r="C110" s="10" t="s">
        <v>20</v>
      </c>
      <c r="D110" s="10" t="s">
        <v>34</v>
      </c>
      <c r="E110" s="10" t="s">
        <v>693</v>
      </c>
      <c r="F110" s="10" t="s">
        <v>694</v>
      </c>
      <c r="G110" s="10" t="s">
        <v>697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 t="s">
        <v>403</v>
      </c>
      <c r="U110" s="11" t="s">
        <v>403</v>
      </c>
      <c r="V110" s="11" t="s">
        <v>403</v>
      </c>
      <c r="W110" s="11" t="s">
        <v>403</v>
      </c>
      <c r="X110" s="11" t="s">
        <v>403</v>
      </c>
      <c r="Y110" s="11" t="s">
        <v>403</v>
      </c>
      <c r="Z110" s="11" t="s">
        <v>403</v>
      </c>
      <c r="AA110" s="11" t="s">
        <v>403</v>
      </c>
      <c r="AB110" s="11" t="s">
        <v>403</v>
      </c>
      <c r="AC110" s="11" t="s">
        <v>403</v>
      </c>
      <c r="AD110" s="11" t="s">
        <v>403</v>
      </c>
      <c r="AE110" s="11" t="s">
        <v>403</v>
      </c>
      <c r="AF110" s="18">
        <f t="shared" si="13"/>
        <v>0</v>
      </c>
      <c r="AG110" s="18">
        <f t="shared" si="13"/>
        <v>0</v>
      </c>
      <c r="AH110" s="18">
        <f t="shared" si="13"/>
        <v>0</v>
      </c>
      <c r="AI110" s="18">
        <f t="shared" si="13"/>
        <v>0</v>
      </c>
      <c r="AJ110" s="18">
        <f t="shared" si="13"/>
        <v>0</v>
      </c>
      <c r="AK110" s="18">
        <f t="shared" si="13"/>
        <v>0</v>
      </c>
      <c r="AL110" s="18">
        <f t="shared" si="14"/>
        <v>0</v>
      </c>
      <c r="AM110" s="18">
        <f t="shared" si="14"/>
        <v>0</v>
      </c>
      <c r="AN110" s="18">
        <f t="shared" si="14"/>
        <v>0</v>
      </c>
      <c r="AO110" s="18">
        <f t="shared" si="14"/>
        <v>0</v>
      </c>
      <c r="AP110" s="18">
        <f t="shared" si="14"/>
        <v>0</v>
      </c>
      <c r="AQ110" s="18">
        <f t="shared" si="14"/>
        <v>0</v>
      </c>
    </row>
    <row r="111" spans="1:43" x14ac:dyDescent="0.3">
      <c r="A111" s="9" t="s">
        <v>95</v>
      </c>
      <c r="B111" s="10" t="s">
        <v>464</v>
      </c>
      <c r="C111" s="10" t="s">
        <v>20</v>
      </c>
      <c r="D111" s="10" t="s">
        <v>34</v>
      </c>
      <c r="E111" s="10" t="s">
        <v>693</v>
      </c>
      <c r="F111" s="10" t="s">
        <v>694</v>
      </c>
      <c r="G111" s="10" t="s">
        <v>697</v>
      </c>
      <c r="H111" s="11">
        <v>0</v>
      </c>
      <c r="I111" s="11">
        <v>0</v>
      </c>
      <c r="J111" s="11">
        <v>1.9317688266199602</v>
      </c>
      <c r="K111" s="11">
        <v>0</v>
      </c>
      <c r="L111" s="11">
        <v>1.3031358885017397</v>
      </c>
      <c r="M111" s="11">
        <v>0</v>
      </c>
      <c r="N111" s="11">
        <v>1.3105590062111734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1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 t="s">
        <v>403</v>
      </c>
      <c r="AE111" s="11" t="s">
        <v>403</v>
      </c>
      <c r="AF111" s="18">
        <f t="shared" si="13"/>
        <v>0</v>
      </c>
      <c r="AG111" s="18">
        <f t="shared" si="13"/>
        <v>0</v>
      </c>
      <c r="AH111" s="18">
        <f t="shared" si="13"/>
        <v>0.51766028430519417</v>
      </c>
      <c r="AI111" s="18">
        <f t="shared" si="13"/>
        <v>0</v>
      </c>
      <c r="AJ111" s="18">
        <f t="shared" si="13"/>
        <v>0</v>
      </c>
      <c r="AK111" s="18">
        <f t="shared" si="13"/>
        <v>0</v>
      </c>
      <c r="AL111" s="18">
        <f t="shared" si="14"/>
        <v>0</v>
      </c>
      <c r="AM111" s="18">
        <f t="shared" si="14"/>
        <v>0</v>
      </c>
      <c r="AN111" s="18">
        <f t="shared" si="14"/>
        <v>0</v>
      </c>
      <c r="AO111" s="18">
        <f t="shared" si="14"/>
        <v>0</v>
      </c>
      <c r="AP111" s="18">
        <f t="shared" si="14"/>
        <v>0</v>
      </c>
      <c r="AQ111" s="18">
        <f t="shared" si="14"/>
        <v>0</v>
      </c>
    </row>
    <row r="112" spans="1:43" x14ac:dyDescent="0.3">
      <c r="A112" s="9" t="s">
        <v>69</v>
      </c>
      <c r="B112" s="10" t="s">
        <v>438</v>
      </c>
      <c r="C112" s="10" t="s">
        <v>20</v>
      </c>
      <c r="D112" s="10" t="s">
        <v>38</v>
      </c>
      <c r="E112" s="10" t="s">
        <v>693</v>
      </c>
      <c r="F112" s="10" t="s">
        <v>694</v>
      </c>
      <c r="G112" s="10" t="s">
        <v>696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 t="s">
        <v>403</v>
      </c>
      <c r="U112" s="11" t="s">
        <v>403</v>
      </c>
      <c r="V112" s="11" t="s">
        <v>403</v>
      </c>
      <c r="W112" s="11" t="s">
        <v>403</v>
      </c>
      <c r="X112" s="11" t="s">
        <v>403</v>
      </c>
      <c r="Y112" s="11" t="s">
        <v>403</v>
      </c>
      <c r="Z112" s="11" t="s">
        <v>403</v>
      </c>
      <c r="AA112" s="11" t="s">
        <v>403</v>
      </c>
      <c r="AB112" s="11" t="s">
        <v>403</v>
      </c>
      <c r="AC112" s="11" t="s">
        <v>403</v>
      </c>
      <c r="AD112" s="11" t="s">
        <v>403</v>
      </c>
      <c r="AE112" s="11" t="s">
        <v>403</v>
      </c>
      <c r="AF112" s="18">
        <f t="shared" si="13"/>
        <v>0</v>
      </c>
      <c r="AG112" s="18">
        <f t="shared" si="13"/>
        <v>0</v>
      </c>
      <c r="AH112" s="18">
        <f t="shared" si="13"/>
        <v>0</v>
      </c>
      <c r="AI112" s="18">
        <f t="shared" si="13"/>
        <v>0</v>
      </c>
      <c r="AJ112" s="18">
        <f t="shared" si="13"/>
        <v>0</v>
      </c>
      <c r="AK112" s="18">
        <f t="shared" si="13"/>
        <v>0</v>
      </c>
      <c r="AL112" s="18">
        <f t="shared" si="14"/>
        <v>0</v>
      </c>
      <c r="AM112" s="18">
        <f t="shared" si="14"/>
        <v>0</v>
      </c>
      <c r="AN112" s="18">
        <f t="shared" si="14"/>
        <v>0</v>
      </c>
      <c r="AO112" s="18">
        <f t="shared" si="14"/>
        <v>0</v>
      </c>
      <c r="AP112" s="18">
        <f t="shared" si="14"/>
        <v>0</v>
      </c>
      <c r="AQ112" s="18">
        <f t="shared" si="14"/>
        <v>0</v>
      </c>
    </row>
    <row r="113" spans="1:43" x14ac:dyDescent="0.3">
      <c r="A113" s="9" t="s">
        <v>97</v>
      </c>
      <c r="B113" s="10" t="s">
        <v>466</v>
      </c>
      <c r="C113" s="10" t="s">
        <v>20</v>
      </c>
      <c r="D113" s="10" t="s">
        <v>36</v>
      </c>
      <c r="E113" s="10" t="s">
        <v>693</v>
      </c>
      <c r="F113" s="10" t="s">
        <v>694</v>
      </c>
      <c r="G113" s="10" t="s">
        <v>697</v>
      </c>
      <c r="H113" s="11">
        <v>1.5506493506493551</v>
      </c>
      <c r="I113" s="11">
        <v>0</v>
      </c>
      <c r="J113" s="11">
        <v>0</v>
      </c>
      <c r="K113" s="11">
        <v>1.2859744990892601</v>
      </c>
      <c r="L113" s="11">
        <v>0</v>
      </c>
      <c r="M113" s="11">
        <v>0</v>
      </c>
      <c r="N113" s="11">
        <v>0</v>
      </c>
      <c r="O113" s="11">
        <v>0</v>
      </c>
      <c r="P113" s="11">
        <v>1.3025404157043832</v>
      </c>
      <c r="Q113" s="11">
        <v>0</v>
      </c>
      <c r="R113" s="11">
        <v>0</v>
      </c>
      <c r="S113" s="11">
        <v>0</v>
      </c>
      <c r="T113" s="11" t="s">
        <v>403</v>
      </c>
      <c r="U113" s="11" t="s">
        <v>403</v>
      </c>
      <c r="V113" s="11" t="s">
        <v>403</v>
      </c>
      <c r="W113" s="11" t="s">
        <v>403</v>
      </c>
      <c r="X113" s="11" t="s">
        <v>403</v>
      </c>
      <c r="Y113" s="11" t="s">
        <v>403</v>
      </c>
      <c r="Z113" s="11" t="s">
        <v>403</v>
      </c>
      <c r="AA113" s="11" t="s">
        <v>403</v>
      </c>
      <c r="AB113" s="11" t="s">
        <v>403</v>
      </c>
      <c r="AC113" s="11" t="s">
        <v>403</v>
      </c>
      <c r="AD113" s="11" t="s">
        <v>403</v>
      </c>
      <c r="AE113" s="11" t="s">
        <v>403</v>
      </c>
      <c r="AF113" s="18">
        <f t="shared" si="13"/>
        <v>0</v>
      </c>
      <c r="AG113" s="18">
        <f t="shared" si="13"/>
        <v>0</v>
      </c>
      <c r="AH113" s="18">
        <f t="shared" si="13"/>
        <v>0</v>
      </c>
      <c r="AI113" s="18">
        <f t="shared" si="13"/>
        <v>0</v>
      </c>
      <c r="AJ113" s="18">
        <f t="shared" si="13"/>
        <v>0</v>
      </c>
      <c r="AK113" s="18">
        <f t="shared" si="13"/>
        <v>0</v>
      </c>
      <c r="AL113" s="18">
        <f t="shared" si="14"/>
        <v>0</v>
      </c>
      <c r="AM113" s="18">
        <f t="shared" si="14"/>
        <v>0</v>
      </c>
      <c r="AN113" s="18">
        <f t="shared" si="14"/>
        <v>0</v>
      </c>
      <c r="AO113" s="18">
        <f t="shared" si="14"/>
        <v>0</v>
      </c>
      <c r="AP113" s="18">
        <f t="shared" si="14"/>
        <v>0</v>
      </c>
      <c r="AQ113" s="18">
        <f t="shared" si="14"/>
        <v>0</v>
      </c>
    </row>
    <row r="114" spans="1:43" x14ac:dyDescent="0.3">
      <c r="A114" s="9" t="s">
        <v>77</v>
      </c>
      <c r="B114" s="10" t="s">
        <v>446</v>
      </c>
      <c r="C114" s="10" t="s">
        <v>20</v>
      </c>
      <c r="D114" s="10" t="s">
        <v>36</v>
      </c>
      <c r="E114" s="10" t="s">
        <v>693</v>
      </c>
      <c r="F114" s="10" t="s">
        <v>694</v>
      </c>
      <c r="G114" s="10" t="s">
        <v>697</v>
      </c>
      <c r="H114" s="11">
        <v>0</v>
      </c>
      <c r="I114" s="11">
        <v>1.9005076142131898</v>
      </c>
      <c r="J114" s="11">
        <v>1.9317688266199602</v>
      </c>
      <c r="K114" s="11">
        <v>0</v>
      </c>
      <c r="L114" s="11">
        <v>1.3031358885017397</v>
      </c>
      <c r="M114" s="11">
        <v>2.7045454545454737</v>
      </c>
      <c r="N114" s="11">
        <v>1.3105590062111734</v>
      </c>
      <c r="O114" s="11">
        <v>1.3519668737060118</v>
      </c>
      <c r="P114" s="11">
        <v>1.3025404157043832</v>
      </c>
      <c r="Q114" s="11">
        <v>1.3081632653061233</v>
      </c>
      <c r="R114" s="11">
        <v>0</v>
      </c>
      <c r="S114" s="11">
        <v>0</v>
      </c>
      <c r="T114" s="11" t="s">
        <v>403</v>
      </c>
      <c r="U114" s="11" t="s">
        <v>403</v>
      </c>
      <c r="V114" s="11" t="s">
        <v>403</v>
      </c>
      <c r="W114" s="11" t="s">
        <v>403</v>
      </c>
      <c r="X114" s="11" t="s">
        <v>403</v>
      </c>
      <c r="Y114" s="11" t="s">
        <v>403</v>
      </c>
      <c r="Z114" s="11" t="s">
        <v>403</v>
      </c>
      <c r="AA114" s="11" t="s">
        <v>403</v>
      </c>
      <c r="AB114" s="11" t="s">
        <v>403</v>
      </c>
      <c r="AC114" s="11" t="s">
        <v>403</v>
      </c>
      <c r="AD114" s="11" t="s">
        <v>403</v>
      </c>
      <c r="AE114" s="11" t="s">
        <v>403</v>
      </c>
      <c r="AF114" s="18">
        <f t="shared" si="13"/>
        <v>0</v>
      </c>
      <c r="AG114" s="18">
        <f t="shared" si="13"/>
        <v>0</v>
      </c>
      <c r="AH114" s="18">
        <f t="shared" si="13"/>
        <v>0</v>
      </c>
      <c r="AI114" s="18">
        <f t="shared" si="13"/>
        <v>0</v>
      </c>
      <c r="AJ114" s="18">
        <f t="shared" si="13"/>
        <v>0</v>
      </c>
      <c r="AK114" s="18">
        <f t="shared" si="13"/>
        <v>0</v>
      </c>
      <c r="AL114" s="18">
        <f t="shared" si="14"/>
        <v>0</v>
      </c>
      <c r="AM114" s="18">
        <f t="shared" si="14"/>
        <v>0</v>
      </c>
      <c r="AN114" s="18">
        <f t="shared" si="14"/>
        <v>0</v>
      </c>
      <c r="AO114" s="18">
        <f t="shared" si="14"/>
        <v>0</v>
      </c>
      <c r="AP114" s="18">
        <f t="shared" si="14"/>
        <v>0</v>
      </c>
      <c r="AQ114" s="18">
        <f t="shared" si="14"/>
        <v>0</v>
      </c>
    </row>
    <row r="115" spans="1:43" x14ac:dyDescent="0.3">
      <c r="A115" s="9" t="s">
        <v>109</v>
      </c>
      <c r="B115" s="10" t="s">
        <v>478</v>
      </c>
      <c r="C115" s="10" t="s">
        <v>20</v>
      </c>
      <c r="D115" s="10" t="s">
        <v>30</v>
      </c>
      <c r="E115" s="10" t="s">
        <v>693</v>
      </c>
      <c r="F115" s="10" t="s">
        <v>694</v>
      </c>
      <c r="G115" s="10" t="s">
        <v>696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 t="s">
        <v>403</v>
      </c>
      <c r="U115" s="11" t="s">
        <v>403</v>
      </c>
      <c r="V115" s="11" t="s">
        <v>403</v>
      </c>
      <c r="W115" s="11" t="s">
        <v>403</v>
      </c>
      <c r="X115" s="11" t="s">
        <v>403</v>
      </c>
      <c r="Y115" s="11" t="s">
        <v>403</v>
      </c>
      <c r="Z115" s="11" t="s">
        <v>403</v>
      </c>
      <c r="AA115" s="11" t="s">
        <v>403</v>
      </c>
      <c r="AB115" s="11" t="s">
        <v>403</v>
      </c>
      <c r="AC115" s="11" t="s">
        <v>403</v>
      </c>
      <c r="AD115" s="11" t="s">
        <v>403</v>
      </c>
      <c r="AE115" s="11" t="s">
        <v>403</v>
      </c>
      <c r="AF115" s="18">
        <f t="shared" si="13"/>
        <v>0</v>
      </c>
      <c r="AG115" s="18">
        <f t="shared" si="13"/>
        <v>0</v>
      </c>
      <c r="AH115" s="18">
        <f t="shared" si="13"/>
        <v>0</v>
      </c>
      <c r="AI115" s="18">
        <f t="shared" si="13"/>
        <v>0</v>
      </c>
      <c r="AJ115" s="18">
        <f t="shared" si="13"/>
        <v>0</v>
      </c>
      <c r="AK115" s="18">
        <f t="shared" si="13"/>
        <v>0</v>
      </c>
      <c r="AL115" s="18">
        <f t="shared" si="14"/>
        <v>0</v>
      </c>
      <c r="AM115" s="18">
        <f t="shared" si="14"/>
        <v>0</v>
      </c>
      <c r="AN115" s="18">
        <f t="shared" si="14"/>
        <v>0</v>
      </c>
      <c r="AO115" s="18">
        <f t="shared" si="14"/>
        <v>0</v>
      </c>
      <c r="AP115" s="18">
        <f t="shared" si="14"/>
        <v>0</v>
      </c>
      <c r="AQ115" s="18">
        <f t="shared" si="14"/>
        <v>0</v>
      </c>
    </row>
    <row r="116" spans="1:43" x14ac:dyDescent="0.3">
      <c r="A116" s="9" t="s">
        <v>375</v>
      </c>
      <c r="B116" s="10" t="s">
        <v>685</v>
      </c>
      <c r="C116" s="10" t="s">
        <v>20</v>
      </c>
      <c r="D116" s="10" t="s">
        <v>34</v>
      </c>
      <c r="E116" s="10" t="s">
        <v>693</v>
      </c>
      <c r="F116" s="10" t="s">
        <v>701</v>
      </c>
      <c r="G116" s="10" t="s">
        <v>697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 t="s">
        <v>403</v>
      </c>
      <c r="U116" s="11" t="s">
        <v>403</v>
      </c>
      <c r="V116" s="11" t="s">
        <v>403</v>
      </c>
      <c r="W116" s="11" t="s">
        <v>403</v>
      </c>
      <c r="X116" s="11" t="s">
        <v>403</v>
      </c>
      <c r="Y116" s="11" t="s">
        <v>403</v>
      </c>
      <c r="Z116" s="11" t="s">
        <v>403</v>
      </c>
      <c r="AA116" s="11" t="s">
        <v>403</v>
      </c>
      <c r="AB116" s="11" t="s">
        <v>403</v>
      </c>
      <c r="AC116" s="11" t="s">
        <v>403</v>
      </c>
      <c r="AD116" s="11" t="s">
        <v>403</v>
      </c>
      <c r="AE116" s="11" t="s">
        <v>403</v>
      </c>
      <c r="AF116" s="18">
        <f t="shared" si="13"/>
        <v>0</v>
      </c>
      <c r="AG116" s="18">
        <f t="shared" si="13"/>
        <v>0</v>
      </c>
      <c r="AH116" s="18">
        <f t="shared" si="13"/>
        <v>0</v>
      </c>
      <c r="AI116" s="18">
        <f t="shared" si="13"/>
        <v>0</v>
      </c>
      <c r="AJ116" s="18">
        <f t="shared" si="13"/>
        <v>0</v>
      </c>
      <c r="AK116" s="18">
        <f t="shared" si="13"/>
        <v>0</v>
      </c>
      <c r="AL116" s="18">
        <f t="shared" si="14"/>
        <v>0</v>
      </c>
      <c r="AM116" s="18">
        <f t="shared" si="14"/>
        <v>0</v>
      </c>
      <c r="AN116" s="18">
        <f t="shared" si="14"/>
        <v>0</v>
      </c>
      <c r="AO116" s="18">
        <f t="shared" si="14"/>
        <v>0</v>
      </c>
      <c r="AP116" s="18">
        <f t="shared" si="14"/>
        <v>0</v>
      </c>
      <c r="AQ116" s="18">
        <f t="shared" si="14"/>
        <v>0</v>
      </c>
    </row>
    <row r="117" spans="1:43" x14ac:dyDescent="0.3">
      <c r="A117" s="9" t="s">
        <v>113</v>
      </c>
      <c r="B117" s="10" t="s">
        <v>482</v>
      </c>
      <c r="C117" s="10" t="s">
        <v>20</v>
      </c>
      <c r="D117" s="10" t="s">
        <v>30</v>
      </c>
      <c r="E117" s="10" t="s">
        <v>693</v>
      </c>
      <c r="F117" s="10" t="s">
        <v>694</v>
      </c>
      <c r="G117" s="10" t="s">
        <v>696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1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 t="s">
        <v>403</v>
      </c>
      <c r="AE117" s="11" t="s">
        <v>403</v>
      </c>
      <c r="AF117" s="18">
        <f t="shared" si="13"/>
        <v>0</v>
      </c>
      <c r="AG117" s="18">
        <f t="shared" si="13"/>
        <v>0</v>
      </c>
      <c r="AH117" s="18">
        <f t="shared" si="13"/>
        <v>0</v>
      </c>
      <c r="AI117" s="18">
        <f t="shared" si="13"/>
        <v>0</v>
      </c>
      <c r="AJ117" s="18">
        <f t="shared" si="13"/>
        <v>0</v>
      </c>
      <c r="AK117" s="18">
        <f t="shared" si="13"/>
        <v>0</v>
      </c>
      <c r="AL117" s="18">
        <f t="shared" si="14"/>
        <v>0</v>
      </c>
      <c r="AM117" s="18">
        <f t="shared" si="14"/>
        <v>0</v>
      </c>
      <c r="AN117" s="18">
        <f t="shared" si="14"/>
        <v>0</v>
      </c>
      <c r="AO117" s="18">
        <f t="shared" si="14"/>
        <v>0</v>
      </c>
      <c r="AP117" s="18">
        <f t="shared" si="14"/>
        <v>0</v>
      </c>
      <c r="AQ117" s="18">
        <f t="shared" si="14"/>
        <v>0</v>
      </c>
    </row>
    <row r="118" spans="1:43" x14ac:dyDescent="0.3">
      <c r="A118" s="9" t="s">
        <v>106</v>
      </c>
      <c r="B118" s="10" t="s">
        <v>475</v>
      </c>
      <c r="C118" s="10" t="s">
        <v>20</v>
      </c>
      <c r="D118" s="10" t="s">
        <v>38</v>
      </c>
      <c r="E118" s="10" t="s">
        <v>693</v>
      </c>
      <c r="F118" s="10" t="s">
        <v>694</v>
      </c>
      <c r="G118" s="10" t="s">
        <v>696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 t="s">
        <v>403</v>
      </c>
      <c r="U118" s="11" t="s">
        <v>403</v>
      </c>
      <c r="V118" s="11" t="s">
        <v>403</v>
      </c>
      <c r="W118" s="11" t="s">
        <v>403</v>
      </c>
      <c r="X118" s="11" t="s">
        <v>403</v>
      </c>
      <c r="Y118" s="11" t="s">
        <v>403</v>
      </c>
      <c r="Z118" s="11" t="s">
        <v>403</v>
      </c>
      <c r="AA118" s="11" t="s">
        <v>403</v>
      </c>
      <c r="AB118" s="11" t="s">
        <v>403</v>
      </c>
      <c r="AC118" s="11" t="s">
        <v>403</v>
      </c>
      <c r="AD118" s="11" t="s">
        <v>403</v>
      </c>
      <c r="AE118" s="11" t="s">
        <v>403</v>
      </c>
      <c r="AF118" s="18">
        <f t="shared" si="13"/>
        <v>0</v>
      </c>
      <c r="AG118" s="18">
        <f t="shared" si="13"/>
        <v>0</v>
      </c>
      <c r="AH118" s="18">
        <f t="shared" si="13"/>
        <v>0</v>
      </c>
      <c r="AI118" s="18">
        <f t="shared" si="13"/>
        <v>0</v>
      </c>
      <c r="AJ118" s="18">
        <f t="shared" si="13"/>
        <v>0</v>
      </c>
      <c r="AK118" s="18">
        <f t="shared" si="13"/>
        <v>0</v>
      </c>
      <c r="AL118" s="18">
        <f t="shared" si="14"/>
        <v>0</v>
      </c>
      <c r="AM118" s="18">
        <f t="shared" si="14"/>
        <v>0</v>
      </c>
      <c r="AN118" s="18">
        <f t="shared" si="14"/>
        <v>0</v>
      </c>
      <c r="AO118" s="18">
        <f t="shared" si="14"/>
        <v>0</v>
      </c>
      <c r="AP118" s="18">
        <f t="shared" si="14"/>
        <v>0</v>
      </c>
      <c r="AQ118" s="18">
        <f t="shared" si="14"/>
        <v>0</v>
      </c>
    </row>
    <row r="119" spans="1:43" x14ac:dyDescent="0.3">
      <c r="A119" s="9" t="s">
        <v>150</v>
      </c>
      <c r="B119" s="10" t="s">
        <v>508</v>
      </c>
      <c r="C119" s="10" t="s">
        <v>20</v>
      </c>
      <c r="D119" s="10" t="s">
        <v>30</v>
      </c>
      <c r="E119" s="10" t="s">
        <v>693</v>
      </c>
      <c r="F119" s="10" t="s">
        <v>694</v>
      </c>
      <c r="G119" s="10" t="s">
        <v>696</v>
      </c>
      <c r="H119" s="11">
        <v>0</v>
      </c>
      <c r="I119" s="11">
        <v>1.9005076142131898</v>
      </c>
      <c r="J119" s="11">
        <v>1.9317688266199602</v>
      </c>
      <c r="K119" s="11">
        <v>1.2859744990892601</v>
      </c>
      <c r="L119" s="11">
        <v>1.3031358885017397</v>
      </c>
      <c r="M119" s="11">
        <v>0</v>
      </c>
      <c r="N119" s="11">
        <v>2.6211180124223468</v>
      </c>
      <c r="O119" s="11">
        <v>1.3519668737060118</v>
      </c>
      <c r="P119" s="11">
        <v>0</v>
      </c>
      <c r="Q119" s="11">
        <v>0</v>
      </c>
      <c r="R119" s="11">
        <v>0</v>
      </c>
      <c r="S119" s="11">
        <v>0</v>
      </c>
      <c r="T119" s="11">
        <v>1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 t="s">
        <v>403</v>
      </c>
      <c r="AE119" s="11" t="s">
        <v>403</v>
      </c>
      <c r="AF119" s="18">
        <f t="shared" si="13"/>
        <v>0</v>
      </c>
      <c r="AG119" s="18">
        <f t="shared" si="13"/>
        <v>0</v>
      </c>
      <c r="AH119" s="18">
        <f t="shared" si="13"/>
        <v>0</v>
      </c>
      <c r="AI119" s="18">
        <f t="shared" ref="AI119:AN182" si="15">IFERROR(W119/K119,0)</f>
        <v>0</v>
      </c>
      <c r="AJ119" s="18">
        <f t="shared" si="15"/>
        <v>0</v>
      </c>
      <c r="AK119" s="18">
        <f t="shared" si="15"/>
        <v>0</v>
      </c>
      <c r="AL119" s="18">
        <f t="shared" si="14"/>
        <v>0</v>
      </c>
      <c r="AM119" s="18">
        <f t="shared" si="14"/>
        <v>0</v>
      </c>
      <c r="AN119" s="18">
        <f t="shared" si="14"/>
        <v>0</v>
      </c>
      <c r="AO119" s="18">
        <f t="shared" si="14"/>
        <v>0</v>
      </c>
      <c r="AP119" s="18">
        <f t="shared" si="14"/>
        <v>0</v>
      </c>
      <c r="AQ119" s="18">
        <f t="shared" si="14"/>
        <v>0</v>
      </c>
    </row>
    <row r="120" spans="1:43" x14ac:dyDescent="0.3">
      <c r="A120" s="9" t="s">
        <v>105</v>
      </c>
      <c r="B120" s="10" t="s">
        <v>474</v>
      </c>
      <c r="C120" s="10" t="s">
        <v>20</v>
      </c>
      <c r="D120" s="10" t="s">
        <v>32</v>
      </c>
      <c r="E120" s="10" t="s">
        <v>693</v>
      </c>
      <c r="F120" s="10" t="s">
        <v>694</v>
      </c>
      <c r="G120" s="10" t="s">
        <v>696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1.3244781783681114</v>
      </c>
      <c r="S120" s="11">
        <v>0</v>
      </c>
      <c r="T120" s="11" t="s">
        <v>403</v>
      </c>
      <c r="U120" s="11" t="s">
        <v>403</v>
      </c>
      <c r="V120" s="11" t="s">
        <v>403</v>
      </c>
      <c r="W120" s="11" t="s">
        <v>403</v>
      </c>
      <c r="X120" s="11" t="s">
        <v>403</v>
      </c>
      <c r="Y120" s="11" t="s">
        <v>403</v>
      </c>
      <c r="Z120" s="11" t="s">
        <v>403</v>
      </c>
      <c r="AA120" s="11" t="s">
        <v>403</v>
      </c>
      <c r="AB120" s="11" t="s">
        <v>403</v>
      </c>
      <c r="AC120" s="11" t="s">
        <v>403</v>
      </c>
      <c r="AD120" s="11" t="s">
        <v>403</v>
      </c>
      <c r="AE120" s="11" t="s">
        <v>403</v>
      </c>
      <c r="AF120" s="18">
        <f t="shared" ref="AF120:AK183" si="16">IFERROR(T120/H120,0)</f>
        <v>0</v>
      </c>
      <c r="AG120" s="18">
        <f t="shared" si="16"/>
        <v>0</v>
      </c>
      <c r="AH120" s="18">
        <f t="shared" si="16"/>
        <v>0</v>
      </c>
      <c r="AI120" s="18">
        <f t="shared" si="15"/>
        <v>0</v>
      </c>
      <c r="AJ120" s="18">
        <f t="shared" si="15"/>
        <v>0</v>
      </c>
      <c r="AK120" s="18">
        <f t="shared" si="15"/>
        <v>0</v>
      </c>
      <c r="AL120" s="18">
        <f t="shared" si="14"/>
        <v>0</v>
      </c>
      <c r="AM120" s="18">
        <f t="shared" si="14"/>
        <v>0</v>
      </c>
      <c r="AN120" s="18">
        <f t="shared" si="14"/>
        <v>0</v>
      </c>
      <c r="AO120" s="18">
        <f t="shared" si="14"/>
        <v>0</v>
      </c>
      <c r="AP120" s="18">
        <f t="shared" si="14"/>
        <v>0</v>
      </c>
      <c r="AQ120" s="18">
        <f t="shared" si="14"/>
        <v>0</v>
      </c>
    </row>
    <row r="121" spans="1:43" x14ac:dyDescent="0.3">
      <c r="A121" s="9" t="s">
        <v>111</v>
      </c>
      <c r="B121" s="10" t="s">
        <v>480</v>
      </c>
      <c r="C121" s="10" t="s">
        <v>20</v>
      </c>
      <c r="D121" s="10" t="s">
        <v>38</v>
      </c>
      <c r="E121" s="10" t="s">
        <v>693</v>
      </c>
      <c r="F121" s="10" t="s">
        <v>694</v>
      </c>
      <c r="G121" s="10" t="s">
        <v>696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 t="s">
        <v>403</v>
      </c>
      <c r="U121" s="11" t="s">
        <v>403</v>
      </c>
      <c r="V121" s="11" t="s">
        <v>403</v>
      </c>
      <c r="W121" s="11" t="s">
        <v>403</v>
      </c>
      <c r="X121" s="11" t="s">
        <v>403</v>
      </c>
      <c r="Y121" s="11" t="s">
        <v>403</v>
      </c>
      <c r="Z121" s="11" t="s">
        <v>403</v>
      </c>
      <c r="AA121" s="11" t="s">
        <v>403</v>
      </c>
      <c r="AB121" s="11" t="s">
        <v>403</v>
      </c>
      <c r="AC121" s="11" t="s">
        <v>403</v>
      </c>
      <c r="AD121" s="11" t="s">
        <v>403</v>
      </c>
      <c r="AE121" s="11" t="s">
        <v>403</v>
      </c>
      <c r="AF121" s="18">
        <f t="shared" si="16"/>
        <v>0</v>
      </c>
      <c r="AG121" s="18">
        <f t="shared" si="16"/>
        <v>0</v>
      </c>
      <c r="AH121" s="18">
        <f t="shared" si="16"/>
        <v>0</v>
      </c>
      <c r="AI121" s="18">
        <f t="shared" si="15"/>
        <v>0</v>
      </c>
      <c r="AJ121" s="18">
        <f t="shared" si="15"/>
        <v>0</v>
      </c>
      <c r="AK121" s="18">
        <f t="shared" si="15"/>
        <v>0</v>
      </c>
      <c r="AL121" s="18">
        <f t="shared" si="14"/>
        <v>0</v>
      </c>
      <c r="AM121" s="18">
        <f t="shared" si="14"/>
        <v>0</v>
      </c>
      <c r="AN121" s="18">
        <f t="shared" si="14"/>
        <v>0</v>
      </c>
      <c r="AO121" s="18">
        <f t="shared" si="14"/>
        <v>0</v>
      </c>
      <c r="AP121" s="18">
        <f t="shared" si="14"/>
        <v>0</v>
      </c>
      <c r="AQ121" s="18">
        <f t="shared" si="14"/>
        <v>0</v>
      </c>
    </row>
    <row r="122" spans="1:43" x14ac:dyDescent="0.3">
      <c r="A122" s="9" t="s">
        <v>376</v>
      </c>
      <c r="B122" s="10" t="s">
        <v>686</v>
      </c>
      <c r="C122" s="10" t="s">
        <v>20</v>
      </c>
      <c r="D122" s="10" t="s">
        <v>30</v>
      </c>
      <c r="E122" s="10" t="s">
        <v>693</v>
      </c>
      <c r="F122" s="10" t="s">
        <v>701</v>
      </c>
      <c r="G122" s="10" t="s">
        <v>696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 t="s">
        <v>403</v>
      </c>
      <c r="U122" s="11" t="s">
        <v>403</v>
      </c>
      <c r="V122" s="11" t="s">
        <v>403</v>
      </c>
      <c r="W122" s="11" t="s">
        <v>403</v>
      </c>
      <c r="X122" s="11" t="s">
        <v>403</v>
      </c>
      <c r="Y122" s="11" t="s">
        <v>403</v>
      </c>
      <c r="Z122" s="11" t="s">
        <v>403</v>
      </c>
      <c r="AA122" s="11" t="s">
        <v>403</v>
      </c>
      <c r="AB122" s="11" t="s">
        <v>403</v>
      </c>
      <c r="AC122" s="11" t="s">
        <v>403</v>
      </c>
      <c r="AD122" s="11" t="s">
        <v>403</v>
      </c>
      <c r="AE122" s="11" t="s">
        <v>403</v>
      </c>
      <c r="AF122" s="18">
        <f t="shared" si="16"/>
        <v>0</v>
      </c>
      <c r="AG122" s="18">
        <f t="shared" si="16"/>
        <v>0</v>
      </c>
      <c r="AH122" s="18">
        <f t="shared" si="16"/>
        <v>0</v>
      </c>
      <c r="AI122" s="18">
        <f t="shared" si="15"/>
        <v>0</v>
      </c>
      <c r="AJ122" s="18">
        <f t="shared" si="15"/>
        <v>0</v>
      </c>
      <c r="AK122" s="18">
        <f t="shared" si="15"/>
        <v>0</v>
      </c>
      <c r="AL122" s="18">
        <f t="shared" si="14"/>
        <v>0</v>
      </c>
      <c r="AM122" s="18">
        <f t="shared" si="14"/>
        <v>0</v>
      </c>
      <c r="AN122" s="18">
        <f t="shared" si="14"/>
        <v>0</v>
      </c>
      <c r="AO122" s="18">
        <f t="shared" si="14"/>
        <v>0</v>
      </c>
      <c r="AP122" s="18">
        <f t="shared" si="14"/>
        <v>0</v>
      </c>
      <c r="AQ122" s="18">
        <f t="shared" si="14"/>
        <v>0</v>
      </c>
    </row>
    <row r="123" spans="1:43" x14ac:dyDescent="0.3">
      <c r="A123" s="9" t="s">
        <v>112</v>
      </c>
      <c r="B123" s="10" t="s">
        <v>481</v>
      </c>
      <c r="C123" s="10" t="s">
        <v>20</v>
      </c>
      <c r="D123" s="10" t="s">
        <v>30</v>
      </c>
      <c r="E123" s="10" t="s">
        <v>693</v>
      </c>
      <c r="F123" s="10" t="s">
        <v>694</v>
      </c>
      <c r="G123" s="10" t="s">
        <v>696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1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 t="s">
        <v>403</v>
      </c>
      <c r="AE123" s="11" t="s">
        <v>403</v>
      </c>
      <c r="AF123" s="18">
        <f t="shared" si="16"/>
        <v>0</v>
      </c>
      <c r="AG123" s="18">
        <f t="shared" si="16"/>
        <v>0</v>
      </c>
      <c r="AH123" s="18">
        <f t="shared" si="16"/>
        <v>0</v>
      </c>
      <c r="AI123" s="18">
        <f t="shared" si="15"/>
        <v>0</v>
      </c>
      <c r="AJ123" s="18">
        <f t="shared" si="15"/>
        <v>0</v>
      </c>
      <c r="AK123" s="18">
        <f t="shared" si="15"/>
        <v>0</v>
      </c>
      <c r="AL123" s="18">
        <f t="shared" si="14"/>
        <v>0</v>
      </c>
      <c r="AM123" s="18">
        <f t="shared" si="14"/>
        <v>0</v>
      </c>
      <c r="AN123" s="18">
        <f t="shared" si="14"/>
        <v>0</v>
      </c>
      <c r="AO123" s="18">
        <f t="shared" si="14"/>
        <v>0</v>
      </c>
      <c r="AP123" s="18">
        <f t="shared" si="14"/>
        <v>0</v>
      </c>
      <c r="AQ123" s="18">
        <f t="shared" si="14"/>
        <v>0</v>
      </c>
    </row>
    <row r="124" spans="1:43" x14ac:dyDescent="0.3">
      <c r="A124" s="9" t="s">
        <v>27</v>
      </c>
      <c r="B124" s="10" t="s">
        <v>409</v>
      </c>
      <c r="C124" s="10" t="s">
        <v>20</v>
      </c>
      <c r="D124" s="10" t="s">
        <v>36</v>
      </c>
      <c r="E124" s="10" t="s">
        <v>693</v>
      </c>
      <c r="F124" s="10" t="s">
        <v>694</v>
      </c>
      <c r="G124" s="10" t="s">
        <v>697</v>
      </c>
      <c r="H124" s="11">
        <v>1.5506493506493551</v>
      </c>
      <c r="I124" s="11">
        <v>3.8010152284263796</v>
      </c>
      <c r="J124" s="11">
        <v>1.9317688266199602</v>
      </c>
      <c r="K124" s="11">
        <v>1.2859744990892601</v>
      </c>
      <c r="L124" s="11">
        <v>5.2125435540069587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1.3244781783681114</v>
      </c>
      <c r="S124" s="11">
        <v>0</v>
      </c>
      <c r="T124" s="11">
        <v>0</v>
      </c>
      <c r="U124" s="11">
        <v>0</v>
      </c>
      <c r="V124" s="11">
        <v>3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 t="s">
        <v>403</v>
      </c>
      <c r="AE124" s="11" t="s">
        <v>403</v>
      </c>
      <c r="AF124" s="18">
        <f t="shared" si="16"/>
        <v>0</v>
      </c>
      <c r="AG124" s="18">
        <f t="shared" si="16"/>
        <v>0</v>
      </c>
      <c r="AH124" s="18">
        <f t="shared" si="16"/>
        <v>1.5529808529155826</v>
      </c>
      <c r="AI124" s="18">
        <f t="shared" si="15"/>
        <v>0</v>
      </c>
      <c r="AJ124" s="18">
        <f t="shared" si="15"/>
        <v>0</v>
      </c>
      <c r="AK124" s="18">
        <f t="shared" si="15"/>
        <v>0</v>
      </c>
      <c r="AL124" s="18">
        <f t="shared" si="14"/>
        <v>0</v>
      </c>
      <c r="AM124" s="18">
        <f t="shared" si="14"/>
        <v>0</v>
      </c>
      <c r="AN124" s="18">
        <f t="shared" si="14"/>
        <v>0</v>
      </c>
      <c r="AO124" s="18">
        <f t="shared" si="14"/>
        <v>0</v>
      </c>
      <c r="AP124" s="18">
        <f t="shared" si="14"/>
        <v>0</v>
      </c>
      <c r="AQ124" s="18">
        <f t="shared" si="14"/>
        <v>0</v>
      </c>
    </row>
    <row r="125" spans="1:43" x14ac:dyDescent="0.3">
      <c r="A125" s="9" t="s">
        <v>91</v>
      </c>
      <c r="B125" s="10" t="s">
        <v>460</v>
      </c>
      <c r="C125" s="10" t="s">
        <v>20</v>
      </c>
      <c r="D125" s="10" t="s">
        <v>38</v>
      </c>
      <c r="E125" s="10" t="s">
        <v>693</v>
      </c>
      <c r="F125" s="10" t="s">
        <v>694</v>
      </c>
      <c r="G125" s="10" t="s">
        <v>696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 t="s">
        <v>403</v>
      </c>
      <c r="U125" s="11" t="s">
        <v>403</v>
      </c>
      <c r="V125" s="11" t="s">
        <v>403</v>
      </c>
      <c r="W125" s="11" t="s">
        <v>403</v>
      </c>
      <c r="X125" s="11" t="s">
        <v>403</v>
      </c>
      <c r="Y125" s="11" t="s">
        <v>403</v>
      </c>
      <c r="Z125" s="11" t="s">
        <v>403</v>
      </c>
      <c r="AA125" s="11" t="s">
        <v>403</v>
      </c>
      <c r="AB125" s="11" t="s">
        <v>403</v>
      </c>
      <c r="AC125" s="11" t="s">
        <v>403</v>
      </c>
      <c r="AD125" s="11" t="s">
        <v>403</v>
      </c>
      <c r="AE125" s="11" t="s">
        <v>403</v>
      </c>
      <c r="AF125" s="18">
        <f t="shared" si="16"/>
        <v>0</v>
      </c>
      <c r="AG125" s="18">
        <f t="shared" si="16"/>
        <v>0</v>
      </c>
      <c r="AH125" s="18">
        <f t="shared" si="16"/>
        <v>0</v>
      </c>
      <c r="AI125" s="18">
        <f t="shared" si="15"/>
        <v>0</v>
      </c>
      <c r="AJ125" s="18">
        <f t="shared" si="15"/>
        <v>0</v>
      </c>
      <c r="AK125" s="18">
        <f t="shared" si="15"/>
        <v>0</v>
      </c>
      <c r="AL125" s="18">
        <f t="shared" si="14"/>
        <v>0</v>
      </c>
      <c r="AM125" s="18">
        <f t="shared" si="14"/>
        <v>0</v>
      </c>
      <c r="AN125" s="18">
        <f t="shared" si="14"/>
        <v>0</v>
      </c>
      <c r="AO125" s="18">
        <f t="shared" si="14"/>
        <v>0</v>
      </c>
      <c r="AP125" s="18">
        <f t="shared" si="14"/>
        <v>0</v>
      </c>
      <c r="AQ125" s="18">
        <f t="shared" si="14"/>
        <v>0</v>
      </c>
    </row>
    <row r="126" spans="1:43" x14ac:dyDescent="0.3">
      <c r="A126" s="9" t="s">
        <v>71</v>
      </c>
      <c r="B126" s="10" t="s">
        <v>440</v>
      </c>
      <c r="C126" s="10" t="s">
        <v>20</v>
      </c>
      <c r="D126" s="10" t="s">
        <v>36</v>
      </c>
      <c r="E126" s="10" t="s">
        <v>693</v>
      </c>
      <c r="F126" s="10" t="s">
        <v>694</v>
      </c>
      <c r="G126" s="10" t="s">
        <v>697</v>
      </c>
      <c r="H126" s="11">
        <v>1.5506493506493551</v>
      </c>
      <c r="I126" s="11">
        <v>0</v>
      </c>
      <c r="J126" s="11">
        <v>0</v>
      </c>
      <c r="K126" s="11">
        <v>0</v>
      </c>
      <c r="L126" s="11">
        <v>3.9094076655052192</v>
      </c>
      <c r="M126" s="11">
        <v>0</v>
      </c>
      <c r="N126" s="11">
        <v>1.3105590062111734</v>
      </c>
      <c r="O126" s="11">
        <v>1.3519668737060118</v>
      </c>
      <c r="P126" s="11">
        <v>1.3025404157043832</v>
      </c>
      <c r="Q126" s="11">
        <v>0</v>
      </c>
      <c r="R126" s="11">
        <v>0</v>
      </c>
      <c r="S126" s="11">
        <v>0</v>
      </c>
      <c r="T126" s="11">
        <v>1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 t="s">
        <v>403</v>
      </c>
      <c r="AE126" s="11" t="s">
        <v>403</v>
      </c>
      <c r="AF126" s="18">
        <f t="shared" si="16"/>
        <v>0.64489112227805512</v>
      </c>
      <c r="AG126" s="18">
        <f t="shared" si="16"/>
        <v>0</v>
      </c>
      <c r="AH126" s="18">
        <f t="shared" si="16"/>
        <v>0</v>
      </c>
      <c r="AI126" s="18">
        <f t="shared" si="15"/>
        <v>0</v>
      </c>
      <c r="AJ126" s="18">
        <f t="shared" si="15"/>
        <v>0</v>
      </c>
      <c r="AK126" s="18">
        <f t="shared" si="15"/>
        <v>0</v>
      </c>
      <c r="AL126" s="18">
        <f t="shared" si="14"/>
        <v>0</v>
      </c>
      <c r="AM126" s="18">
        <f t="shared" si="14"/>
        <v>0</v>
      </c>
      <c r="AN126" s="18">
        <f t="shared" si="14"/>
        <v>0</v>
      </c>
      <c r="AO126" s="18">
        <f t="shared" si="14"/>
        <v>0</v>
      </c>
      <c r="AP126" s="18">
        <f t="shared" si="14"/>
        <v>0</v>
      </c>
      <c r="AQ126" s="18">
        <f t="shared" si="14"/>
        <v>0</v>
      </c>
    </row>
    <row r="127" spans="1:43" x14ac:dyDescent="0.3">
      <c r="A127" s="9" t="s">
        <v>37</v>
      </c>
      <c r="B127" s="10" t="s">
        <v>414</v>
      </c>
      <c r="C127" s="10" t="s">
        <v>20</v>
      </c>
      <c r="D127" s="10" t="s">
        <v>38</v>
      </c>
      <c r="E127" s="10" t="s">
        <v>693</v>
      </c>
      <c r="F127" s="10" t="s">
        <v>694</v>
      </c>
      <c r="G127" s="10" t="s">
        <v>696</v>
      </c>
      <c r="H127" s="11">
        <v>0</v>
      </c>
      <c r="I127" s="11">
        <v>0</v>
      </c>
      <c r="J127" s="11">
        <v>3.8635376532399204</v>
      </c>
      <c r="K127" s="11">
        <v>1.2859744990892601</v>
      </c>
      <c r="L127" s="11">
        <v>0</v>
      </c>
      <c r="M127" s="11">
        <v>0</v>
      </c>
      <c r="N127" s="11">
        <v>2.6211180124223468</v>
      </c>
      <c r="O127" s="11">
        <v>0</v>
      </c>
      <c r="P127" s="11">
        <v>0</v>
      </c>
      <c r="Q127" s="11">
        <v>1.3081632653061233</v>
      </c>
      <c r="R127" s="11">
        <v>0</v>
      </c>
      <c r="S127" s="11">
        <v>0</v>
      </c>
      <c r="T127" s="11">
        <v>1</v>
      </c>
      <c r="U127" s="11">
        <v>1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 t="s">
        <v>403</v>
      </c>
      <c r="AE127" s="11" t="s">
        <v>403</v>
      </c>
      <c r="AF127" s="18">
        <f t="shared" si="16"/>
        <v>0</v>
      </c>
      <c r="AG127" s="18">
        <f t="shared" si="16"/>
        <v>0</v>
      </c>
      <c r="AH127" s="18">
        <f t="shared" si="16"/>
        <v>0</v>
      </c>
      <c r="AI127" s="18">
        <f t="shared" si="15"/>
        <v>0</v>
      </c>
      <c r="AJ127" s="18">
        <f t="shared" si="15"/>
        <v>0</v>
      </c>
      <c r="AK127" s="18">
        <f t="shared" si="15"/>
        <v>0</v>
      </c>
      <c r="AL127" s="18">
        <f t="shared" si="14"/>
        <v>0</v>
      </c>
      <c r="AM127" s="18">
        <f t="shared" si="14"/>
        <v>0</v>
      </c>
      <c r="AN127" s="18">
        <f t="shared" si="14"/>
        <v>0</v>
      </c>
      <c r="AO127" s="18">
        <f t="shared" si="14"/>
        <v>0</v>
      </c>
      <c r="AP127" s="18">
        <f t="shared" si="14"/>
        <v>0</v>
      </c>
      <c r="AQ127" s="18">
        <f t="shared" si="14"/>
        <v>0</v>
      </c>
    </row>
    <row r="128" spans="1:43" x14ac:dyDescent="0.3">
      <c r="A128" s="9" t="s">
        <v>98</v>
      </c>
      <c r="B128" s="10" t="s">
        <v>467</v>
      </c>
      <c r="C128" s="10" t="s">
        <v>20</v>
      </c>
      <c r="D128" s="10" t="s">
        <v>30</v>
      </c>
      <c r="E128" s="10" t="s">
        <v>693</v>
      </c>
      <c r="F128" s="10" t="s">
        <v>694</v>
      </c>
      <c r="G128" s="10" t="s">
        <v>696</v>
      </c>
      <c r="H128" s="11">
        <v>1.5506493506493551</v>
      </c>
      <c r="I128" s="11">
        <v>1.9005076142131898</v>
      </c>
      <c r="J128" s="11">
        <v>5.7953064798598808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2.6489563567362229</v>
      </c>
      <c r="S128" s="11">
        <v>1.3308957952467966</v>
      </c>
      <c r="T128" s="11">
        <v>1</v>
      </c>
      <c r="U128" s="11">
        <v>0</v>
      </c>
      <c r="V128" s="11">
        <v>1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 t="s">
        <v>403</v>
      </c>
      <c r="AE128" s="11" t="s">
        <v>403</v>
      </c>
      <c r="AF128" s="18">
        <f t="shared" si="16"/>
        <v>0.64489112227805512</v>
      </c>
      <c r="AG128" s="18">
        <f t="shared" si="16"/>
        <v>0</v>
      </c>
      <c r="AH128" s="18">
        <f t="shared" si="16"/>
        <v>0.17255342810173138</v>
      </c>
      <c r="AI128" s="18">
        <f t="shared" si="15"/>
        <v>0</v>
      </c>
      <c r="AJ128" s="18">
        <f t="shared" si="15"/>
        <v>0</v>
      </c>
      <c r="AK128" s="18">
        <f t="shared" si="15"/>
        <v>0</v>
      </c>
      <c r="AL128" s="18">
        <f t="shared" si="14"/>
        <v>0</v>
      </c>
      <c r="AM128" s="18">
        <f t="shared" si="14"/>
        <v>0</v>
      </c>
      <c r="AN128" s="18">
        <f t="shared" si="14"/>
        <v>0</v>
      </c>
      <c r="AO128" s="18">
        <f t="shared" si="14"/>
        <v>0</v>
      </c>
      <c r="AP128" s="18">
        <f t="shared" si="14"/>
        <v>0</v>
      </c>
      <c r="AQ128" s="18">
        <f t="shared" si="14"/>
        <v>0</v>
      </c>
    </row>
    <row r="129" spans="1:43" x14ac:dyDescent="0.3">
      <c r="A129" s="9" t="s">
        <v>377</v>
      </c>
      <c r="B129" s="10" t="s">
        <v>687</v>
      </c>
      <c r="C129" s="10" t="s">
        <v>20</v>
      </c>
      <c r="D129" s="10" t="s">
        <v>30</v>
      </c>
      <c r="E129" s="10" t="s">
        <v>693</v>
      </c>
      <c r="F129" s="10" t="s">
        <v>701</v>
      </c>
      <c r="G129" s="10" t="s">
        <v>696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 t="s">
        <v>403</v>
      </c>
      <c r="U129" s="11" t="s">
        <v>403</v>
      </c>
      <c r="V129" s="11" t="s">
        <v>403</v>
      </c>
      <c r="W129" s="11" t="s">
        <v>403</v>
      </c>
      <c r="X129" s="11" t="s">
        <v>403</v>
      </c>
      <c r="Y129" s="11" t="s">
        <v>403</v>
      </c>
      <c r="Z129" s="11" t="s">
        <v>403</v>
      </c>
      <c r="AA129" s="11" t="s">
        <v>403</v>
      </c>
      <c r="AB129" s="11" t="s">
        <v>403</v>
      </c>
      <c r="AC129" s="11" t="s">
        <v>403</v>
      </c>
      <c r="AD129" s="11" t="s">
        <v>403</v>
      </c>
      <c r="AE129" s="11" t="s">
        <v>403</v>
      </c>
      <c r="AF129" s="18">
        <f t="shared" si="16"/>
        <v>0</v>
      </c>
      <c r="AG129" s="18">
        <f t="shared" si="16"/>
        <v>0</v>
      </c>
      <c r="AH129" s="18">
        <f t="shared" si="16"/>
        <v>0</v>
      </c>
      <c r="AI129" s="18">
        <f t="shared" si="15"/>
        <v>0</v>
      </c>
      <c r="AJ129" s="18">
        <f t="shared" si="15"/>
        <v>0</v>
      </c>
      <c r="AK129" s="18">
        <f t="shared" si="15"/>
        <v>0</v>
      </c>
      <c r="AL129" s="18">
        <f t="shared" si="14"/>
        <v>0</v>
      </c>
      <c r="AM129" s="18">
        <f t="shared" si="14"/>
        <v>0</v>
      </c>
      <c r="AN129" s="18">
        <f t="shared" si="14"/>
        <v>0</v>
      </c>
      <c r="AO129" s="18">
        <f t="shared" si="14"/>
        <v>0</v>
      </c>
      <c r="AP129" s="18">
        <f t="shared" si="14"/>
        <v>0</v>
      </c>
      <c r="AQ129" s="18">
        <f t="shared" si="14"/>
        <v>0</v>
      </c>
    </row>
    <row r="130" spans="1:43" x14ac:dyDescent="0.3">
      <c r="A130" s="9" t="s">
        <v>378</v>
      </c>
      <c r="B130" s="10" t="s">
        <v>688</v>
      </c>
      <c r="C130" s="10" t="s">
        <v>20</v>
      </c>
      <c r="D130" s="10" t="s">
        <v>36</v>
      </c>
      <c r="E130" s="10" t="s">
        <v>693</v>
      </c>
      <c r="F130" s="10" t="s">
        <v>701</v>
      </c>
      <c r="G130" s="10" t="s">
        <v>697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 t="s">
        <v>403</v>
      </c>
      <c r="U130" s="11" t="s">
        <v>403</v>
      </c>
      <c r="V130" s="11" t="s">
        <v>403</v>
      </c>
      <c r="W130" s="11" t="s">
        <v>403</v>
      </c>
      <c r="X130" s="11" t="s">
        <v>403</v>
      </c>
      <c r="Y130" s="11" t="s">
        <v>403</v>
      </c>
      <c r="Z130" s="11" t="s">
        <v>403</v>
      </c>
      <c r="AA130" s="11" t="s">
        <v>403</v>
      </c>
      <c r="AB130" s="11" t="s">
        <v>403</v>
      </c>
      <c r="AC130" s="11" t="s">
        <v>403</v>
      </c>
      <c r="AD130" s="11" t="s">
        <v>403</v>
      </c>
      <c r="AE130" s="11" t="s">
        <v>403</v>
      </c>
      <c r="AF130" s="18">
        <f t="shared" si="16"/>
        <v>0</v>
      </c>
      <c r="AG130" s="18">
        <f t="shared" si="16"/>
        <v>0</v>
      </c>
      <c r="AH130" s="18">
        <f t="shared" si="16"/>
        <v>0</v>
      </c>
      <c r="AI130" s="18">
        <f t="shared" si="15"/>
        <v>0</v>
      </c>
      <c r="AJ130" s="18">
        <f t="shared" si="15"/>
        <v>0</v>
      </c>
      <c r="AK130" s="18">
        <f t="shared" si="15"/>
        <v>0</v>
      </c>
      <c r="AL130" s="18">
        <f t="shared" si="14"/>
        <v>0</v>
      </c>
      <c r="AM130" s="18">
        <f t="shared" si="14"/>
        <v>0</v>
      </c>
      <c r="AN130" s="18">
        <f t="shared" si="14"/>
        <v>0</v>
      </c>
      <c r="AO130" s="18">
        <f t="shared" si="14"/>
        <v>0</v>
      </c>
      <c r="AP130" s="18">
        <f t="shared" si="14"/>
        <v>0</v>
      </c>
      <c r="AQ130" s="18">
        <f t="shared" si="14"/>
        <v>0</v>
      </c>
    </row>
    <row r="131" spans="1:43" x14ac:dyDescent="0.3">
      <c r="A131" s="9" t="s">
        <v>23</v>
      </c>
      <c r="B131" s="10" t="s">
        <v>406</v>
      </c>
      <c r="C131" s="10" t="s">
        <v>20</v>
      </c>
      <c r="D131" s="10" t="s">
        <v>30</v>
      </c>
      <c r="E131" s="10" t="s">
        <v>693</v>
      </c>
      <c r="F131" s="10" t="s">
        <v>694</v>
      </c>
      <c r="G131" s="10" t="s">
        <v>696</v>
      </c>
      <c r="H131" s="11">
        <v>1.5506493506493551</v>
      </c>
      <c r="I131" s="11">
        <v>1.9005076142131898</v>
      </c>
      <c r="J131" s="11">
        <v>1.9317688266199602</v>
      </c>
      <c r="K131" s="11">
        <v>0</v>
      </c>
      <c r="L131" s="11">
        <v>0</v>
      </c>
      <c r="M131" s="11">
        <v>1.3522727272727368</v>
      </c>
      <c r="N131" s="11">
        <v>0</v>
      </c>
      <c r="O131" s="11">
        <v>0</v>
      </c>
      <c r="P131" s="11">
        <v>2.6050808314087663</v>
      </c>
      <c r="Q131" s="11">
        <v>0</v>
      </c>
      <c r="R131" s="11">
        <v>0</v>
      </c>
      <c r="S131" s="11">
        <v>0</v>
      </c>
      <c r="T131" s="11">
        <v>2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 t="s">
        <v>403</v>
      </c>
      <c r="AE131" s="11" t="s">
        <v>403</v>
      </c>
      <c r="AF131" s="18">
        <f t="shared" si="16"/>
        <v>1.2897822445561102</v>
      </c>
      <c r="AG131" s="18">
        <f t="shared" si="16"/>
        <v>0</v>
      </c>
      <c r="AH131" s="18">
        <f t="shared" si="16"/>
        <v>0</v>
      </c>
      <c r="AI131" s="18">
        <f t="shared" si="15"/>
        <v>0</v>
      </c>
      <c r="AJ131" s="18">
        <f t="shared" si="15"/>
        <v>0</v>
      </c>
      <c r="AK131" s="18">
        <f t="shared" si="15"/>
        <v>0</v>
      </c>
      <c r="AL131" s="18">
        <f t="shared" si="14"/>
        <v>0</v>
      </c>
      <c r="AM131" s="18">
        <f t="shared" si="14"/>
        <v>0</v>
      </c>
      <c r="AN131" s="18">
        <f t="shared" si="14"/>
        <v>0</v>
      </c>
      <c r="AO131" s="18">
        <f t="shared" si="14"/>
        <v>0</v>
      </c>
      <c r="AP131" s="18">
        <f t="shared" si="14"/>
        <v>0</v>
      </c>
      <c r="AQ131" s="18">
        <f t="shared" si="14"/>
        <v>0</v>
      </c>
    </row>
    <row r="132" spans="1:43" x14ac:dyDescent="0.3">
      <c r="A132" s="9" t="s">
        <v>26</v>
      </c>
      <c r="B132" s="10" t="s">
        <v>408</v>
      </c>
      <c r="C132" s="10" t="s">
        <v>20</v>
      </c>
      <c r="D132" s="10" t="s">
        <v>34</v>
      </c>
      <c r="E132" s="10" t="s">
        <v>693</v>
      </c>
      <c r="F132" s="10" t="s">
        <v>694</v>
      </c>
      <c r="G132" s="10" t="s">
        <v>697</v>
      </c>
      <c r="H132" s="11">
        <v>0</v>
      </c>
      <c r="I132" s="11">
        <v>0</v>
      </c>
      <c r="J132" s="11">
        <v>0</v>
      </c>
      <c r="K132" s="11">
        <v>1.2859744990892601</v>
      </c>
      <c r="L132" s="11">
        <v>0</v>
      </c>
      <c r="M132" s="11">
        <v>1.3522727272727368</v>
      </c>
      <c r="N132" s="11">
        <v>1.3105590062111734</v>
      </c>
      <c r="O132" s="11">
        <v>0</v>
      </c>
      <c r="P132" s="11">
        <v>2.6050808314087663</v>
      </c>
      <c r="Q132" s="11">
        <v>0</v>
      </c>
      <c r="R132" s="11">
        <v>0</v>
      </c>
      <c r="S132" s="11">
        <v>0</v>
      </c>
      <c r="T132" s="11">
        <v>1</v>
      </c>
      <c r="U132" s="11">
        <v>1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 t="s">
        <v>403</v>
      </c>
      <c r="AE132" s="11" t="s">
        <v>403</v>
      </c>
      <c r="AF132" s="18">
        <f t="shared" si="16"/>
        <v>0</v>
      </c>
      <c r="AG132" s="18">
        <f t="shared" si="16"/>
        <v>0</v>
      </c>
      <c r="AH132" s="18">
        <f t="shared" si="16"/>
        <v>0</v>
      </c>
      <c r="AI132" s="18">
        <f t="shared" si="15"/>
        <v>0</v>
      </c>
      <c r="AJ132" s="18">
        <f t="shared" si="15"/>
        <v>0</v>
      </c>
      <c r="AK132" s="18">
        <f t="shared" si="15"/>
        <v>0</v>
      </c>
      <c r="AL132" s="18">
        <f t="shared" si="14"/>
        <v>0</v>
      </c>
      <c r="AM132" s="18">
        <f t="shared" si="14"/>
        <v>0</v>
      </c>
      <c r="AN132" s="18">
        <f t="shared" si="14"/>
        <v>0</v>
      </c>
      <c r="AO132" s="18">
        <f t="shared" ref="AO132:AQ195" si="17">IFERROR(AC132/Q132,0)</f>
        <v>0</v>
      </c>
      <c r="AP132" s="18">
        <f t="shared" si="17"/>
        <v>0</v>
      </c>
      <c r="AQ132" s="18">
        <f t="shared" si="17"/>
        <v>0</v>
      </c>
    </row>
    <row r="133" spans="1:43" x14ac:dyDescent="0.3">
      <c r="A133" s="9" t="s">
        <v>142</v>
      </c>
      <c r="B133" s="10" t="s">
        <v>500</v>
      </c>
      <c r="C133" s="10" t="s">
        <v>20</v>
      </c>
      <c r="D133" s="10" t="s">
        <v>32</v>
      </c>
      <c r="E133" s="10" t="s">
        <v>693</v>
      </c>
      <c r="F133" s="10" t="s">
        <v>694</v>
      </c>
      <c r="G133" s="10" t="s">
        <v>696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1.3308957952467966</v>
      </c>
      <c r="T133" s="11" t="s">
        <v>403</v>
      </c>
      <c r="U133" s="11" t="s">
        <v>403</v>
      </c>
      <c r="V133" s="11" t="s">
        <v>403</v>
      </c>
      <c r="W133" s="11" t="s">
        <v>403</v>
      </c>
      <c r="X133" s="11" t="s">
        <v>403</v>
      </c>
      <c r="Y133" s="11" t="s">
        <v>403</v>
      </c>
      <c r="Z133" s="11" t="s">
        <v>403</v>
      </c>
      <c r="AA133" s="11" t="s">
        <v>403</v>
      </c>
      <c r="AB133" s="11" t="s">
        <v>403</v>
      </c>
      <c r="AC133" s="11" t="s">
        <v>403</v>
      </c>
      <c r="AD133" s="11" t="s">
        <v>403</v>
      </c>
      <c r="AE133" s="11" t="s">
        <v>403</v>
      </c>
      <c r="AF133" s="18">
        <f t="shared" si="16"/>
        <v>0</v>
      </c>
      <c r="AG133" s="18">
        <f t="shared" si="16"/>
        <v>0</v>
      </c>
      <c r="AH133" s="18">
        <f t="shared" si="16"/>
        <v>0</v>
      </c>
      <c r="AI133" s="18">
        <f t="shared" si="15"/>
        <v>0</v>
      </c>
      <c r="AJ133" s="18">
        <f t="shared" si="15"/>
        <v>0</v>
      </c>
      <c r="AK133" s="18">
        <f t="shared" si="15"/>
        <v>0</v>
      </c>
      <c r="AL133" s="18">
        <f t="shared" si="15"/>
        <v>0</v>
      </c>
      <c r="AM133" s="18">
        <f t="shared" si="15"/>
        <v>0</v>
      </c>
      <c r="AN133" s="18">
        <f t="shared" si="15"/>
        <v>0</v>
      </c>
      <c r="AO133" s="18">
        <f t="shared" si="17"/>
        <v>0</v>
      </c>
      <c r="AP133" s="18">
        <f t="shared" si="17"/>
        <v>0</v>
      </c>
      <c r="AQ133" s="18">
        <f t="shared" si="17"/>
        <v>0</v>
      </c>
    </row>
    <row r="134" spans="1:43" x14ac:dyDescent="0.3">
      <c r="A134" s="9" t="s">
        <v>74</v>
      </c>
      <c r="B134" s="10" t="s">
        <v>443</v>
      </c>
      <c r="C134" s="10" t="s">
        <v>20</v>
      </c>
      <c r="D134" s="10" t="s">
        <v>38</v>
      </c>
      <c r="E134" s="10" t="s">
        <v>693</v>
      </c>
      <c r="F134" s="10" t="s">
        <v>694</v>
      </c>
      <c r="G134" s="10" t="s">
        <v>696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1.3081632653061233</v>
      </c>
      <c r="R134" s="11">
        <v>2.6489563567362229</v>
      </c>
      <c r="S134" s="11">
        <v>2.6617915904935932</v>
      </c>
      <c r="T134" s="11" t="s">
        <v>403</v>
      </c>
      <c r="U134" s="11" t="s">
        <v>403</v>
      </c>
      <c r="V134" s="11" t="s">
        <v>403</v>
      </c>
      <c r="W134" s="11" t="s">
        <v>403</v>
      </c>
      <c r="X134" s="11" t="s">
        <v>403</v>
      </c>
      <c r="Y134" s="11" t="s">
        <v>403</v>
      </c>
      <c r="Z134" s="11" t="s">
        <v>403</v>
      </c>
      <c r="AA134" s="11" t="s">
        <v>403</v>
      </c>
      <c r="AB134" s="11" t="s">
        <v>403</v>
      </c>
      <c r="AC134" s="11" t="s">
        <v>403</v>
      </c>
      <c r="AD134" s="11" t="s">
        <v>403</v>
      </c>
      <c r="AE134" s="11" t="s">
        <v>403</v>
      </c>
      <c r="AF134" s="18">
        <f t="shared" si="16"/>
        <v>0</v>
      </c>
      <c r="AG134" s="18">
        <f t="shared" si="16"/>
        <v>0</v>
      </c>
      <c r="AH134" s="18">
        <f t="shared" si="16"/>
        <v>0</v>
      </c>
      <c r="AI134" s="18">
        <f t="shared" si="15"/>
        <v>0</v>
      </c>
      <c r="AJ134" s="18">
        <f t="shared" si="15"/>
        <v>0</v>
      </c>
      <c r="AK134" s="18">
        <f t="shared" si="15"/>
        <v>0</v>
      </c>
      <c r="AL134" s="18">
        <f t="shared" si="15"/>
        <v>0</v>
      </c>
      <c r="AM134" s="18">
        <f t="shared" si="15"/>
        <v>0</v>
      </c>
      <c r="AN134" s="18">
        <f t="shared" si="15"/>
        <v>0</v>
      </c>
      <c r="AO134" s="18">
        <f t="shared" si="17"/>
        <v>0</v>
      </c>
      <c r="AP134" s="18">
        <f t="shared" si="17"/>
        <v>0</v>
      </c>
      <c r="AQ134" s="18">
        <f t="shared" si="17"/>
        <v>0</v>
      </c>
    </row>
    <row r="135" spans="1:43" x14ac:dyDescent="0.3">
      <c r="A135" s="9" t="s">
        <v>146</v>
      </c>
      <c r="B135" s="10" t="s">
        <v>504</v>
      </c>
      <c r="C135" s="10" t="s">
        <v>20</v>
      </c>
      <c r="D135" s="10" t="s">
        <v>30</v>
      </c>
      <c r="E135" s="10" t="s">
        <v>693</v>
      </c>
      <c r="F135" s="10" t="s">
        <v>694</v>
      </c>
      <c r="G135" s="10" t="s">
        <v>696</v>
      </c>
      <c r="H135" s="11">
        <v>0</v>
      </c>
      <c r="I135" s="11">
        <v>0</v>
      </c>
      <c r="J135" s="11">
        <v>3.8635376532399204</v>
      </c>
      <c r="K135" s="11">
        <v>1.2859744990892601</v>
      </c>
      <c r="L135" s="11">
        <v>0</v>
      </c>
      <c r="M135" s="11">
        <v>1.3522727272727368</v>
      </c>
      <c r="N135" s="11">
        <v>0</v>
      </c>
      <c r="O135" s="11">
        <v>1.3519668737060118</v>
      </c>
      <c r="P135" s="11">
        <v>0</v>
      </c>
      <c r="Q135" s="11">
        <v>0</v>
      </c>
      <c r="R135" s="11">
        <v>0</v>
      </c>
      <c r="S135" s="11">
        <v>1.3308957952467966</v>
      </c>
      <c r="T135" s="11">
        <v>1</v>
      </c>
      <c r="U135" s="11">
        <v>1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 t="s">
        <v>403</v>
      </c>
      <c r="AE135" s="11" t="s">
        <v>403</v>
      </c>
      <c r="AF135" s="18">
        <f t="shared" si="16"/>
        <v>0</v>
      </c>
      <c r="AG135" s="18">
        <f t="shared" si="16"/>
        <v>0</v>
      </c>
      <c r="AH135" s="18">
        <f t="shared" si="16"/>
        <v>0</v>
      </c>
      <c r="AI135" s="18">
        <f t="shared" si="15"/>
        <v>0</v>
      </c>
      <c r="AJ135" s="18">
        <f t="shared" si="15"/>
        <v>0</v>
      </c>
      <c r="AK135" s="18">
        <f t="shared" si="15"/>
        <v>0</v>
      </c>
      <c r="AL135" s="18">
        <f t="shared" si="15"/>
        <v>0</v>
      </c>
      <c r="AM135" s="18">
        <f t="shared" si="15"/>
        <v>0</v>
      </c>
      <c r="AN135" s="18">
        <f t="shared" si="15"/>
        <v>0</v>
      </c>
      <c r="AO135" s="18">
        <f t="shared" si="17"/>
        <v>0</v>
      </c>
      <c r="AP135" s="18">
        <f t="shared" si="17"/>
        <v>0</v>
      </c>
      <c r="AQ135" s="18">
        <f t="shared" si="17"/>
        <v>0</v>
      </c>
    </row>
    <row r="136" spans="1:43" x14ac:dyDescent="0.3">
      <c r="A136" s="9" t="s">
        <v>78</v>
      </c>
      <c r="B136" s="10" t="s">
        <v>447</v>
      </c>
      <c r="C136" s="10" t="s">
        <v>20</v>
      </c>
      <c r="D136" s="10" t="s">
        <v>32</v>
      </c>
      <c r="E136" s="10" t="s">
        <v>693</v>
      </c>
      <c r="F136" s="10" t="s">
        <v>694</v>
      </c>
      <c r="G136" s="10" t="s">
        <v>696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1</v>
      </c>
      <c r="U136" s="11">
        <v>0</v>
      </c>
      <c r="V136" s="11">
        <v>1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 t="s">
        <v>403</v>
      </c>
      <c r="AE136" s="11" t="s">
        <v>403</v>
      </c>
      <c r="AF136" s="18">
        <f t="shared" si="16"/>
        <v>0</v>
      </c>
      <c r="AG136" s="18">
        <f t="shared" si="16"/>
        <v>0</v>
      </c>
      <c r="AH136" s="18">
        <f t="shared" si="16"/>
        <v>0</v>
      </c>
      <c r="AI136" s="18">
        <f t="shared" si="15"/>
        <v>0</v>
      </c>
      <c r="AJ136" s="18">
        <f t="shared" si="15"/>
        <v>0</v>
      </c>
      <c r="AK136" s="18">
        <f t="shared" si="15"/>
        <v>0</v>
      </c>
      <c r="AL136" s="18">
        <f t="shared" si="15"/>
        <v>0</v>
      </c>
      <c r="AM136" s="18">
        <f t="shared" si="15"/>
        <v>0</v>
      </c>
      <c r="AN136" s="18">
        <f t="shared" si="15"/>
        <v>0</v>
      </c>
      <c r="AO136" s="18">
        <f t="shared" si="17"/>
        <v>0</v>
      </c>
      <c r="AP136" s="18">
        <f t="shared" si="17"/>
        <v>0</v>
      </c>
      <c r="AQ136" s="18">
        <f t="shared" si="17"/>
        <v>0</v>
      </c>
    </row>
    <row r="137" spans="1:43" x14ac:dyDescent="0.3">
      <c r="A137" s="9" t="s">
        <v>145</v>
      </c>
      <c r="B137" s="10" t="s">
        <v>503</v>
      </c>
      <c r="C137" s="10" t="s">
        <v>20</v>
      </c>
      <c r="D137" s="10" t="s">
        <v>36</v>
      </c>
      <c r="E137" s="10" t="s">
        <v>693</v>
      </c>
      <c r="F137" s="10" t="s">
        <v>694</v>
      </c>
      <c r="G137" s="10" t="s">
        <v>697</v>
      </c>
      <c r="H137" s="11">
        <v>1.5506493506493551</v>
      </c>
      <c r="I137" s="11">
        <v>0</v>
      </c>
      <c r="J137" s="11">
        <v>0</v>
      </c>
      <c r="K137" s="11">
        <v>1.2859744990892601</v>
      </c>
      <c r="L137" s="11">
        <v>1.3031358885017397</v>
      </c>
      <c r="M137" s="11">
        <v>1.3522727272727368</v>
      </c>
      <c r="N137" s="11">
        <v>0</v>
      </c>
      <c r="O137" s="11">
        <v>1.3519668737060118</v>
      </c>
      <c r="P137" s="11">
        <v>0</v>
      </c>
      <c r="Q137" s="11">
        <v>1.3081632653061233</v>
      </c>
      <c r="R137" s="11">
        <v>1.3244781783681114</v>
      </c>
      <c r="S137" s="11">
        <v>2.6617915904935932</v>
      </c>
      <c r="T137" s="11" t="s">
        <v>403</v>
      </c>
      <c r="U137" s="11" t="s">
        <v>403</v>
      </c>
      <c r="V137" s="11" t="s">
        <v>403</v>
      </c>
      <c r="W137" s="11" t="s">
        <v>403</v>
      </c>
      <c r="X137" s="11" t="s">
        <v>403</v>
      </c>
      <c r="Y137" s="11" t="s">
        <v>403</v>
      </c>
      <c r="Z137" s="11" t="s">
        <v>403</v>
      </c>
      <c r="AA137" s="11" t="s">
        <v>403</v>
      </c>
      <c r="AB137" s="11" t="s">
        <v>403</v>
      </c>
      <c r="AC137" s="11" t="s">
        <v>403</v>
      </c>
      <c r="AD137" s="11" t="s">
        <v>403</v>
      </c>
      <c r="AE137" s="11" t="s">
        <v>403</v>
      </c>
      <c r="AF137" s="18">
        <f t="shared" si="16"/>
        <v>0</v>
      </c>
      <c r="AG137" s="18">
        <f t="shared" si="16"/>
        <v>0</v>
      </c>
      <c r="AH137" s="18">
        <f t="shared" si="16"/>
        <v>0</v>
      </c>
      <c r="AI137" s="18">
        <f t="shared" si="15"/>
        <v>0</v>
      </c>
      <c r="AJ137" s="18">
        <f t="shared" si="15"/>
        <v>0</v>
      </c>
      <c r="AK137" s="18">
        <f t="shared" si="15"/>
        <v>0</v>
      </c>
      <c r="AL137" s="18">
        <f t="shared" si="15"/>
        <v>0</v>
      </c>
      <c r="AM137" s="18">
        <f t="shared" si="15"/>
        <v>0</v>
      </c>
      <c r="AN137" s="18">
        <f t="shared" si="15"/>
        <v>0</v>
      </c>
      <c r="AO137" s="18">
        <f t="shared" si="17"/>
        <v>0</v>
      </c>
      <c r="AP137" s="18">
        <f t="shared" si="17"/>
        <v>0</v>
      </c>
      <c r="AQ137" s="18">
        <f t="shared" si="17"/>
        <v>0</v>
      </c>
    </row>
    <row r="138" spans="1:43" x14ac:dyDescent="0.3">
      <c r="A138" s="9" t="s">
        <v>139</v>
      </c>
      <c r="B138" s="10" t="s">
        <v>497</v>
      </c>
      <c r="C138" s="10" t="s">
        <v>20</v>
      </c>
      <c r="D138" s="10" t="s">
        <v>32</v>
      </c>
      <c r="E138" s="10" t="s">
        <v>693</v>
      </c>
      <c r="F138" s="10" t="s">
        <v>694</v>
      </c>
      <c r="G138" s="10" t="s">
        <v>696</v>
      </c>
      <c r="H138" s="11">
        <v>3.1012987012987101</v>
      </c>
      <c r="I138" s="11">
        <v>1.9005076142131898</v>
      </c>
      <c r="J138" s="11">
        <v>0</v>
      </c>
      <c r="K138" s="11">
        <v>0</v>
      </c>
      <c r="L138" s="11">
        <v>0</v>
      </c>
      <c r="M138" s="11">
        <v>1.3522727272727368</v>
      </c>
      <c r="N138" s="11">
        <v>0</v>
      </c>
      <c r="O138" s="11">
        <v>0</v>
      </c>
      <c r="P138" s="11">
        <v>0</v>
      </c>
      <c r="Q138" s="11">
        <v>2.6163265306122465</v>
      </c>
      <c r="R138" s="11">
        <v>2.6489563567362229</v>
      </c>
      <c r="S138" s="11">
        <v>1.3308957952467966</v>
      </c>
      <c r="T138" s="11">
        <v>0</v>
      </c>
      <c r="U138" s="11">
        <v>0</v>
      </c>
      <c r="V138" s="11">
        <v>1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 t="s">
        <v>403</v>
      </c>
      <c r="AE138" s="11" t="s">
        <v>403</v>
      </c>
      <c r="AF138" s="18">
        <f t="shared" si="16"/>
        <v>0</v>
      </c>
      <c r="AG138" s="18">
        <f t="shared" si="16"/>
        <v>0</v>
      </c>
      <c r="AH138" s="18">
        <f t="shared" si="16"/>
        <v>0</v>
      </c>
      <c r="AI138" s="18">
        <f t="shared" si="15"/>
        <v>0</v>
      </c>
      <c r="AJ138" s="18">
        <f t="shared" si="15"/>
        <v>0</v>
      </c>
      <c r="AK138" s="18">
        <f t="shared" si="15"/>
        <v>0</v>
      </c>
      <c r="AL138" s="18">
        <f t="shared" si="15"/>
        <v>0</v>
      </c>
      <c r="AM138" s="18">
        <f t="shared" si="15"/>
        <v>0</v>
      </c>
      <c r="AN138" s="18">
        <f t="shared" si="15"/>
        <v>0</v>
      </c>
      <c r="AO138" s="18">
        <f t="shared" si="17"/>
        <v>0</v>
      </c>
      <c r="AP138" s="18">
        <f t="shared" si="17"/>
        <v>0</v>
      </c>
      <c r="AQ138" s="18">
        <f t="shared" si="17"/>
        <v>0</v>
      </c>
    </row>
    <row r="139" spans="1:43" x14ac:dyDescent="0.3">
      <c r="A139" s="9" t="s">
        <v>157</v>
      </c>
      <c r="B139" s="10" t="s">
        <v>515</v>
      </c>
      <c r="C139" s="10" t="s">
        <v>20</v>
      </c>
      <c r="D139" s="10" t="s">
        <v>32</v>
      </c>
      <c r="E139" s="10" t="s">
        <v>693</v>
      </c>
      <c r="F139" s="10" t="s">
        <v>694</v>
      </c>
      <c r="G139" s="10" t="s">
        <v>696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1.3522727272727368</v>
      </c>
      <c r="N139" s="11">
        <v>0</v>
      </c>
      <c r="O139" s="11">
        <v>1.3519668737060118</v>
      </c>
      <c r="P139" s="11">
        <v>2.6050808314087663</v>
      </c>
      <c r="Q139" s="11">
        <v>1.3081632653061233</v>
      </c>
      <c r="R139" s="11">
        <v>2.6489563567362229</v>
      </c>
      <c r="S139" s="11">
        <v>0</v>
      </c>
      <c r="T139" s="11" t="s">
        <v>403</v>
      </c>
      <c r="U139" s="11" t="s">
        <v>403</v>
      </c>
      <c r="V139" s="11" t="s">
        <v>403</v>
      </c>
      <c r="W139" s="11" t="s">
        <v>403</v>
      </c>
      <c r="X139" s="11" t="s">
        <v>403</v>
      </c>
      <c r="Y139" s="11" t="s">
        <v>403</v>
      </c>
      <c r="Z139" s="11" t="s">
        <v>403</v>
      </c>
      <c r="AA139" s="11" t="s">
        <v>403</v>
      </c>
      <c r="AB139" s="11" t="s">
        <v>403</v>
      </c>
      <c r="AC139" s="11" t="s">
        <v>403</v>
      </c>
      <c r="AD139" s="11" t="s">
        <v>403</v>
      </c>
      <c r="AE139" s="11" t="s">
        <v>403</v>
      </c>
      <c r="AF139" s="18">
        <f t="shared" si="16"/>
        <v>0</v>
      </c>
      <c r="AG139" s="18">
        <f t="shared" si="16"/>
        <v>0</v>
      </c>
      <c r="AH139" s="18">
        <f t="shared" si="16"/>
        <v>0</v>
      </c>
      <c r="AI139" s="18">
        <f t="shared" si="15"/>
        <v>0</v>
      </c>
      <c r="AJ139" s="18">
        <f t="shared" si="15"/>
        <v>0</v>
      </c>
      <c r="AK139" s="18">
        <f t="shared" si="15"/>
        <v>0</v>
      </c>
      <c r="AL139" s="18">
        <f t="shared" si="15"/>
        <v>0</v>
      </c>
      <c r="AM139" s="18">
        <f t="shared" si="15"/>
        <v>0</v>
      </c>
      <c r="AN139" s="18">
        <f t="shared" si="15"/>
        <v>0</v>
      </c>
      <c r="AO139" s="18">
        <f t="shared" si="17"/>
        <v>0</v>
      </c>
      <c r="AP139" s="18">
        <f t="shared" si="17"/>
        <v>0</v>
      </c>
      <c r="AQ139" s="18">
        <f t="shared" si="17"/>
        <v>0</v>
      </c>
    </row>
    <row r="140" spans="1:43" x14ac:dyDescent="0.3">
      <c r="A140" s="9" t="s">
        <v>47</v>
      </c>
      <c r="B140" s="10" t="s">
        <v>419</v>
      </c>
      <c r="C140" s="10" t="s">
        <v>20</v>
      </c>
      <c r="D140" s="10" t="s">
        <v>38</v>
      </c>
      <c r="E140" s="10" t="s">
        <v>693</v>
      </c>
      <c r="F140" s="10" t="s">
        <v>694</v>
      </c>
      <c r="G140" s="10" t="s">
        <v>696</v>
      </c>
      <c r="H140" s="11">
        <v>1.5506493506493551</v>
      </c>
      <c r="I140" s="11">
        <v>5.7015228426395694</v>
      </c>
      <c r="J140" s="11">
        <v>5.7953064798598808</v>
      </c>
      <c r="K140" s="11">
        <v>3.8579234972677803</v>
      </c>
      <c r="L140" s="11">
        <v>0</v>
      </c>
      <c r="M140" s="11">
        <v>8.1136363636364202</v>
      </c>
      <c r="N140" s="11">
        <v>1.3105590062111734</v>
      </c>
      <c r="O140" s="11">
        <v>4.0559006211180346</v>
      </c>
      <c r="P140" s="11">
        <v>1.3025404157043832</v>
      </c>
      <c r="Q140" s="11">
        <v>1.3081632653061233</v>
      </c>
      <c r="R140" s="11">
        <v>3.9734345351043339</v>
      </c>
      <c r="S140" s="11">
        <v>1.3308957952467966</v>
      </c>
      <c r="T140" s="11">
        <v>3</v>
      </c>
      <c r="U140" s="11">
        <v>1</v>
      </c>
      <c r="V140" s="11">
        <v>1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 t="s">
        <v>403</v>
      </c>
      <c r="AE140" s="11" t="s">
        <v>403</v>
      </c>
      <c r="AF140" s="18">
        <f t="shared" si="16"/>
        <v>1.9346733668341654</v>
      </c>
      <c r="AG140" s="18">
        <f t="shared" si="16"/>
        <v>0.17539173789173865</v>
      </c>
      <c r="AH140" s="18">
        <f t="shared" si="16"/>
        <v>0.17255342810173138</v>
      </c>
      <c r="AI140" s="18">
        <f t="shared" si="15"/>
        <v>0</v>
      </c>
      <c r="AJ140" s="18">
        <f t="shared" si="15"/>
        <v>0</v>
      </c>
      <c r="AK140" s="18">
        <f t="shared" si="15"/>
        <v>0</v>
      </c>
      <c r="AL140" s="18">
        <f t="shared" si="15"/>
        <v>0</v>
      </c>
      <c r="AM140" s="18">
        <f t="shared" si="15"/>
        <v>0</v>
      </c>
      <c r="AN140" s="18">
        <f t="shared" si="15"/>
        <v>0</v>
      </c>
      <c r="AO140" s="18">
        <f t="shared" si="17"/>
        <v>0</v>
      </c>
      <c r="AP140" s="18">
        <f t="shared" si="17"/>
        <v>0</v>
      </c>
      <c r="AQ140" s="18">
        <f t="shared" si="17"/>
        <v>0</v>
      </c>
    </row>
    <row r="141" spans="1:43" x14ac:dyDescent="0.3">
      <c r="A141" s="9" t="s">
        <v>117</v>
      </c>
      <c r="B141" s="10" t="s">
        <v>485</v>
      </c>
      <c r="C141" s="10" t="s">
        <v>20</v>
      </c>
      <c r="D141" s="10" t="s">
        <v>38</v>
      </c>
      <c r="E141" s="10" t="s">
        <v>693</v>
      </c>
      <c r="F141" s="10" t="s">
        <v>694</v>
      </c>
      <c r="G141" s="10" t="s">
        <v>696</v>
      </c>
      <c r="H141" s="11">
        <v>7.753246753246775</v>
      </c>
      <c r="I141" s="11">
        <v>1.9005076142131898</v>
      </c>
      <c r="J141" s="11">
        <v>1.9317688266199602</v>
      </c>
      <c r="K141" s="11">
        <v>0</v>
      </c>
      <c r="L141" s="11">
        <v>3.9094076655052192</v>
      </c>
      <c r="M141" s="11">
        <v>4.0568181818182101</v>
      </c>
      <c r="N141" s="11">
        <v>0</v>
      </c>
      <c r="O141" s="11">
        <v>1.3519668737060118</v>
      </c>
      <c r="P141" s="11">
        <v>0</v>
      </c>
      <c r="Q141" s="11">
        <v>1.3081632653061233</v>
      </c>
      <c r="R141" s="11">
        <v>1.3244781783681114</v>
      </c>
      <c r="S141" s="11">
        <v>3.9926873857403895</v>
      </c>
      <c r="T141" s="11">
        <v>4</v>
      </c>
      <c r="U141" s="11">
        <v>2</v>
      </c>
      <c r="V141" s="11">
        <v>2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 t="s">
        <v>403</v>
      </c>
      <c r="AE141" s="11" t="s">
        <v>403</v>
      </c>
      <c r="AF141" s="18">
        <f t="shared" si="16"/>
        <v>0.51591289782244409</v>
      </c>
      <c r="AG141" s="18">
        <f t="shared" si="16"/>
        <v>1.0523504273504318</v>
      </c>
      <c r="AH141" s="18">
        <f t="shared" si="16"/>
        <v>1.0353205686103883</v>
      </c>
      <c r="AI141" s="18">
        <f t="shared" si="15"/>
        <v>0</v>
      </c>
      <c r="AJ141" s="18">
        <f t="shared" si="15"/>
        <v>0</v>
      </c>
      <c r="AK141" s="18">
        <f t="shared" si="15"/>
        <v>0</v>
      </c>
      <c r="AL141" s="18">
        <f t="shared" si="15"/>
        <v>0</v>
      </c>
      <c r="AM141" s="18">
        <f t="shared" si="15"/>
        <v>0</v>
      </c>
      <c r="AN141" s="18">
        <f t="shared" si="15"/>
        <v>0</v>
      </c>
      <c r="AO141" s="18">
        <f t="shared" si="17"/>
        <v>0</v>
      </c>
      <c r="AP141" s="18">
        <f t="shared" si="17"/>
        <v>0</v>
      </c>
      <c r="AQ141" s="18">
        <f t="shared" si="17"/>
        <v>0</v>
      </c>
    </row>
    <row r="142" spans="1:43" x14ac:dyDescent="0.3">
      <c r="A142" s="9" t="s">
        <v>21</v>
      </c>
      <c r="B142" s="10" t="s">
        <v>405</v>
      </c>
      <c r="C142" s="10" t="s">
        <v>20</v>
      </c>
      <c r="D142" s="10" t="s">
        <v>30</v>
      </c>
      <c r="E142" s="10" t="s">
        <v>693</v>
      </c>
      <c r="F142" s="10" t="s">
        <v>694</v>
      </c>
      <c r="G142" s="10" t="s">
        <v>696</v>
      </c>
      <c r="H142" s="11">
        <v>7.753246753246775</v>
      </c>
      <c r="I142" s="11">
        <v>1.9005076142131898</v>
      </c>
      <c r="J142" s="11">
        <v>1.9317688266199602</v>
      </c>
      <c r="K142" s="11">
        <v>0</v>
      </c>
      <c r="L142" s="11">
        <v>3.9094076655052192</v>
      </c>
      <c r="M142" s="11">
        <v>1.3522727272727368</v>
      </c>
      <c r="N142" s="11">
        <v>2.6211180124223468</v>
      </c>
      <c r="O142" s="11">
        <v>1.3519668737060118</v>
      </c>
      <c r="P142" s="11">
        <v>1.3025404157043832</v>
      </c>
      <c r="Q142" s="11">
        <v>3.9244897959183693</v>
      </c>
      <c r="R142" s="11">
        <v>1.3244781783681114</v>
      </c>
      <c r="S142" s="11">
        <v>5.3235831809871863</v>
      </c>
      <c r="T142" s="11">
        <v>2</v>
      </c>
      <c r="U142" s="11">
        <v>3</v>
      </c>
      <c r="V142" s="11">
        <v>3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 t="s">
        <v>403</v>
      </c>
      <c r="AE142" s="11" t="s">
        <v>403</v>
      </c>
      <c r="AF142" s="18">
        <f t="shared" si="16"/>
        <v>0.25795644891122205</v>
      </c>
      <c r="AG142" s="18">
        <f t="shared" si="16"/>
        <v>1.5785256410256479</v>
      </c>
      <c r="AH142" s="18">
        <f t="shared" si="16"/>
        <v>1.5529808529155826</v>
      </c>
      <c r="AI142" s="18">
        <f t="shared" si="15"/>
        <v>0</v>
      </c>
      <c r="AJ142" s="18">
        <f t="shared" si="15"/>
        <v>0</v>
      </c>
      <c r="AK142" s="18">
        <f t="shared" si="15"/>
        <v>0</v>
      </c>
      <c r="AL142" s="18">
        <f t="shared" si="15"/>
        <v>0</v>
      </c>
      <c r="AM142" s="18">
        <f t="shared" si="15"/>
        <v>0</v>
      </c>
      <c r="AN142" s="18">
        <f t="shared" si="15"/>
        <v>0</v>
      </c>
      <c r="AO142" s="18">
        <f t="shared" si="17"/>
        <v>0</v>
      </c>
      <c r="AP142" s="18">
        <f t="shared" si="17"/>
        <v>0</v>
      </c>
      <c r="AQ142" s="18">
        <f t="shared" si="17"/>
        <v>0</v>
      </c>
    </row>
    <row r="143" spans="1:43" x14ac:dyDescent="0.3">
      <c r="A143" s="9" t="s">
        <v>287</v>
      </c>
      <c r="B143" s="10" t="s">
        <v>642</v>
      </c>
      <c r="C143" s="10" t="s">
        <v>20</v>
      </c>
      <c r="D143" s="10" t="s">
        <v>34</v>
      </c>
      <c r="E143" s="10" t="s">
        <v>708</v>
      </c>
      <c r="F143" s="10" t="s">
        <v>694</v>
      </c>
      <c r="G143" s="10" t="s">
        <v>697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 t="s">
        <v>403</v>
      </c>
      <c r="U143" s="11" t="s">
        <v>403</v>
      </c>
      <c r="V143" s="11" t="s">
        <v>403</v>
      </c>
      <c r="W143" s="11" t="s">
        <v>403</v>
      </c>
      <c r="X143" s="11" t="s">
        <v>403</v>
      </c>
      <c r="Y143" s="11" t="s">
        <v>403</v>
      </c>
      <c r="Z143" s="11" t="s">
        <v>403</v>
      </c>
      <c r="AA143" s="11" t="s">
        <v>403</v>
      </c>
      <c r="AB143" s="11" t="s">
        <v>403</v>
      </c>
      <c r="AC143" s="11" t="s">
        <v>403</v>
      </c>
      <c r="AD143" s="11" t="s">
        <v>403</v>
      </c>
      <c r="AE143" s="11" t="s">
        <v>403</v>
      </c>
      <c r="AF143" s="18">
        <f t="shared" si="16"/>
        <v>0</v>
      </c>
      <c r="AG143" s="18">
        <f t="shared" si="16"/>
        <v>0</v>
      </c>
      <c r="AH143" s="18">
        <f t="shared" si="16"/>
        <v>0</v>
      </c>
      <c r="AI143" s="18">
        <f t="shared" si="15"/>
        <v>0</v>
      </c>
      <c r="AJ143" s="18">
        <f t="shared" si="15"/>
        <v>0</v>
      </c>
      <c r="AK143" s="18">
        <f t="shared" si="15"/>
        <v>0</v>
      </c>
      <c r="AL143" s="18">
        <f t="shared" si="15"/>
        <v>0</v>
      </c>
      <c r="AM143" s="18">
        <f t="shared" si="15"/>
        <v>0</v>
      </c>
      <c r="AN143" s="18">
        <f t="shared" si="15"/>
        <v>0</v>
      </c>
      <c r="AO143" s="18">
        <f t="shared" si="17"/>
        <v>0</v>
      </c>
      <c r="AP143" s="18">
        <f t="shared" si="17"/>
        <v>0</v>
      </c>
      <c r="AQ143" s="18">
        <f t="shared" si="17"/>
        <v>0</v>
      </c>
    </row>
    <row r="144" spans="1:43" x14ac:dyDescent="0.3">
      <c r="A144" s="9" t="s">
        <v>62</v>
      </c>
      <c r="B144" s="10" t="s">
        <v>433</v>
      </c>
      <c r="C144" s="10" t="s">
        <v>20</v>
      </c>
      <c r="D144" s="10" t="s">
        <v>34</v>
      </c>
      <c r="E144" s="10" t="s">
        <v>693</v>
      </c>
      <c r="F144" s="10" t="s">
        <v>694</v>
      </c>
      <c r="G144" s="10" t="s">
        <v>697</v>
      </c>
      <c r="H144" s="11">
        <v>1.5506493506493551</v>
      </c>
      <c r="I144" s="11">
        <v>0</v>
      </c>
      <c r="J144" s="11">
        <v>1.9317688266199602</v>
      </c>
      <c r="K144" s="11">
        <v>0</v>
      </c>
      <c r="L144" s="11">
        <v>0</v>
      </c>
      <c r="M144" s="11">
        <v>0</v>
      </c>
      <c r="N144" s="11">
        <v>0</v>
      </c>
      <c r="O144" s="11">
        <v>1.3519668737060118</v>
      </c>
      <c r="P144" s="11">
        <v>0</v>
      </c>
      <c r="Q144" s="11">
        <v>0</v>
      </c>
      <c r="R144" s="11">
        <v>0</v>
      </c>
      <c r="S144" s="11">
        <v>2.6617915904935932</v>
      </c>
      <c r="T144" s="11">
        <v>0</v>
      </c>
      <c r="U144" s="11">
        <v>1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 t="s">
        <v>403</v>
      </c>
      <c r="AE144" s="11" t="s">
        <v>403</v>
      </c>
      <c r="AF144" s="18">
        <f t="shared" si="16"/>
        <v>0</v>
      </c>
      <c r="AG144" s="18">
        <f t="shared" si="16"/>
        <v>0</v>
      </c>
      <c r="AH144" s="18">
        <f t="shared" si="16"/>
        <v>0</v>
      </c>
      <c r="AI144" s="18">
        <f t="shared" si="15"/>
        <v>0</v>
      </c>
      <c r="AJ144" s="18">
        <f t="shared" si="15"/>
        <v>0</v>
      </c>
      <c r="AK144" s="18">
        <f t="shared" si="15"/>
        <v>0</v>
      </c>
      <c r="AL144" s="18">
        <f t="shared" si="15"/>
        <v>0</v>
      </c>
      <c r="AM144" s="18">
        <f t="shared" si="15"/>
        <v>0</v>
      </c>
      <c r="AN144" s="18">
        <f t="shared" si="15"/>
        <v>0</v>
      </c>
      <c r="AO144" s="18">
        <f t="shared" si="17"/>
        <v>0</v>
      </c>
      <c r="AP144" s="18">
        <f t="shared" si="17"/>
        <v>0</v>
      </c>
      <c r="AQ144" s="18">
        <f t="shared" si="17"/>
        <v>0</v>
      </c>
    </row>
    <row r="145" spans="1:43" x14ac:dyDescent="0.3">
      <c r="A145" s="9" t="s">
        <v>137</v>
      </c>
      <c r="B145" s="10" t="s">
        <v>496</v>
      </c>
      <c r="C145" s="10" t="s">
        <v>20</v>
      </c>
      <c r="D145" s="10" t="s">
        <v>34</v>
      </c>
      <c r="E145" s="10" t="s">
        <v>693</v>
      </c>
      <c r="F145" s="10" t="s">
        <v>694</v>
      </c>
      <c r="G145" s="10" t="s">
        <v>697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 t="s">
        <v>403</v>
      </c>
      <c r="U145" s="11" t="s">
        <v>403</v>
      </c>
      <c r="V145" s="11" t="s">
        <v>403</v>
      </c>
      <c r="W145" s="11" t="s">
        <v>403</v>
      </c>
      <c r="X145" s="11" t="s">
        <v>403</v>
      </c>
      <c r="Y145" s="11" t="s">
        <v>403</v>
      </c>
      <c r="Z145" s="11" t="s">
        <v>403</v>
      </c>
      <c r="AA145" s="11" t="s">
        <v>403</v>
      </c>
      <c r="AB145" s="11" t="s">
        <v>403</v>
      </c>
      <c r="AC145" s="11" t="s">
        <v>403</v>
      </c>
      <c r="AD145" s="11" t="s">
        <v>403</v>
      </c>
      <c r="AE145" s="11" t="s">
        <v>403</v>
      </c>
      <c r="AF145" s="18">
        <f t="shared" si="16"/>
        <v>0</v>
      </c>
      <c r="AG145" s="18">
        <f t="shared" si="16"/>
        <v>0</v>
      </c>
      <c r="AH145" s="18">
        <f t="shared" si="16"/>
        <v>0</v>
      </c>
      <c r="AI145" s="18">
        <f t="shared" si="15"/>
        <v>0</v>
      </c>
      <c r="AJ145" s="18">
        <f t="shared" si="15"/>
        <v>0</v>
      </c>
      <c r="AK145" s="18">
        <f t="shared" si="15"/>
        <v>0</v>
      </c>
      <c r="AL145" s="18">
        <f t="shared" si="15"/>
        <v>0</v>
      </c>
      <c r="AM145" s="18">
        <f t="shared" si="15"/>
        <v>0</v>
      </c>
      <c r="AN145" s="18">
        <f t="shared" si="15"/>
        <v>0</v>
      </c>
      <c r="AO145" s="18">
        <f t="shared" si="17"/>
        <v>0</v>
      </c>
      <c r="AP145" s="18">
        <f t="shared" si="17"/>
        <v>0</v>
      </c>
      <c r="AQ145" s="18">
        <f t="shared" si="17"/>
        <v>0</v>
      </c>
    </row>
    <row r="146" spans="1:43" x14ac:dyDescent="0.3">
      <c r="A146" s="9" t="s">
        <v>162</v>
      </c>
      <c r="B146" s="10" t="s">
        <v>520</v>
      </c>
      <c r="C146" s="10" t="s">
        <v>20</v>
      </c>
      <c r="D146" s="10" t="s">
        <v>30</v>
      </c>
      <c r="E146" s="10" t="s">
        <v>693</v>
      </c>
      <c r="F146" s="10" t="s">
        <v>694</v>
      </c>
      <c r="G146" s="10" t="s">
        <v>696</v>
      </c>
      <c r="H146" s="11">
        <v>0</v>
      </c>
      <c r="I146" s="11">
        <v>1.9005076142131898</v>
      </c>
      <c r="J146" s="11">
        <v>3.8635376532399204</v>
      </c>
      <c r="K146" s="11">
        <v>1.2859744990892601</v>
      </c>
      <c r="L146" s="11">
        <v>2.6062717770034793</v>
      </c>
      <c r="M146" s="11">
        <v>2.7045454545454737</v>
      </c>
      <c r="N146" s="11">
        <v>0</v>
      </c>
      <c r="O146" s="11">
        <v>2.7039337474120235</v>
      </c>
      <c r="P146" s="11">
        <v>0</v>
      </c>
      <c r="Q146" s="11">
        <v>3.9244897959183693</v>
      </c>
      <c r="R146" s="11">
        <v>2.6489563567362229</v>
      </c>
      <c r="S146" s="11">
        <v>2.6617915904935932</v>
      </c>
      <c r="T146" s="11">
        <v>0</v>
      </c>
      <c r="U146" s="11">
        <v>1</v>
      </c>
      <c r="V146" s="11">
        <v>3</v>
      </c>
      <c r="W146" s="11">
        <v>1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 t="s">
        <v>403</v>
      </c>
      <c r="AE146" s="11" t="s">
        <v>403</v>
      </c>
      <c r="AF146" s="18">
        <f t="shared" si="16"/>
        <v>0</v>
      </c>
      <c r="AG146" s="18">
        <f t="shared" si="16"/>
        <v>0.52617521367521591</v>
      </c>
      <c r="AH146" s="18">
        <f t="shared" si="16"/>
        <v>0.77649042645779132</v>
      </c>
      <c r="AI146" s="18">
        <f t="shared" si="15"/>
        <v>0.77762039660056237</v>
      </c>
      <c r="AJ146" s="18">
        <f t="shared" si="15"/>
        <v>0</v>
      </c>
      <c r="AK146" s="18">
        <f t="shared" si="15"/>
        <v>0</v>
      </c>
      <c r="AL146" s="18">
        <f t="shared" si="15"/>
        <v>0</v>
      </c>
      <c r="AM146" s="18">
        <f t="shared" si="15"/>
        <v>0</v>
      </c>
      <c r="AN146" s="18">
        <f t="shared" si="15"/>
        <v>0</v>
      </c>
      <c r="AO146" s="18">
        <f t="shared" si="17"/>
        <v>0</v>
      </c>
      <c r="AP146" s="18">
        <f t="shared" si="17"/>
        <v>0</v>
      </c>
      <c r="AQ146" s="18">
        <f t="shared" si="17"/>
        <v>0</v>
      </c>
    </row>
    <row r="147" spans="1:43" x14ac:dyDescent="0.3">
      <c r="A147" s="9" t="s">
        <v>379</v>
      </c>
      <c r="B147" s="10" t="s">
        <v>689</v>
      </c>
      <c r="C147" s="10" t="s">
        <v>20</v>
      </c>
      <c r="D147" s="10" t="s">
        <v>30</v>
      </c>
      <c r="E147" s="10" t="s">
        <v>693</v>
      </c>
      <c r="F147" s="10" t="s">
        <v>701</v>
      </c>
      <c r="G147" s="10" t="s">
        <v>696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 t="s">
        <v>403</v>
      </c>
      <c r="U147" s="11" t="s">
        <v>403</v>
      </c>
      <c r="V147" s="11" t="s">
        <v>403</v>
      </c>
      <c r="W147" s="11" t="s">
        <v>403</v>
      </c>
      <c r="X147" s="11" t="s">
        <v>403</v>
      </c>
      <c r="Y147" s="11" t="s">
        <v>403</v>
      </c>
      <c r="Z147" s="11" t="s">
        <v>403</v>
      </c>
      <c r="AA147" s="11" t="s">
        <v>403</v>
      </c>
      <c r="AB147" s="11" t="s">
        <v>403</v>
      </c>
      <c r="AC147" s="11" t="s">
        <v>403</v>
      </c>
      <c r="AD147" s="11" t="s">
        <v>403</v>
      </c>
      <c r="AE147" s="11" t="s">
        <v>403</v>
      </c>
      <c r="AF147" s="18">
        <f t="shared" si="16"/>
        <v>0</v>
      </c>
      <c r="AG147" s="18">
        <f t="shared" si="16"/>
        <v>0</v>
      </c>
      <c r="AH147" s="18">
        <f t="shared" si="16"/>
        <v>0</v>
      </c>
      <c r="AI147" s="18">
        <f t="shared" si="15"/>
        <v>0</v>
      </c>
      <c r="AJ147" s="18">
        <f t="shared" si="15"/>
        <v>0</v>
      </c>
      <c r="AK147" s="18">
        <f t="shared" si="15"/>
        <v>0</v>
      </c>
      <c r="AL147" s="18">
        <f t="shared" si="15"/>
        <v>0</v>
      </c>
      <c r="AM147" s="18">
        <f t="shared" si="15"/>
        <v>0</v>
      </c>
      <c r="AN147" s="18">
        <f t="shared" si="15"/>
        <v>0</v>
      </c>
      <c r="AO147" s="18">
        <f t="shared" si="17"/>
        <v>0</v>
      </c>
      <c r="AP147" s="18">
        <f t="shared" si="17"/>
        <v>0</v>
      </c>
      <c r="AQ147" s="18">
        <f t="shared" si="17"/>
        <v>0</v>
      </c>
    </row>
    <row r="148" spans="1:43" x14ac:dyDescent="0.3">
      <c r="A148" s="9" t="s">
        <v>31</v>
      </c>
      <c r="B148" s="10" t="s">
        <v>411</v>
      </c>
      <c r="C148" s="10" t="s">
        <v>20</v>
      </c>
      <c r="D148" s="10" t="s">
        <v>32</v>
      </c>
      <c r="E148" s="10" t="s">
        <v>693</v>
      </c>
      <c r="F148" s="10" t="s">
        <v>694</v>
      </c>
      <c r="G148" s="10" t="s">
        <v>696</v>
      </c>
      <c r="H148" s="11">
        <v>1.5506493506493551</v>
      </c>
      <c r="I148" s="11">
        <v>0</v>
      </c>
      <c r="J148" s="11">
        <v>1.9317688266199602</v>
      </c>
      <c r="K148" s="11">
        <v>0</v>
      </c>
      <c r="L148" s="11">
        <v>1.3031358885017397</v>
      </c>
      <c r="M148" s="11">
        <v>1.3522727272727368</v>
      </c>
      <c r="N148" s="11">
        <v>0</v>
      </c>
      <c r="O148" s="11">
        <v>0</v>
      </c>
      <c r="P148" s="11">
        <v>1.3025404157043832</v>
      </c>
      <c r="Q148" s="11">
        <v>0</v>
      </c>
      <c r="R148" s="11">
        <v>2.6489563567362229</v>
      </c>
      <c r="S148" s="11">
        <v>0</v>
      </c>
      <c r="T148" s="11">
        <v>1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 t="s">
        <v>403</v>
      </c>
      <c r="AE148" s="11" t="s">
        <v>403</v>
      </c>
      <c r="AF148" s="18">
        <f t="shared" si="16"/>
        <v>0.64489112227805512</v>
      </c>
      <c r="AG148" s="18">
        <f t="shared" si="16"/>
        <v>0</v>
      </c>
      <c r="AH148" s="18">
        <f t="shared" si="16"/>
        <v>0</v>
      </c>
      <c r="AI148" s="18">
        <f t="shared" si="15"/>
        <v>0</v>
      </c>
      <c r="AJ148" s="18">
        <f t="shared" si="15"/>
        <v>0</v>
      </c>
      <c r="AK148" s="18">
        <f t="shared" si="15"/>
        <v>0</v>
      </c>
      <c r="AL148" s="18">
        <f t="shared" si="15"/>
        <v>0</v>
      </c>
      <c r="AM148" s="18">
        <f t="shared" si="15"/>
        <v>0</v>
      </c>
      <c r="AN148" s="18">
        <f t="shared" si="15"/>
        <v>0</v>
      </c>
      <c r="AO148" s="18">
        <f t="shared" si="17"/>
        <v>0</v>
      </c>
      <c r="AP148" s="18">
        <f t="shared" si="17"/>
        <v>0</v>
      </c>
      <c r="AQ148" s="18">
        <f t="shared" si="17"/>
        <v>0</v>
      </c>
    </row>
    <row r="149" spans="1:43" x14ac:dyDescent="0.3">
      <c r="A149" s="9" t="s">
        <v>72</v>
      </c>
      <c r="B149" s="10" t="s">
        <v>441</v>
      </c>
      <c r="C149" s="10" t="s">
        <v>20</v>
      </c>
      <c r="D149" s="10" t="s">
        <v>30</v>
      </c>
      <c r="E149" s="10" t="s">
        <v>693</v>
      </c>
      <c r="F149" s="10" t="s">
        <v>694</v>
      </c>
      <c r="G149" s="10" t="s">
        <v>696</v>
      </c>
      <c r="H149" s="11">
        <v>0</v>
      </c>
      <c r="I149" s="11">
        <v>0</v>
      </c>
      <c r="J149" s="11">
        <v>0</v>
      </c>
      <c r="K149" s="11">
        <v>1.2859744990892601</v>
      </c>
      <c r="L149" s="11">
        <v>0</v>
      </c>
      <c r="M149" s="11">
        <v>0</v>
      </c>
      <c r="N149" s="11">
        <v>0</v>
      </c>
      <c r="O149" s="11">
        <v>1.3519668737060118</v>
      </c>
      <c r="P149" s="11">
        <v>1.3025404157043832</v>
      </c>
      <c r="Q149" s="11">
        <v>0</v>
      </c>
      <c r="R149" s="11">
        <v>1.3244781783681114</v>
      </c>
      <c r="S149" s="11">
        <v>0</v>
      </c>
      <c r="T149" s="11">
        <v>0</v>
      </c>
      <c r="U149" s="11">
        <v>2</v>
      </c>
      <c r="V149" s="11">
        <v>1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 t="s">
        <v>403</v>
      </c>
      <c r="AE149" s="11" t="s">
        <v>403</v>
      </c>
      <c r="AF149" s="18">
        <f t="shared" si="16"/>
        <v>0</v>
      </c>
      <c r="AG149" s="18">
        <f t="shared" si="16"/>
        <v>0</v>
      </c>
      <c r="AH149" s="18">
        <f t="shared" si="16"/>
        <v>0</v>
      </c>
      <c r="AI149" s="18">
        <f t="shared" si="15"/>
        <v>0</v>
      </c>
      <c r="AJ149" s="18">
        <f t="shared" si="15"/>
        <v>0</v>
      </c>
      <c r="AK149" s="18">
        <f t="shared" si="15"/>
        <v>0</v>
      </c>
      <c r="AL149" s="18">
        <f t="shared" si="15"/>
        <v>0</v>
      </c>
      <c r="AM149" s="18">
        <f t="shared" si="15"/>
        <v>0</v>
      </c>
      <c r="AN149" s="18">
        <f t="shared" si="15"/>
        <v>0</v>
      </c>
      <c r="AO149" s="18">
        <f t="shared" si="17"/>
        <v>0</v>
      </c>
      <c r="AP149" s="18">
        <f t="shared" si="17"/>
        <v>0</v>
      </c>
      <c r="AQ149" s="18">
        <f t="shared" si="17"/>
        <v>0</v>
      </c>
    </row>
    <row r="150" spans="1:43" x14ac:dyDescent="0.3">
      <c r="A150" s="9" t="s">
        <v>100</v>
      </c>
      <c r="B150" s="10" t="s">
        <v>469</v>
      </c>
      <c r="C150" s="10" t="s">
        <v>20</v>
      </c>
      <c r="D150" s="10" t="s">
        <v>38</v>
      </c>
      <c r="E150" s="10" t="s">
        <v>693</v>
      </c>
      <c r="F150" s="10" t="s">
        <v>694</v>
      </c>
      <c r="G150" s="10" t="s">
        <v>696</v>
      </c>
      <c r="H150" s="11">
        <v>0</v>
      </c>
      <c r="I150" s="11">
        <v>0</v>
      </c>
      <c r="J150" s="11">
        <v>1.9317688266199602</v>
      </c>
      <c r="K150" s="11">
        <v>0</v>
      </c>
      <c r="L150" s="11">
        <v>1.3031358885017397</v>
      </c>
      <c r="M150" s="11">
        <v>1.3522727272727368</v>
      </c>
      <c r="N150" s="11">
        <v>0</v>
      </c>
      <c r="O150" s="11">
        <v>0</v>
      </c>
      <c r="P150" s="11">
        <v>0</v>
      </c>
      <c r="Q150" s="11">
        <v>0</v>
      </c>
      <c r="R150" s="11">
        <v>1.3244781783681114</v>
      </c>
      <c r="S150" s="11">
        <v>1.3308957952467966</v>
      </c>
      <c r="T150" s="11">
        <v>0</v>
      </c>
      <c r="U150" s="11">
        <v>2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 t="s">
        <v>403</v>
      </c>
      <c r="AE150" s="11" t="s">
        <v>403</v>
      </c>
      <c r="AF150" s="18">
        <f t="shared" si="16"/>
        <v>0</v>
      </c>
      <c r="AG150" s="18">
        <f t="shared" si="16"/>
        <v>0</v>
      </c>
      <c r="AH150" s="18">
        <f t="shared" si="16"/>
        <v>0</v>
      </c>
      <c r="AI150" s="18">
        <f t="shared" si="15"/>
        <v>0</v>
      </c>
      <c r="AJ150" s="18">
        <f t="shared" si="15"/>
        <v>0</v>
      </c>
      <c r="AK150" s="18">
        <f t="shared" si="15"/>
        <v>0</v>
      </c>
      <c r="AL150" s="18">
        <f t="shared" si="15"/>
        <v>0</v>
      </c>
      <c r="AM150" s="18">
        <f t="shared" si="15"/>
        <v>0</v>
      </c>
      <c r="AN150" s="18">
        <f t="shared" si="15"/>
        <v>0</v>
      </c>
      <c r="AO150" s="18">
        <f t="shared" si="17"/>
        <v>0</v>
      </c>
      <c r="AP150" s="18">
        <f t="shared" si="17"/>
        <v>0</v>
      </c>
      <c r="AQ150" s="18">
        <f t="shared" si="17"/>
        <v>0</v>
      </c>
    </row>
    <row r="151" spans="1:43" x14ac:dyDescent="0.3">
      <c r="A151" s="9" t="s">
        <v>87</v>
      </c>
      <c r="B151" s="10" t="s">
        <v>456</v>
      </c>
      <c r="C151" s="10" t="s">
        <v>20</v>
      </c>
      <c r="D151" s="10" t="s">
        <v>38</v>
      </c>
      <c r="E151" s="10" t="s">
        <v>693</v>
      </c>
      <c r="F151" s="10" t="s">
        <v>694</v>
      </c>
      <c r="G151" s="10" t="s">
        <v>696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 t="s">
        <v>403</v>
      </c>
      <c r="U151" s="11" t="s">
        <v>403</v>
      </c>
      <c r="V151" s="11" t="s">
        <v>403</v>
      </c>
      <c r="W151" s="11" t="s">
        <v>403</v>
      </c>
      <c r="X151" s="11" t="s">
        <v>403</v>
      </c>
      <c r="Y151" s="11" t="s">
        <v>403</v>
      </c>
      <c r="Z151" s="11" t="s">
        <v>403</v>
      </c>
      <c r="AA151" s="11" t="s">
        <v>403</v>
      </c>
      <c r="AB151" s="11" t="s">
        <v>403</v>
      </c>
      <c r="AC151" s="11" t="s">
        <v>403</v>
      </c>
      <c r="AD151" s="11" t="s">
        <v>403</v>
      </c>
      <c r="AE151" s="11" t="s">
        <v>403</v>
      </c>
      <c r="AF151" s="18">
        <f t="shared" si="16"/>
        <v>0</v>
      </c>
      <c r="AG151" s="18">
        <f t="shared" si="16"/>
        <v>0</v>
      </c>
      <c r="AH151" s="18">
        <f t="shared" si="16"/>
        <v>0</v>
      </c>
      <c r="AI151" s="18">
        <f t="shared" si="15"/>
        <v>0</v>
      </c>
      <c r="AJ151" s="18">
        <f t="shared" si="15"/>
        <v>0</v>
      </c>
      <c r="AK151" s="18">
        <f t="shared" si="15"/>
        <v>0</v>
      </c>
      <c r="AL151" s="18">
        <f t="shared" si="15"/>
        <v>0</v>
      </c>
      <c r="AM151" s="18">
        <f t="shared" si="15"/>
        <v>0</v>
      </c>
      <c r="AN151" s="18">
        <f t="shared" si="15"/>
        <v>0</v>
      </c>
      <c r="AO151" s="18">
        <f t="shared" si="17"/>
        <v>0</v>
      </c>
      <c r="AP151" s="18">
        <f t="shared" si="17"/>
        <v>0</v>
      </c>
      <c r="AQ151" s="18">
        <f t="shared" si="17"/>
        <v>0</v>
      </c>
    </row>
    <row r="152" spans="1:43" x14ac:dyDescent="0.3">
      <c r="A152" s="9" t="s">
        <v>70</v>
      </c>
      <c r="B152" s="10" t="s">
        <v>439</v>
      </c>
      <c r="C152" s="10" t="s">
        <v>20</v>
      </c>
      <c r="D152" s="10" t="s">
        <v>32</v>
      </c>
      <c r="E152" s="10" t="s">
        <v>693</v>
      </c>
      <c r="F152" s="10" t="s">
        <v>694</v>
      </c>
      <c r="G152" s="10" t="s">
        <v>696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 t="s">
        <v>403</v>
      </c>
      <c r="U152" s="11" t="s">
        <v>403</v>
      </c>
      <c r="V152" s="11" t="s">
        <v>403</v>
      </c>
      <c r="W152" s="11" t="s">
        <v>403</v>
      </c>
      <c r="X152" s="11" t="s">
        <v>403</v>
      </c>
      <c r="Y152" s="11" t="s">
        <v>403</v>
      </c>
      <c r="Z152" s="11" t="s">
        <v>403</v>
      </c>
      <c r="AA152" s="11" t="s">
        <v>403</v>
      </c>
      <c r="AB152" s="11" t="s">
        <v>403</v>
      </c>
      <c r="AC152" s="11" t="s">
        <v>403</v>
      </c>
      <c r="AD152" s="11" t="s">
        <v>403</v>
      </c>
      <c r="AE152" s="11" t="s">
        <v>403</v>
      </c>
      <c r="AF152" s="18">
        <f t="shared" si="16"/>
        <v>0</v>
      </c>
      <c r="AG152" s="18">
        <f t="shared" si="16"/>
        <v>0</v>
      </c>
      <c r="AH152" s="18">
        <f t="shared" si="16"/>
        <v>0</v>
      </c>
      <c r="AI152" s="18">
        <f t="shared" si="15"/>
        <v>0</v>
      </c>
      <c r="AJ152" s="18">
        <f t="shared" si="15"/>
        <v>0</v>
      </c>
      <c r="AK152" s="18">
        <f t="shared" si="15"/>
        <v>0</v>
      </c>
      <c r="AL152" s="18">
        <f t="shared" si="15"/>
        <v>0</v>
      </c>
      <c r="AM152" s="18">
        <f t="shared" si="15"/>
        <v>0</v>
      </c>
      <c r="AN152" s="18">
        <f t="shared" si="15"/>
        <v>0</v>
      </c>
      <c r="AO152" s="18">
        <f t="shared" si="17"/>
        <v>0</v>
      </c>
      <c r="AP152" s="18">
        <f t="shared" si="17"/>
        <v>0</v>
      </c>
      <c r="AQ152" s="18">
        <f t="shared" si="17"/>
        <v>0</v>
      </c>
    </row>
    <row r="153" spans="1:43" x14ac:dyDescent="0.3">
      <c r="A153" s="9" t="s">
        <v>55</v>
      </c>
      <c r="B153" s="10" t="s">
        <v>426</v>
      </c>
      <c r="C153" s="10" t="s">
        <v>20</v>
      </c>
      <c r="D153" s="10" t="s">
        <v>36</v>
      </c>
      <c r="E153" s="10" t="s">
        <v>693</v>
      </c>
      <c r="F153" s="10" t="s">
        <v>694</v>
      </c>
      <c r="G153" s="10" t="s">
        <v>697</v>
      </c>
      <c r="H153" s="11">
        <v>3.1012987012987101</v>
      </c>
      <c r="I153" s="11">
        <v>3.8010152284263796</v>
      </c>
      <c r="J153" s="11">
        <v>0</v>
      </c>
      <c r="K153" s="11">
        <v>1.2859744990892601</v>
      </c>
      <c r="L153" s="11">
        <v>0</v>
      </c>
      <c r="M153" s="11">
        <v>4.0568181818182101</v>
      </c>
      <c r="N153" s="11">
        <v>1.3105590062111734</v>
      </c>
      <c r="O153" s="11">
        <v>0</v>
      </c>
      <c r="P153" s="11">
        <v>1.3025404157043832</v>
      </c>
      <c r="Q153" s="11">
        <v>0</v>
      </c>
      <c r="R153" s="11">
        <v>1.3244781783681114</v>
      </c>
      <c r="S153" s="11">
        <v>1.3308957952467966</v>
      </c>
      <c r="T153" s="11">
        <v>0</v>
      </c>
      <c r="U153" s="11">
        <v>2</v>
      </c>
      <c r="V153" s="11">
        <v>1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 t="s">
        <v>403</v>
      </c>
      <c r="AE153" s="11" t="s">
        <v>403</v>
      </c>
      <c r="AF153" s="18">
        <f t="shared" si="16"/>
        <v>0</v>
      </c>
      <c r="AG153" s="18">
        <f t="shared" si="16"/>
        <v>0.52617521367521591</v>
      </c>
      <c r="AH153" s="18">
        <f t="shared" si="16"/>
        <v>0</v>
      </c>
      <c r="AI153" s="18">
        <f t="shared" si="15"/>
        <v>0</v>
      </c>
      <c r="AJ153" s="18">
        <f t="shared" si="15"/>
        <v>0</v>
      </c>
      <c r="AK153" s="18">
        <f t="shared" si="15"/>
        <v>0</v>
      </c>
      <c r="AL153" s="18">
        <f t="shared" si="15"/>
        <v>0</v>
      </c>
      <c r="AM153" s="18">
        <f t="shared" si="15"/>
        <v>0</v>
      </c>
      <c r="AN153" s="18">
        <f t="shared" si="15"/>
        <v>0</v>
      </c>
      <c r="AO153" s="18">
        <f t="shared" si="17"/>
        <v>0</v>
      </c>
      <c r="AP153" s="18">
        <f t="shared" si="17"/>
        <v>0</v>
      </c>
      <c r="AQ153" s="18">
        <f t="shared" si="17"/>
        <v>0</v>
      </c>
    </row>
    <row r="154" spans="1:43" x14ac:dyDescent="0.3">
      <c r="A154" s="9" t="s">
        <v>29</v>
      </c>
      <c r="B154" s="10" t="s">
        <v>410</v>
      </c>
      <c r="C154" s="10" t="s">
        <v>20</v>
      </c>
      <c r="D154" s="10" t="s">
        <v>38</v>
      </c>
      <c r="E154" s="10" t="s">
        <v>693</v>
      </c>
      <c r="F154" s="10" t="s">
        <v>694</v>
      </c>
      <c r="G154" s="10" t="s">
        <v>696</v>
      </c>
      <c r="H154" s="11">
        <v>0</v>
      </c>
      <c r="I154" s="11">
        <v>1.9005076142131898</v>
      </c>
      <c r="J154" s="11">
        <v>1.9317688266199602</v>
      </c>
      <c r="K154" s="11">
        <v>0</v>
      </c>
      <c r="L154" s="11">
        <v>0</v>
      </c>
      <c r="M154" s="11">
        <v>0</v>
      </c>
      <c r="N154" s="11">
        <v>3.9316770186335197</v>
      </c>
      <c r="O154" s="11">
        <v>1.3519668737060118</v>
      </c>
      <c r="P154" s="11">
        <v>0</v>
      </c>
      <c r="Q154" s="11">
        <v>1.3081632653061233</v>
      </c>
      <c r="R154" s="11">
        <v>0</v>
      </c>
      <c r="S154" s="11">
        <v>2.6617915904935932</v>
      </c>
      <c r="T154" s="11">
        <v>1</v>
      </c>
      <c r="U154" s="11">
        <v>0</v>
      </c>
      <c r="V154" s="11">
        <v>3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 t="s">
        <v>403</v>
      </c>
      <c r="AE154" s="11" t="s">
        <v>403</v>
      </c>
      <c r="AF154" s="18">
        <f t="shared" si="16"/>
        <v>0</v>
      </c>
      <c r="AG154" s="18">
        <f t="shared" si="16"/>
        <v>0</v>
      </c>
      <c r="AH154" s="18">
        <f t="shared" si="16"/>
        <v>1.5529808529155826</v>
      </c>
      <c r="AI154" s="18">
        <f t="shared" si="15"/>
        <v>0</v>
      </c>
      <c r="AJ154" s="18">
        <f t="shared" si="15"/>
        <v>0</v>
      </c>
      <c r="AK154" s="18">
        <f t="shared" si="15"/>
        <v>0</v>
      </c>
      <c r="AL154" s="18">
        <f t="shared" si="15"/>
        <v>0</v>
      </c>
      <c r="AM154" s="18">
        <f t="shared" si="15"/>
        <v>0</v>
      </c>
      <c r="AN154" s="18">
        <f t="shared" si="15"/>
        <v>0</v>
      </c>
      <c r="AO154" s="18">
        <f t="shared" si="17"/>
        <v>0</v>
      </c>
      <c r="AP154" s="18">
        <f t="shared" si="17"/>
        <v>0</v>
      </c>
      <c r="AQ154" s="18">
        <f t="shared" si="17"/>
        <v>0</v>
      </c>
    </row>
    <row r="155" spans="1:43" x14ac:dyDescent="0.3">
      <c r="A155" s="9" t="s">
        <v>240</v>
      </c>
      <c r="B155" s="10" t="s">
        <v>596</v>
      </c>
      <c r="C155" s="10" t="s">
        <v>20</v>
      </c>
      <c r="D155" s="10" t="s">
        <v>38</v>
      </c>
      <c r="E155" s="10" t="s">
        <v>707</v>
      </c>
      <c r="F155" s="10" t="s">
        <v>694</v>
      </c>
      <c r="G155" s="10" t="s">
        <v>696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 t="s">
        <v>403</v>
      </c>
      <c r="U155" s="11" t="s">
        <v>403</v>
      </c>
      <c r="V155" s="11" t="s">
        <v>403</v>
      </c>
      <c r="W155" s="11" t="s">
        <v>403</v>
      </c>
      <c r="X155" s="11" t="s">
        <v>403</v>
      </c>
      <c r="Y155" s="11" t="s">
        <v>403</v>
      </c>
      <c r="Z155" s="11" t="s">
        <v>403</v>
      </c>
      <c r="AA155" s="11" t="s">
        <v>403</v>
      </c>
      <c r="AB155" s="11" t="s">
        <v>403</v>
      </c>
      <c r="AC155" s="11" t="s">
        <v>403</v>
      </c>
      <c r="AD155" s="11" t="s">
        <v>403</v>
      </c>
      <c r="AE155" s="11" t="s">
        <v>403</v>
      </c>
      <c r="AF155" s="18">
        <f t="shared" si="16"/>
        <v>0</v>
      </c>
      <c r="AG155" s="18">
        <f t="shared" si="16"/>
        <v>0</v>
      </c>
      <c r="AH155" s="18">
        <f t="shared" si="16"/>
        <v>0</v>
      </c>
      <c r="AI155" s="18">
        <f t="shared" si="15"/>
        <v>0</v>
      </c>
      <c r="AJ155" s="18">
        <f t="shared" si="15"/>
        <v>0</v>
      </c>
      <c r="AK155" s="18">
        <f t="shared" si="15"/>
        <v>0</v>
      </c>
      <c r="AL155" s="18">
        <f t="shared" si="15"/>
        <v>0</v>
      </c>
      <c r="AM155" s="18">
        <f t="shared" si="15"/>
        <v>0</v>
      </c>
      <c r="AN155" s="18">
        <f t="shared" si="15"/>
        <v>0</v>
      </c>
      <c r="AO155" s="18">
        <f t="shared" si="17"/>
        <v>0</v>
      </c>
      <c r="AP155" s="18">
        <f t="shared" si="17"/>
        <v>0</v>
      </c>
      <c r="AQ155" s="18">
        <f t="shared" si="17"/>
        <v>0</v>
      </c>
    </row>
    <row r="156" spans="1:43" x14ac:dyDescent="0.3">
      <c r="A156" s="9" t="s">
        <v>380</v>
      </c>
      <c r="B156" s="10" t="s">
        <v>690</v>
      </c>
      <c r="C156" s="10" t="s">
        <v>20</v>
      </c>
      <c r="D156" s="10" t="s">
        <v>34</v>
      </c>
      <c r="E156" s="10" t="s">
        <v>707</v>
      </c>
      <c r="F156" s="10" t="s">
        <v>701</v>
      </c>
      <c r="G156" s="10" t="s">
        <v>697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 t="s">
        <v>403</v>
      </c>
      <c r="U156" s="11" t="s">
        <v>403</v>
      </c>
      <c r="V156" s="11" t="s">
        <v>403</v>
      </c>
      <c r="W156" s="11" t="s">
        <v>403</v>
      </c>
      <c r="X156" s="11" t="s">
        <v>403</v>
      </c>
      <c r="Y156" s="11" t="s">
        <v>403</v>
      </c>
      <c r="Z156" s="11" t="s">
        <v>403</v>
      </c>
      <c r="AA156" s="11" t="s">
        <v>403</v>
      </c>
      <c r="AB156" s="11" t="s">
        <v>403</v>
      </c>
      <c r="AC156" s="11" t="s">
        <v>403</v>
      </c>
      <c r="AD156" s="11" t="s">
        <v>403</v>
      </c>
      <c r="AE156" s="11" t="s">
        <v>403</v>
      </c>
      <c r="AF156" s="18">
        <f t="shared" si="16"/>
        <v>0</v>
      </c>
      <c r="AG156" s="18">
        <f t="shared" si="16"/>
        <v>0</v>
      </c>
      <c r="AH156" s="18">
        <f t="shared" si="16"/>
        <v>0</v>
      </c>
      <c r="AI156" s="18">
        <f t="shared" si="15"/>
        <v>0</v>
      </c>
      <c r="AJ156" s="18">
        <f t="shared" si="15"/>
        <v>0</v>
      </c>
      <c r="AK156" s="18">
        <f t="shared" si="15"/>
        <v>0</v>
      </c>
      <c r="AL156" s="18">
        <f t="shared" si="15"/>
        <v>0</v>
      </c>
      <c r="AM156" s="18">
        <f t="shared" si="15"/>
        <v>0</v>
      </c>
      <c r="AN156" s="18">
        <f t="shared" si="15"/>
        <v>0</v>
      </c>
      <c r="AO156" s="18">
        <f t="shared" si="17"/>
        <v>0</v>
      </c>
      <c r="AP156" s="18">
        <f t="shared" si="17"/>
        <v>0</v>
      </c>
      <c r="AQ156" s="18">
        <f t="shared" si="17"/>
        <v>0</v>
      </c>
    </row>
    <row r="157" spans="1:43" x14ac:dyDescent="0.3">
      <c r="A157" s="9" t="s">
        <v>381</v>
      </c>
      <c r="B157" s="10" t="s">
        <v>691</v>
      </c>
      <c r="C157" s="10" t="s">
        <v>20</v>
      </c>
      <c r="D157" s="10" t="s">
        <v>34</v>
      </c>
      <c r="E157" s="10" t="s">
        <v>707</v>
      </c>
      <c r="F157" s="10" t="s">
        <v>701</v>
      </c>
      <c r="G157" s="10" t="s">
        <v>697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 t="s">
        <v>403</v>
      </c>
      <c r="U157" s="11" t="s">
        <v>403</v>
      </c>
      <c r="V157" s="11" t="s">
        <v>403</v>
      </c>
      <c r="W157" s="11" t="s">
        <v>403</v>
      </c>
      <c r="X157" s="11" t="s">
        <v>403</v>
      </c>
      <c r="Y157" s="11" t="s">
        <v>403</v>
      </c>
      <c r="Z157" s="11" t="s">
        <v>403</v>
      </c>
      <c r="AA157" s="11" t="s">
        <v>403</v>
      </c>
      <c r="AB157" s="11" t="s">
        <v>403</v>
      </c>
      <c r="AC157" s="11" t="s">
        <v>403</v>
      </c>
      <c r="AD157" s="11" t="s">
        <v>403</v>
      </c>
      <c r="AE157" s="11" t="s">
        <v>403</v>
      </c>
      <c r="AF157" s="18">
        <f t="shared" si="16"/>
        <v>0</v>
      </c>
      <c r="AG157" s="18">
        <f t="shared" si="16"/>
        <v>0</v>
      </c>
      <c r="AH157" s="18">
        <f t="shared" si="16"/>
        <v>0</v>
      </c>
      <c r="AI157" s="18">
        <f t="shared" si="15"/>
        <v>0</v>
      </c>
      <c r="AJ157" s="18">
        <f t="shared" si="15"/>
        <v>0</v>
      </c>
      <c r="AK157" s="18">
        <f t="shared" si="15"/>
        <v>0</v>
      </c>
      <c r="AL157" s="18">
        <f t="shared" si="15"/>
        <v>0</v>
      </c>
      <c r="AM157" s="18">
        <f t="shared" si="15"/>
        <v>0</v>
      </c>
      <c r="AN157" s="18">
        <f t="shared" si="15"/>
        <v>0</v>
      </c>
      <c r="AO157" s="18">
        <f t="shared" si="17"/>
        <v>0</v>
      </c>
      <c r="AP157" s="18">
        <f t="shared" si="17"/>
        <v>0</v>
      </c>
      <c r="AQ157" s="18">
        <f t="shared" si="17"/>
        <v>0</v>
      </c>
    </row>
    <row r="158" spans="1:43" x14ac:dyDescent="0.3">
      <c r="A158" s="9" t="s">
        <v>250</v>
      </c>
      <c r="B158" s="10" t="s">
        <v>605</v>
      </c>
      <c r="C158" s="10" t="s">
        <v>20</v>
      </c>
      <c r="D158" s="10" t="s">
        <v>36</v>
      </c>
      <c r="E158" s="10" t="s">
        <v>708</v>
      </c>
      <c r="F158" s="10" t="s">
        <v>694</v>
      </c>
      <c r="G158" s="10" t="s">
        <v>697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 t="s">
        <v>403</v>
      </c>
      <c r="U158" s="11" t="s">
        <v>403</v>
      </c>
      <c r="V158" s="11" t="s">
        <v>403</v>
      </c>
      <c r="W158" s="11" t="s">
        <v>403</v>
      </c>
      <c r="X158" s="11" t="s">
        <v>403</v>
      </c>
      <c r="Y158" s="11" t="s">
        <v>403</v>
      </c>
      <c r="Z158" s="11" t="s">
        <v>403</v>
      </c>
      <c r="AA158" s="11" t="s">
        <v>403</v>
      </c>
      <c r="AB158" s="11" t="s">
        <v>403</v>
      </c>
      <c r="AC158" s="11" t="s">
        <v>403</v>
      </c>
      <c r="AD158" s="11" t="s">
        <v>403</v>
      </c>
      <c r="AE158" s="11" t="s">
        <v>403</v>
      </c>
      <c r="AF158" s="18">
        <f t="shared" si="16"/>
        <v>0</v>
      </c>
      <c r="AG158" s="18">
        <f t="shared" si="16"/>
        <v>0</v>
      </c>
      <c r="AH158" s="18">
        <f t="shared" si="16"/>
        <v>0</v>
      </c>
      <c r="AI158" s="18">
        <f t="shared" si="15"/>
        <v>0</v>
      </c>
      <c r="AJ158" s="18">
        <f t="shared" si="15"/>
        <v>0</v>
      </c>
      <c r="AK158" s="18">
        <f t="shared" si="15"/>
        <v>0</v>
      </c>
      <c r="AL158" s="18">
        <f t="shared" si="15"/>
        <v>0</v>
      </c>
      <c r="AM158" s="18">
        <f t="shared" si="15"/>
        <v>0</v>
      </c>
      <c r="AN158" s="18">
        <f t="shared" si="15"/>
        <v>0</v>
      </c>
      <c r="AO158" s="18">
        <f t="shared" si="17"/>
        <v>0</v>
      </c>
      <c r="AP158" s="18">
        <f t="shared" si="17"/>
        <v>0</v>
      </c>
      <c r="AQ158" s="18">
        <f t="shared" si="17"/>
        <v>0</v>
      </c>
    </row>
    <row r="159" spans="1:43" x14ac:dyDescent="0.3">
      <c r="A159" s="9" t="s">
        <v>189</v>
      </c>
      <c r="B159" s="10" t="s">
        <v>547</v>
      </c>
      <c r="C159" s="10" t="s">
        <v>118</v>
      </c>
      <c r="D159" s="10" t="s">
        <v>136</v>
      </c>
      <c r="E159" s="10" t="s">
        <v>704</v>
      </c>
      <c r="F159" s="10" t="s">
        <v>694</v>
      </c>
      <c r="G159" s="10" t="s">
        <v>696</v>
      </c>
      <c r="H159" s="11">
        <v>11.146803069053705</v>
      </c>
      <c r="I159" s="11">
        <v>26.720511182108648</v>
      </c>
      <c r="J159" s="11">
        <v>18.373333333333335</v>
      </c>
      <c r="K159" s="11">
        <v>32.404494382022506</v>
      </c>
      <c r="L159" s="11">
        <v>14.979166666666638</v>
      </c>
      <c r="M159" s="11">
        <v>11.583577712609941</v>
      </c>
      <c r="N159" s="11">
        <v>15.104508196721316</v>
      </c>
      <c r="O159" s="11">
        <v>13.873517786561274</v>
      </c>
      <c r="P159" s="11">
        <v>3.4760869565217396</v>
      </c>
      <c r="Q159" s="11">
        <v>9.2569002123142177</v>
      </c>
      <c r="R159" s="11">
        <v>12.744186046511626</v>
      </c>
      <c r="S159" s="11">
        <v>16.155797101449281</v>
      </c>
      <c r="T159" s="11">
        <v>5</v>
      </c>
      <c r="U159" s="11">
        <v>9</v>
      </c>
      <c r="V159" s="11">
        <v>2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 t="s">
        <v>403</v>
      </c>
      <c r="AE159" s="11" t="s">
        <v>403</v>
      </c>
      <c r="AF159" s="18">
        <f t="shared" si="16"/>
        <v>0.44855910425844359</v>
      </c>
      <c r="AG159" s="18">
        <f t="shared" si="16"/>
        <v>0.33681990358126696</v>
      </c>
      <c r="AH159" s="18">
        <f t="shared" si="16"/>
        <v>0.10885341074020319</v>
      </c>
      <c r="AI159" s="18">
        <f t="shared" si="15"/>
        <v>0</v>
      </c>
      <c r="AJ159" s="18">
        <f t="shared" si="15"/>
        <v>0</v>
      </c>
      <c r="AK159" s="18">
        <f t="shared" si="15"/>
        <v>0</v>
      </c>
      <c r="AL159" s="18">
        <f t="shared" si="15"/>
        <v>0</v>
      </c>
      <c r="AM159" s="18">
        <f t="shared" si="15"/>
        <v>0</v>
      </c>
      <c r="AN159" s="18">
        <f t="shared" si="15"/>
        <v>0</v>
      </c>
      <c r="AO159" s="18">
        <f t="shared" si="17"/>
        <v>0</v>
      </c>
      <c r="AP159" s="18">
        <f t="shared" si="17"/>
        <v>0</v>
      </c>
      <c r="AQ159" s="18">
        <f t="shared" si="17"/>
        <v>0</v>
      </c>
    </row>
    <row r="160" spans="1:43" x14ac:dyDescent="0.3">
      <c r="A160" s="9" t="s">
        <v>184</v>
      </c>
      <c r="B160" s="10" t="s">
        <v>542</v>
      </c>
      <c r="C160" s="10" t="s">
        <v>118</v>
      </c>
      <c r="D160" s="10" t="s">
        <v>136</v>
      </c>
      <c r="E160" s="10" t="s">
        <v>704</v>
      </c>
      <c r="F160" s="10" t="s">
        <v>694</v>
      </c>
      <c r="G160" s="10" t="s">
        <v>697</v>
      </c>
      <c r="H160" s="11">
        <v>4.1800511508951397</v>
      </c>
      <c r="I160" s="11">
        <v>10.020191693290744</v>
      </c>
      <c r="J160" s="11">
        <v>13.362424242424243</v>
      </c>
      <c r="K160" s="11">
        <v>0</v>
      </c>
      <c r="L160" s="11">
        <v>3.4567307692307629</v>
      </c>
      <c r="M160" s="11">
        <v>10.425219941348947</v>
      </c>
      <c r="N160" s="11">
        <v>2.3237704918032795</v>
      </c>
      <c r="O160" s="11">
        <v>3.4683794466403186</v>
      </c>
      <c r="P160" s="11">
        <v>3.4760869565217396</v>
      </c>
      <c r="Q160" s="11">
        <v>2.3142250530785544</v>
      </c>
      <c r="R160" s="11">
        <v>4.634249471458773</v>
      </c>
      <c r="S160" s="11">
        <v>3.4619565217391308</v>
      </c>
      <c r="T160" s="11">
        <v>2</v>
      </c>
      <c r="U160" s="11">
        <v>1</v>
      </c>
      <c r="V160" s="11">
        <v>5</v>
      </c>
      <c r="W160" s="11">
        <v>1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 t="s">
        <v>403</v>
      </c>
      <c r="AE160" s="11" t="s">
        <v>403</v>
      </c>
      <c r="AF160" s="18">
        <f t="shared" si="16"/>
        <v>0.47846304454233979</v>
      </c>
      <c r="AG160" s="18">
        <f t="shared" si="16"/>
        <v>9.9798489950005009E-2</v>
      </c>
      <c r="AH160" s="18">
        <f t="shared" si="16"/>
        <v>0.37418359941944845</v>
      </c>
      <c r="AI160" s="18">
        <f t="shared" si="15"/>
        <v>0</v>
      </c>
      <c r="AJ160" s="18">
        <f t="shared" si="15"/>
        <v>0</v>
      </c>
      <c r="AK160" s="18">
        <f t="shared" si="15"/>
        <v>0</v>
      </c>
      <c r="AL160" s="18">
        <f t="shared" si="15"/>
        <v>0</v>
      </c>
      <c r="AM160" s="18">
        <f t="shared" si="15"/>
        <v>0</v>
      </c>
      <c r="AN160" s="18">
        <f t="shared" si="15"/>
        <v>0</v>
      </c>
      <c r="AO160" s="18">
        <f t="shared" si="17"/>
        <v>0</v>
      </c>
      <c r="AP160" s="18">
        <f t="shared" si="17"/>
        <v>0</v>
      </c>
      <c r="AQ160" s="18">
        <f t="shared" si="17"/>
        <v>0</v>
      </c>
    </row>
    <row r="161" spans="1:43" x14ac:dyDescent="0.3">
      <c r="A161" s="9" t="s">
        <v>180</v>
      </c>
      <c r="B161" s="10" t="s">
        <v>538</v>
      </c>
      <c r="C161" s="10" t="s">
        <v>118</v>
      </c>
      <c r="D161" s="10" t="s">
        <v>136</v>
      </c>
      <c r="E161" s="10" t="s">
        <v>704</v>
      </c>
      <c r="F161" s="10" t="s">
        <v>694</v>
      </c>
      <c r="G161" s="10" t="s">
        <v>697</v>
      </c>
      <c r="H161" s="11">
        <v>2.7867007672634263</v>
      </c>
      <c r="I161" s="11">
        <v>10.020191693290744</v>
      </c>
      <c r="J161" s="11">
        <v>3.3406060606060608</v>
      </c>
      <c r="K161" s="11">
        <v>1.1573033707865181</v>
      </c>
      <c r="L161" s="11">
        <v>5.7612179487179374</v>
      </c>
      <c r="M161" s="11">
        <v>3.4750733137829823</v>
      </c>
      <c r="N161" s="11">
        <v>1.1618852459016398</v>
      </c>
      <c r="O161" s="11">
        <v>3.4683794466403186</v>
      </c>
      <c r="P161" s="11">
        <v>3.4760869565217396</v>
      </c>
      <c r="Q161" s="11">
        <v>4.6284501061571088</v>
      </c>
      <c r="R161" s="11">
        <v>3.4756871035940797</v>
      </c>
      <c r="S161" s="11">
        <v>3.4619565217391308</v>
      </c>
      <c r="T161" s="11">
        <v>5</v>
      </c>
      <c r="U161" s="11">
        <v>2</v>
      </c>
      <c r="V161" s="11">
        <v>9</v>
      </c>
      <c r="W161" s="11">
        <v>1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 t="s">
        <v>403</v>
      </c>
      <c r="AE161" s="11" t="s">
        <v>403</v>
      </c>
      <c r="AF161" s="18">
        <f t="shared" si="16"/>
        <v>1.7942364170337743</v>
      </c>
      <c r="AG161" s="18">
        <f t="shared" si="16"/>
        <v>0.19959697990001002</v>
      </c>
      <c r="AH161" s="18">
        <f t="shared" si="16"/>
        <v>2.6941219158200287</v>
      </c>
      <c r="AI161" s="18">
        <f t="shared" si="15"/>
        <v>0.86407766990291168</v>
      </c>
      <c r="AJ161" s="18">
        <f t="shared" si="15"/>
        <v>0</v>
      </c>
      <c r="AK161" s="18">
        <f t="shared" si="15"/>
        <v>0</v>
      </c>
      <c r="AL161" s="18">
        <f t="shared" si="15"/>
        <v>0</v>
      </c>
      <c r="AM161" s="18">
        <f t="shared" si="15"/>
        <v>0</v>
      </c>
      <c r="AN161" s="18">
        <f t="shared" si="15"/>
        <v>0</v>
      </c>
      <c r="AO161" s="18">
        <f t="shared" si="17"/>
        <v>0</v>
      </c>
      <c r="AP161" s="18">
        <f t="shared" si="17"/>
        <v>0</v>
      </c>
      <c r="AQ161" s="18">
        <f t="shared" si="17"/>
        <v>0</v>
      </c>
    </row>
    <row r="162" spans="1:43" x14ac:dyDescent="0.3">
      <c r="A162" s="9" t="s">
        <v>175</v>
      </c>
      <c r="B162" s="10" t="s">
        <v>533</v>
      </c>
      <c r="C162" s="10" t="s">
        <v>118</v>
      </c>
      <c r="D162" s="10" t="s">
        <v>136</v>
      </c>
      <c r="E162" s="10" t="s">
        <v>704</v>
      </c>
      <c r="F162" s="10" t="s">
        <v>694</v>
      </c>
      <c r="G162" s="10" t="s">
        <v>696</v>
      </c>
      <c r="H162" s="11">
        <v>13.933503836317131</v>
      </c>
      <c r="I162" s="11">
        <v>16.700319488817907</v>
      </c>
      <c r="J162" s="11">
        <v>13.362424242424243</v>
      </c>
      <c r="K162" s="11">
        <v>16.202247191011253</v>
      </c>
      <c r="L162" s="11">
        <v>9.2179487179486994</v>
      </c>
      <c r="M162" s="11">
        <v>6.9501466275659647</v>
      </c>
      <c r="N162" s="11">
        <v>6.9713114754098386</v>
      </c>
      <c r="O162" s="11">
        <v>6.9367588932806372</v>
      </c>
      <c r="P162" s="11">
        <v>6.9521739130434792</v>
      </c>
      <c r="Q162" s="11">
        <v>16.19957537154988</v>
      </c>
      <c r="R162" s="11">
        <v>10.427061310782239</v>
      </c>
      <c r="S162" s="11">
        <v>5.7699275362318856</v>
      </c>
      <c r="T162" s="11">
        <v>5</v>
      </c>
      <c r="U162" s="11">
        <v>5</v>
      </c>
      <c r="V162" s="11">
        <v>4</v>
      </c>
      <c r="W162" s="11">
        <v>1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 t="s">
        <v>403</v>
      </c>
      <c r="AE162" s="11" t="s">
        <v>403</v>
      </c>
      <c r="AF162" s="18">
        <f t="shared" si="16"/>
        <v>0.35884728340675487</v>
      </c>
      <c r="AG162" s="18">
        <f t="shared" si="16"/>
        <v>0.29939546985001503</v>
      </c>
      <c r="AH162" s="18">
        <f t="shared" si="16"/>
        <v>0.29934687953555877</v>
      </c>
      <c r="AI162" s="18">
        <f t="shared" si="15"/>
        <v>6.1719833564493697E-2</v>
      </c>
      <c r="AJ162" s="18">
        <f t="shared" si="15"/>
        <v>0</v>
      </c>
      <c r="AK162" s="18">
        <f t="shared" si="15"/>
        <v>0</v>
      </c>
      <c r="AL162" s="18">
        <f t="shared" si="15"/>
        <v>0</v>
      </c>
      <c r="AM162" s="18">
        <f t="shared" si="15"/>
        <v>0</v>
      </c>
      <c r="AN162" s="18">
        <f t="shared" si="15"/>
        <v>0</v>
      </c>
      <c r="AO162" s="18">
        <f t="shared" si="17"/>
        <v>0</v>
      </c>
      <c r="AP162" s="18">
        <f t="shared" si="17"/>
        <v>0</v>
      </c>
      <c r="AQ162" s="18">
        <f t="shared" si="17"/>
        <v>0</v>
      </c>
    </row>
    <row r="163" spans="1:43" x14ac:dyDescent="0.3">
      <c r="A163" s="9" t="s">
        <v>182</v>
      </c>
      <c r="B163" s="10" t="s">
        <v>540</v>
      </c>
      <c r="C163" s="10" t="s">
        <v>118</v>
      </c>
      <c r="D163" s="10" t="s">
        <v>136</v>
      </c>
      <c r="E163" s="10" t="s">
        <v>704</v>
      </c>
      <c r="F163" s="10" t="s">
        <v>694</v>
      </c>
      <c r="G163" s="10" t="s">
        <v>697</v>
      </c>
      <c r="H163" s="11">
        <v>1.3933503836317132</v>
      </c>
      <c r="I163" s="11">
        <v>6.6801277955271621</v>
      </c>
      <c r="J163" s="11">
        <v>3.3406060606060608</v>
      </c>
      <c r="K163" s="11">
        <v>2.3146067415730363</v>
      </c>
      <c r="L163" s="11">
        <v>1.1522435897435874</v>
      </c>
      <c r="M163" s="11">
        <v>2.3167155425219881</v>
      </c>
      <c r="N163" s="11">
        <v>3.4856557377049193</v>
      </c>
      <c r="O163" s="11">
        <v>1.1561264822134396</v>
      </c>
      <c r="P163" s="11">
        <v>1.1586956521739133</v>
      </c>
      <c r="Q163" s="11">
        <v>2.3142250530785544</v>
      </c>
      <c r="R163" s="11">
        <v>1.1585623678646932</v>
      </c>
      <c r="S163" s="11">
        <v>2.3079710144927539</v>
      </c>
      <c r="T163" s="11">
        <v>1</v>
      </c>
      <c r="U163" s="11">
        <v>4</v>
      </c>
      <c r="V163" s="11">
        <v>2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 t="s">
        <v>403</v>
      </c>
      <c r="AE163" s="11" t="s">
        <v>403</v>
      </c>
      <c r="AF163" s="18">
        <f t="shared" si="16"/>
        <v>0.71769456681350974</v>
      </c>
      <c r="AG163" s="18">
        <f t="shared" si="16"/>
        <v>0.59879093970003017</v>
      </c>
      <c r="AH163" s="18">
        <f t="shared" si="16"/>
        <v>0.59869375907111755</v>
      </c>
      <c r="AI163" s="18">
        <f t="shared" si="15"/>
        <v>0</v>
      </c>
      <c r="AJ163" s="18">
        <f t="shared" si="15"/>
        <v>0</v>
      </c>
      <c r="AK163" s="18">
        <f t="shared" si="15"/>
        <v>0</v>
      </c>
      <c r="AL163" s="18">
        <f t="shared" si="15"/>
        <v>0</v>
      </c>
      <c r="AM163" s="18">
        <f t="shared" si="15"/>
        <v>0</v>
      </c>
      <c r="AN163" s="18">
        <f t="shared" si="15"/>
        <v>0</v>
      </c>
      <c r="AO163" s="18">
        <f t="shared" si="17"/>
        <v>0</v>
      </c>
      <c r="AP163" s="18">
        <f t="shared" si="17"/>
        <v>0</v>
      </c>
      <c r="AQ163" s="18">
        <f t="shared" si="17"/>
        <v>0</v>
      </c>
    </row>
    <row r="164" spans="1:43" x14ac:dyDescent="0.3">
      <c r="A164" s="9" t="s">
        <v>176</v>
      </c>
      <c r="B164" s="10" t="s">
        <v>534</v>
      </c>
      <c r="C164" s="10" t="s">
        <v>118</v>
      </c>
      <c r="D164" s="10" t="s">
        <v>136</v>
      </c>
      <c r="E164" s="10" t="s">
        <v>704</v>
      </c>
      <c r="F164" s="10" t="s">
        <v>694</v>
      </c>
      <c r="G164" s="10" t="s">
        <v>697</v>
      </c>
      <c r="H164" s="11">
        <v>2.7867007672634263</v>
      </c>
      <c r="I164" s="11">
        <v>3.340063897763581</v>
      </c>
      <c r="J164" s="11">
        <v>15.032727272727275</v>
      </c>
      <c r="K164" s="11">
        <v>5.7865168539325902</v>
      </c>
      <c r="L164" s="11">
        <v>6.9134615384615259</v>
      </c>
      <c r="M164" s="11">
        <v>4.6334310850439762</v>
      </c>
      <c r="N164" s="11">
        <v>4.6475409836065591</v>
      </c>
      <c r="O164" s="11">
        <v>1.1561264822134396</v>
      </c>
      <c r="P164" s="11">
        <v>6.9521739130434792</v>
      </c>
      <c r="Q164" s="11">
        <v>17.356687898089156</v>
      </c>
      <c r="R164" s="11">
        <v>5.7928118393234662</v>
      </c>
      <c r="S164" s="11">
        <v>4.6159420289855078</v>
      </c>
      <c r="T164" s="11">
        <v>6</v>
      </c>
      <c r="U164" s="11">
        <v>4</v>
      </c>
      <c r="V164" s="11">
        <v>8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 t="s">
        <v>403</v>
      </c>
      <c r="AE164" s="11" t="s">
        <v>403</v>
      </c>
      <c r="AF164" s="18">
        <f t="shared" si="16"/>
        <v>2.1530837004405292</v>
      </c>
      <c r="AG164" s="18">
        <f t="shared" si="16"/>
        <v>1.1975818794000603</v>
      </c>
      <c r="AH164" s="18">
        <f t="shared" si="16"/>
        <v>0.53217223028543781</v>
      </c>
      <c r="AI164" s="18">
        <f t="shared" si="15"/>
        <v>0</v>
      </c>
      <c r="AJ164" s="18">
        <f t="shared" si="15"/>
        <v>0</v>
      </c>
      <c r="AK164" s="18">
        <f t="shared" si="15"/>
        <v>0</v>
      </c>
      <c r="AL164" s="18">
        <f t="shared" si="15"/>
        <v>0</v>
      </c>
      <c r="AM164" s="18">
        <f t="shared" si="15"/>
        <v>0</v>
      </c>
      <c r="AN164" s="18">
        <f t="shared" si="15"/>
        <v>0</v>
      </c>
      <c r="AO164" s="18">
        <f t="shared" si="17"/>
        <v>0</v>
      </c>
      <c r="AP164" s="18">
        <f t="shared" si="17"/>
        <v>0</v>
      </c>
      <c r="AQ164" s="18">
        <f t="shared" si="17"/>
        <v>0</v>
      </c>
    </row>
    <row r="165" spans="1:43" x14ac:dyDescent="0.3">
      <c r="A165" s="9" t="s">
        <v>235</v>
      </c>
      <c r="B165" s="10" t="s">
        <v>593</v>
      </c>
      <c r="C165" s="10" t="s">
        <v>118</v>
      </c>
      <c r="D165" s="10" t="s">
        <v>136</v>
      </c>
      <c r="E165" s="10" t="s">
        <v>704</v>
      </c>
      <c r="F165" s="10" t="s">
        <v>694</v>
      </c>
      <c r="G165" s="10" t="s">
        <v>696</v>
      </c>
      <c r="H165" s="11">
        <v>0</v>
      </c>
      <c r="I165" s="11">
        <v>6.6801277955271621</v>
      </c>
      <c r="J165" s="11">
        <v>5.0109090909090916</v>
      </c>
      <c r="K165" s="11">
        <v>5.7865168539325902</v>
      </c>
      <c r="L165" s="11">
        <v>5.7612179487179374</v>
      </c>
      <c r="M165" s="11">
        <v>4.6334310850439762</v>
      </c>
      <c r="N165" s="11">
        <v>3.4856557377049193</v>
      </c>
      <c r="O165" s="11">
        <v>2.3122529644268792</v>
      </c>
      <c r="P165" s="11">
        <v>3.4760869565217396</v>
      </c>
      <c r="Q165" s="11">
        <v>4.6284501061571088</v>
      </c>
      <c r="R165" s="11">
        <v>4.634249471458773</v>
      </c>
      <c r="S165" s="11">
        <v>2.3079710144927539</v>
      </c>
      <c r="T165" s="11">
        <v>3</v>
      </c>
      <c r="U165" s="11">
        <v>0</v>
      </c>
      <c r="V165" s="11">
        <v>2</v>
      </c>
      <c r="W165" s="11">
        <v>1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 t="s">
        <v>403</v>
      </c>
      <c r="AE165" s="11" t="s">
        <v>403</v>
      </c>
      <c r="AF165" s="18">
        <f t="shared" si="16"/>
        <v>0</v>
      </c>
      <c r="AG165" s="18">
        <f t="shared" si="16"/>
        <v>0</v>
      </c>
      <c r="AH165" s="18">
        <f t="shared" si="16"/>
        <v>0.39912917271407833</v>
      </c>
      <c r="AI165" s="18">
        <f t="shared" si="15"/>
        <v>0.17281553398058236</v>
      </c>
      <c r="AJ165" s="18">
        <f t="shared" si="15"/>
        <v>0</v>
      </c>
      <c r="AK165" s="18">
        <f t="shared" si="15"/>
        <v>0</v>
      </c>
      <c r="AL165" s="18">
        <f t="shared" si="15"/>
        <v>0</v>
      </c>
      <c r="AM165" s="18">
        <f t="shared" si="15"/>
        <v>0</v>
      </c>
      <c r="AN165" s="18">
        <f t="shared" si="15"/>
        <v>0</v>
      </c>
      <c r="AO165" s="18">
        <f t="shared" si="17"/>
        <v>0</v>
      </c>
      <c r="AP165" s="18">
        <f t="shared" si="17"/>
        <v>0</v>
      </c>
      <c r="AQ165" s="18">
        <f t="shared" si="17"/>
        <v>0</v>
      </c>
    </row>
    <row r="166" spans="1:43" x14ac:dyDescent="0.3">
      <c r="A166" s="9" t="s">
        <v>234</v>
      </c>
      <c r="B166" s="10" t="s">
        <v>592</v>
      </c>
      <c r="C166" s="10" t="s">
        <v>118</v>
      </c>
      <c r="D166" s="10" t="s">
        <v>136</v>
      </c>
      <c r="E166" s="10" t="s">
        <v>704</v>
      </c>
      <c r="F166" s="10" t="s">
        <v>694</v>
      </c>
      <c r="G166" s="10" t="s">
        <v>697</v>
      </c>
      <c r="H166" s="11">
        <v>0</v>
      </c>
      <c r="I166" s="11">
        <v>10.020191693290744</v>
      </c>
      <c r="J166" s="11">
        <v>18.373333333333335</v>
      </c>
      <c r="K166" s="11">
        <v>13.887640449438218</v>
      </c>
      <c r="L166" s="11">
        <v>16.131410256410227</v>
      </c>
      <c r="M166" s="11">
        <v>24.325513196480877</v>
      </c>
      <c r="N166" s="11">
        <v>8.133196721311478</v>
      </c>
      <c r="O166" s="11">
        <v>6.9367588932806372</v>
      </c>
      <c r="P166" s="11">
        <v>5.7934782608695663</v>
      </c>
      <c r="Q166" s="11">
        <v>8.09978768577494</v>
      </c>
      <c r="R166" s="11">
        <v>6.9513742071881595</v>
      </c>
      <c r="S166" s="11">
        <v>12.693840579710146</v>
      </c>
      <c r="T166" s="11">
        <v>2</v>
      </c>
      <c r="U166" s="11">
        <v>10</v>
      </c>
      <c r="V166" s="11">
        <v>9</v>
      </c>
      <c r="W166" s="11">
        <v>2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 t="s">
        <v>403</v>
      </c>
      <c r="AE166" s="11" t="s">
        <v>403</v>
      </c>
      <c r="AF166" s="18">
        <f t="shared" si="16"/>
        <v>0</v>
      </c>
      <c r="AG166" s="18">
        <f t="shared" si="16"/>
        <v>0.99798489950005009</v>
      </c>
      <c r="AH166" s="18">
        <f t="shared" si="16"/>
        <v>0.48984034833091433</v>
      </c>
      <c r="AI166" s="18">
        <f t="shared" si="15"/>
        <v>0.14401294498381861</v>
      </c>
      <c r="AJ166" s="18">
        <f t="shared" si="15"/>
        <v>0</v>
      </c>
      <c r="AK166" s="18">
        <f t="shared" si="15"/>
        <v>0</v>
      </c>
      <c r="AL166" s="18">
        <f t="shared" si="15"/>
        <v>0</v>
      </c>
      <c r="AM166" s="18">
        <f t="shared" si="15"/>
        <v>0</v>
      </c>
      <c r="AN166" s="18">
        <f t="shared" si="15"/>
        <v>0</v>
      </c>
      <c r="AO166" s="18">
        <f t="shared" si="17"/>
        <v>0</v>
      </c>
      <c r="AP166" s="18">
        <f t="shared" si="17"/>
        <v>0</v>
      </c>
      <c r="AQ166" s="18">
        <f t="shared" si="17"/>
        <v>0</v>
      </c>
    </row>
    <row r="167" spans="1:43" x14ac:dyDescent="0.3">
      <c r="A167" s="9" t="s">
        <v>232</v>
      </c>
      <c r="B167" s="10" t="s">
        <v>590</v>
      </c>
      <c r="C167" s="10" t="s">
        <v>118</v>
      </c>
      <c r="D167" s="10" t="s">
        <v>136</v>
      </c>
      <c r="E167" s="10" t="s">
        <v>704</v>
      </c>
      <c r="F167" s="10" t="s">
        <v>694</v>
      </c>
      <c r="G167" s="10" t="s">
        <v>696</v>
      </c>
      <c r="H167" s="11">
        <v>0</v>
      </c>
      <c r="I167" s="11">
        <v>10.020191693290744</v>
      </c>
      <c r="J167" s="11">
        <v>3.3406060606060608</v>
      </c>
      <c r="K167" s="11">
        <v>6.9438202247191088</v>
      </c>
      <c r="L167" s="11">
        <v>5.7612179487179374</v>
      </c>
      <c r="M167" s="11">
        <v>2.3167155425219881</v>
      </c>
      <c r="N167" s="11">
        <v>2.3237704918032795</v>
      </c>
      <c r="O167" s="11">
        <v>2.3122529644268792</v>
      </c>
      <c r="P167" s="11">
        <v>2.3173913043478267</v>
      </c>
      <c r="Q167" s="11">
        <v>3.4713375796178316</v>
      </c>
      <c r="R167" s="11">
        <v>2.3171247357293865</v>
      </c>
      <c r="S167" s="11">
        <v>2.3079710144927539</v>
      </c>
      <c r="T167" s="11">
        <v>3</v>
      </c>
      <c r="U167" s="11">
        <v>3</v>
      </c>
      <c r="V167" s="11">
        <v>2</v>
      </c>
      <c r="W167" s="11">
        <v>2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 t="s">
        <v>403</v>
      </c>
      <c r="AE167" s="11" t="s">
        <v>403</v>
      </c>
      <c r="AF167" s="18">
        <f t="shared" si="16"/>
        <v>0</v>
      </c>
      <c r="AG167" s="18">
        <f t="shared" si="16"/>
        <v>0.29939546985001503</v>
      </c>
      <c r="AH167" s="18">
        <f t="shared" si="16"/>
        <v>0.59869375907111755</v>
      </c>
      <c r="AI167" s="18">
        <f t="shared" si="15"/>
        <v>0.28802588996763723</v>
      </c>
      <c r="AJ167" s="18">
        <f t="shared" si="15"/>
        <v>0</v>
      </c>
      <c r="AK167" s="18">
        <f t="shared" si="15"/>
        <v>0</v>
      </c>
      <c r="AL167" s="18">
        <f t="shared" si="15"/>
        <v>0</v>
      </c>
      <c r="AM167" s="18">
        <f t="shared" si="15"/>
        <v>0</v>
      </c>
      <c r="AN167" s="18">
        <f t="shared" si="15"/>
        <v>0</v>
      </c>
      <c r="AO167" s="18">
        <f t="shared" si="17"/>
        <v>0</v>
      </c>
      <c r="AP167" s="18">
        <f t="shared" si="17"/>
        <v>0</v>
      </c>
      <c r="AQ167" s="18">
        <f t="shared" si="17"/>
        <v>0</v>
      </c>
    </row>
    <row r="168" spans="1:43" x14ac:dyDescent="0.3">
      <c r="A168" s="9" t="s">
        <v>231</v>
      </c>
      <c r="B168" s="10" t="s">
        <v>589</v>
      </c>
      <c r="C168" s="10" t="s">
        <v>118</v>
      </c>
      <c r="D168" s="10" t="s">
        <v>136</v>
      </c>
      <c r="E168" s="10" t="s">
        <v>704</v>
      </c>
      <c r="F168" s="10" t="s">
        <v>694</v>
      </c>
      <c r="G168" s="10" t="s">
        <v>697</v>
      </c>
      <c r="H168" s="11">
        <v>0</v>
      </c>
      <c r="I168" s="11">
        <v>3.340063897763581</v>
      </c>
      <c r="J168" s="11">
        <v>8.3515151515151516</v>
      </c>
      <c r="K168" s="11">
        <v>2.3146067415730363</v>
      </c>
      <c r="L168" s="11">
        <v>3.4567307692307629</v>
      </c>
      <c r="M168" s="11">
        <v>2.3167155425219881</v>
      </c>
      <c r="N168" s="11">
        <v>2.3237704918032795</v>
      </c>
      <c r="O168" s="11">
        <v>3.4683794466403186</v>
      </c>
      <c r="P168" s="11">
        <v>3.4760869565217396</v>
      </c>
      <c r="Q168" s="11">
        <v>0</v>
      </c>
      <c r="R168" s="11">
        <v>1.1585623678646932</v>
      </c>
      <c r="S168" s="11">
        <v>1.1539855072463769</v>
      </c>
      <c r="T168" s="11">
        <v>2</v>
      </c>
      <c r="U168" s="11">
        <v>12</v>
      </c>
      <c r="V168" s="11">
        <v>2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 t="s">
        <v>403</v>
      </c>
      <c r="AE168" s="11" t="s">
        <v>403</v>
      </c>
      <c r="AF168" s="18">
        <f t="shared" si="16"/>
        <v>0</v>
      </c>
      <c r="AG168" s="18">
        <f t="shared" si="16"/>
        <v>3.5927456382001806</v>
      </c>
      <c r="AH168" s="18">
        <f t="shared" si="16"/>
        <v>0.23947750362844702</v>
      </c>
      <c r="AI168" s="18">
        <f t="shared" si="15"/>
        <v>0</v>
      </c>
      <c r="AJ168" s="18">
        <f t="shared" si="15"/>
        <v>0</v>
      </c>
      <c r="AK168" s="18">
        <f t="shared" si="15"/>
        <v>0</v>
      </c>
      <c r="AL168" s="18">
        <f t="shared" ref="AL168:AN196" si="18">IFERROR(Z168/N168,0)</f>
        <v>0</v>
      </c>
      <c r="AM168" s="18">
        <f t="shared" si="18"/>
        <v>0</v>
      </c>
      <c r="AN168" s="18">
        <f t="shared" si="18"/>
        <v>0</v>
      </c>
      <c r="AO168" s="18">
        <f t="shared" si="17"/>
        <v>0</v>
      </c>
      <c r="AP168" s="18">
        <f t="shared" si="17"/>
        <v>0</v>
      </c>
      <c r="AQ168" s="18">
        <f t="shared" si="17"/>
        <v>0</v>
      </c>
    </row>
    <row r="169" spans="1:43" x14ac:dyDescent="0.3">
      <c r="A169" s="9" t="s">
        <v>181</v>
      </c>
      <c r="B169" s="10" t="s">
        <v>539</v>
      </c>
      <c r="C169" s="10" t="s">
        <v>118</v>
      </c>
      <c r="D169" s="10" t="s">
        <v>136</v>
      </c>
      <c r="E169" s="10" t="s">
        <v>704</v>
      </c>
      <c r="F169" s="10" t="s">
        <v>694</v>
      </c>
      <c r="G169" s="10" t="s">
        <v>697</v>
      </c>
      <c r="H169" s="11">
        <v>4.1800511508951397</v>
      </c>
      <c r="I169" s="11">
        <v>5.0100958466453722</v>
      </c>
      <c r="J169" s="11">
        <v>3.3406060606060608</v>
      </c>
      <c r="K169" s="11">
        <v>3.4719101123595544</v>
      </c>
      <c r="L169" s="11">
        <v>2.3044871794871749</v>
      </c>
      <c r="M169" s="11">
        <v>4.6334310850439762</v>
      </c>
      <c r="N169" s="11">
        <v>1.1618852459016398</v>
      </c>
      <c r="O169" s="11">
        <v>4.6245059288537584</v>
      </c>
      <c r="P169" s="11">
        <v>3.4760869565217396</v>
      </c>
      <c r="Q169" s="11">
        <v>4.6284501061571088</v>
      </c>
      <c r="R169" s="11">
        <v>3.4756871035940797</v>
      </c>
      <c r="S169" s="11">
        <v>5.7699275362318856</v>
      </c>
      <c r="T169" s="11">
        <v>1</v>
      </c>
      <c r="U169" s="11">
        <v>2</v>
      </c>
      <c r="V169" s="11">
        <v>0</v>
      </c>
      <c r="W169" s="11">
        <v>1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 t="s">
        <v>403</v>
      </c>
      <c r="AE169" s="11" t="s">
        <v>403</v>
      </c>
      <c r="AF169" s="18">
        <f t="shared" si="16"/>
        <v>0.23923152227116989</v>
      </c>
      <c r="AG169" s="18">
        <f t="shared" si="16"/>
        <v>0.39919395980002004</v>
      </c>
      <c r="AH169" s="18">
        <f t="shared" si="16"/>
        <v>0</v>
      </c>
      <c r="AI169" s="18">
        <f t="shared" si="16"/>
        <v>0.28802588996763723</v>
      </c>
      <c r="AJ169" s="18">
        <f t="shared" si="16"/>
        <v>0</v>
      </c>
      <c r="AK169" s="18">
        <f t="shared" si="16"/>
        <v>0</v>
      </c>
      <c r="AL169" s="18">
        <f t="shared" si="18"/>
        <v>0</v>
      </c>
      <c r="AM169" s="18">
        <f t="shared" si="18"/>
        <v>0</v>
      </c>
      <c r="AN169" s="18">
        <f t="shared" si="18"/>
        <v>0</v>
      </c>
      <c r="AO169" s="18">
        <f t="shared" si="17"/>
        <v>0</v>
      </c>
      <c r="AP169" s="18">
        <f t="shared" si="17"/>
        <v>0</v>
      </c>
      <c r="AQ169" s="18">
        <f t="shared" si="17"/>
        <v>0</v>
      </c>
    </row>
    <row r="170" spans="1:43" x14ac:dyDescent="0.3">
      <c r="A170" s="9" t="s">
        <v>187</v>
      </c>
      <c r="B170" s="10" t="s">
        <v>545</v>
      </c>
      <c r="C170" s="10" t="s">
        <v>118</v>
      </c>
      <c r="D170" s="10" t="s">
        <v>136</v>
      </c>
      <c r="E170" s="10" t="s">
        <v>704</v>
      </c>
      <c r="F170" s="10" t="s">
        <v>694</v>
      </c>
      <c r="G170" s="10" t="s">
        <v>697</v>
      </c>
      <c r="H170" s="11">
        <v>0</v>
      </c>
      <c r="I170" s="11">
        <v>0</v>
      </c>
      <c r="J170" s="11">
        <v>3.3406060606060608</v>
      </c>
      <c r="K170" s="11">
        <v>0</v>
      </c>
      <c r="L170" s="11">
        <v>1.1522435897435874</v>
      </c>
      <c r="M170" s="11">
        <v>0</v>
      </c>
      <c r="N170" s="11">
        <v>0</v>
      </c>
      <c r="O170" s="11">
        <v>1.1561264822134396</v>
      </c>
      <c r="P170" s="11">
        <v>1.1586956521739133</v>
      </c>
      <c r="Q170" s="11">
        <v>1.1571125265392772</v>
      </c>
      <c r="R170" s="11">
        <v>1.1585623678646932</v>
      </c>
      <c r="S170" s="11">
        <v>1.1539855072463769</v>
      </c>
      <c r="T170" s="11">
        <v>1</v>
      </c>
      <c r="U170" s="11">
        <v>0</v>
      </c>
      <c r="V170" s="11">
        <v>2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 t="s">
        <v>403</v>
      </c>
      <c r="AE170" s="11" t="s">
        <v>403</v>
      </c>
      <c r="AF170" s="18">
        <f t="shared" si="16"/>
        <v>0</v>
      </c>
      <c r="AG170" s="18">
        <f t="shared" si="16"/>
        <v>0</v>
      </c>
      <c r="AH170" s="18">
        <f t="shared" si="16"/>
        <v>0.59869375907111755</v>
      </c>
      <c r="AI170" s="18">
        <f t="shared" si="16"/>
        <v>0</v>
      </c>
      <c r="AJ170" s="18">
        <f t="shared" si="16"/>
        <v>0</v>
      </c>
      <c r="AK170" s="18">
        <f t="shared" si="16"/>
        <v>0</v>
      </c>
      <c r="AL170" s="18">
        <f t="shared" si="18"/>
        <v>0</v>
      </c>
      <c r="AM170" s="18">
        <f t="shared" si="18"/>
        <v>0</v>
      </c>
      <c r="AN170" s="18">
        <f t="shared" si="18"/>
        <v>0</v>
      </c>
      <c r="AO170" s="18">
        <f t="shared" si="17"/>
        <v>0</v>
      </c>
      <c r="AP170" s="18">
        <f t="shared" si="17"/>
        <v>0</v>
      </c>
      <c r="AQ170" s="18">
        <f t="shared" si="17"/>
        <v>0</v>
      </c>
    </row>
    <row r="171" spans="1:43" x14ac:dyDescent="0.3">
      <c r="A171" s="9" t="s">
        <v>252</v>
      </c>
      <c r="B171" s="10" t="s">
        <v>607</v>
      </c>
      <c r="C171" s="10" t="s">
        <v>20</v>
      </c>
      <c r="D171" s="10" t="s">
        <v>38</v>
      </c>
      <c r="E171" s="10" t="s">
        <v>707</v>
      </c>
      <c r="F171" s="10" t="s">
        <v>694</v>
      </c>
      <c r="G171" s="10" t="s">
        <v>696</v>
      </c>
      <c r="H171" s="11">
        <v>0</v>
      </c>
      <c r="I171" s="11">
        <v>3.8010152284263796</v>
      </c>
      <c r="J171" s="11">
        <v>1.9317688266199602</v>
      </c>
      <c r="K171" s="11">
        <v>1.2859744990892601</v>
      </c>
      <c r="L171" s="11">
        <v>2.6062717770034793</v>
      </c>
      <c r="M171" s="11">
        <v>0</v>
      </c>
      <c r="N171" s="11">
        <v>0</v>
      </c>
      <c r="O171" s="11">
        <v>1.3519668737060118</v>
      </c>
      <c r="P171" s="11">
        <v>0</v>
      </c>
      <c r="Q171" s="11">
        <v>0</v>
      </c>
      <c r="R171" s="11">
        <v>3.9734345351043339</v>
      </c>
      <c r="S171" s="11">
        <v>1.3308957952467966</v>
      </c>
      <c r="T171" s="11">
        <v>0</v>
      </c>
      <c r="U171" s="11">
        <v>2</v>
      </c>
      <c r="V171" s="11">
        <v>1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 t="s">
        <v>403</v>
      </c>
      <c r="AE171" s="11" t="s">
        <v>403</v>
      </c>
      <c r="AF171" s="18">
        <f t="shared" si="16"/>
        <v>0</v>
      </c>
      <c r="AG171" s="18">
        <f t="shared" si="16"/>
        <v>0.52617521367521591</v>
      </c>
      <c r="AH171" s="18">
        <f t="shared" si="16"/>
        <v>0.51766028430519417</v>
      </c>
      <c r="AI171" s="18">
        <f t="shared" si="16"/>
        <v>0</v>
      </c>
      <c r="AJ171" s="18">
        <f t="shared" si="16"/>
        <v>0</v>
      </c>
      <c r="AK171" s="18">
        <f t="shared" si="16"/>
        <v>0</v>
      </c>
      <c r="AL171" s="18">
        <f t="shared" si="18"/>
        <v>0</v>
      </c>
      <c r="AM171" s="18">
        <f t="shared" si="18"/>
        <v>0</v>
      </c>
      <c r="AN171" s="18">
        <f t="shared" si="18"/>
        <v>0</v>
      </c>
      <c r="AO171" s="18">
        <f t="shared" si="17"/>
        <v>0</v>
      </c>
      <c r="AP171" s="18">
        <f t="shared" si="17"/>
        <v>0</v>
      </c>
      <c r="AQ171" s="18">
        <f t="shared" si="17"/>
        <v>0</v>
      </c>
    </row>
    <row r="172" spans="1:43" x14ac:dyDescent="0.3">
      <c r="A172" s="9" t="s">
        <v>251</v>
      </c>
      <c r="B172" s="10" t="s">
        <v>606</v>
      </c>
      <c r="C172" s="10" t="s">
        <v>20</v>
      </c>
      <c r="D172" s="10" t="s">
        <v>30</v>
      </c>
      <c r="E172" s="10" t="s">
        <v>707</v>
      </c>
      <c r="F172" s="10" t="s">
        <v>694</v>
      </c>
      <c r="G172" s="10" t="s">
        <v>696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 t="s">
        <v>403</v>
      </c>
      <c r="U172" s="11" t="s">
        <v>403</v>
      </c>
      <c r="V172" s="11" t="s">
        <v>403</v>
      </c>
      <c r="W172" s="11" t="s">
        <v>403</v>
      </c>
      <c r="X172" s="11" t="s">
        <v>403</v>
      </c>
      <c r="Y172" s="11" t="s">
        <v>403</v>
      </c>
      <c r="Z172" s="11" t="s">
        <v>403</v>
      </c>
      <c r="AA172" s="11" t="s">
        <v>403</v>
      </c>
      <c r="AB172" s="11" t="s">
        <v>403</v>
      </c>
      <c r="AC172" s="11" t="s">
        <v>403</v>
      </c>
      <c r="AD172" s="11" t="s">
        <v>403</v>
      </c>
      <c r="AE172" s="11" t="s">
        <v>403</v>
      </c>
      <c r="AF172" s="18">
        <f t="shared" si="16"/>
        <v>0</v>
      </c>
      <c r="AG172" s="18">
        <f t="shared" si="16"/>
        <v>0</v>
      </c>
      <c r="AH172" s="18">
        <f t="shared" si="16"/>
        <v>0</v>
      </c>
      <c r="AI172" s="18">
        <f t="shared" si="16"/>
        <v>0</v>
      </c>
      <c r="AJ172" s="18">
        <f t="shared" si="16"/>
        <v>0</v>
      </c>
      <c r="AK172" s="18">
        <f t="shared" si="16"/>
        <v>0</v>
      </c>
      <c r="AL172" s="18">
        <f t="shared" si="18"/>
        <v>0</v>
      </c>
      <c r="AM172" s="18">
        <f t="shared" si="18"/>
        <v>0</v>
      </c>
      <c r="AN172" s="18">
        <f t="shared" si="18"/>
        <v>0</v>
      </c>
      <c r="AO172" s="18">
        <f t="shared" si="17"/>
        <v>0</v>
      </c>
      <c r="AP172" s="18">
        <f t="shared" si="17"/>
        <v>0</v>
      </c>
      <c r="AQ172" s="18">
        <f t="shared" si="17"/>
        <v>0</v>
      </c>
    </row>
    <row r="173" spans="1:43" x14ac:dyDescent="0.3">
      <c r="A173" s="9" t="s">
        <v>220</v>
      </c>
      <c r="B173" s="10" t="s">
        <v>578</v>
      </c>
      <c r="C173" s="10" t="s">
        <v>20</v>
      </c>
      <c r="D173" s="10" t="s">
        <v>30</v>
      </c>
      <c r="E173" s="10" t="s">
        <v>693</v>
      </c>
      <c r="F173" s="10" t="s">
        <v>694</v>
      </c>
      <c r="G173" s="10" t="s">
        <v>696</v>
      </c>
      <c r="H173" s="11">
        <v>0</v>
      </c>
      <c r="I173" s="11">
        <v>0</v>
      </c>
      <c r="J173" s="11">
        <v>3.8635376532399204</v>
      </c>
      <c r="K173" s="11">
        <v>0</v>
      </c>
      <c r="L173" s="11">
        <v>1.3031358885017397</v>
      </c>
      <c r="M173" s="11">
        <v>1.3522727272727368</v>
      </c>
      <c r="N173" s="11">
        <v>1.3105590062111734</v>
      </c>
      <c r="O173" s="11">
        <v>0</v>
      </c>
      <c r="P173" s="11">
        <v>1.3025404157043832</v>
      </c>
      <c r="Q173" s="11">
        <v>0</v>
      </c>
      <c r="R173" s="11">
        <v>0</v>
      </c>
      <c r="S173" s="11">
        <v>0</v>
      </c>
      <c r="T173" s="11">
        <v>0</v>
      </c>
      <c r="U173" s="11">
        <v>2</v>
      </c>
      <c r="V173" s="11">
        <v>4</v>
      </c>
      <c r="W173" s="11">
        <v>1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 t="s">
        <v>403</v>
      </c>
      <c r="AE173" s="11" t="s">
        <v>403</v>
      </c>
      <c r="AF173" s="18">
        <f t="shared" si="16"/>
        <v>0</v>
      </c>
      <c r="AG173" s="18">
        <f t="shared" si="16"/>
        <v>0</v>
      </c>
      <c r="AH173" s="18">
        <f t="shared" si="16"/>
        <v>1.0353205686103883</v>
      </c>
      <c r="AI173" s="18">
        <f t="shared" si="16"/>
        <v>0</v>
      </c>
      <c r="AJ173" s="18">
        <f t="shared" si="16"/>
        <v>0</v>
      </c>
      <c r="AK173" s="18">
        <f t="shared" si="16"/>
        <v>0</v>
      </c>
      <c r="AL173" s="18">
        <f t="shared" si="18"/>
        <v>0</v>
      </c>
      <c r="AM173" s="18">
        <f t="shared" si="18"/>
        <v>0</v>
      </c>
      <c r="AN173" s="18">
        <f t="shared" si="18"/>
        <v>0</v>
      </c>
      <c r="AO173" s="18">
        <f t="shared" si="17"/>
        <v>0</v>
      </c>
      <c r="AP173" s="18">
        <f t="shared" si="17"/>
        <v>0</v>
      </c>
      <c r="AQ173" s="18">
        <f t="shared" si="17"/>
        <v>0</v>
      </c>
    </row>
    <row r="174" spans="1:43" x14ac:dyDescent="0.3">
      <c r="A174" s="9" t="s">
        <v>223</v>
      </c>
      <c r="B174" s="10" t="s">
        <v>581</v>
      </c>
      <c r="C174" s="10" t="s">
        <v>118</v>
      </c>
      <c r="D174" s="10" t="s">
        <v>136</v>
      </c>
      <c r="E174" s="10" t="s">
        <v>704</v>
      </c>
      <c r="F174" s="10" t="s">
        <v>694</v>
      </c>
      <c r="G174" s="10" t="s">
        <v>697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1.1571125265392772</v>
      </c>
      <c r="R174" s="11">
        <v>1.1585623678646932</v>
      </c>
      <c r="S174" s="11">
        <v>0</v>
      </c>
      <c r="T174" s="11" t="s">
        <v>403</v>
      </c>
      <c r="U174" s="11" t="s">
        <v>403</v>
      </c>
      <c r="V174" s="11" t="s">
        <v>403</v>
      </c>
      <c r="W174" s="11" t="s">
        <v>403</v>
      </c>
      <c r="X174" s="11" t="s">
        <v>403</v>
      </c>
      <c r="Y174" s="11" t="s">
        <v>403</v>
      </c>
      <c r="Z174" s="11" t="s">
        <v>403</v>
      </c>
      <c r="AA174" s="11" t="s">
        <v>403</v>
      </c>
      <c r="AB174" s="11" t="s">
        <v>403</v>
      </c>
      <c r="AC174" s="11" t="s">
        <v>403</v>
      </c>
      <c r="AD174" s="11" t="s">
        <v>403</v>
      </c>
      <c r="AE174" s="11" t="s">
        <v>403</v>
      </c>
      <c r="AF174" s="18">
        <f t="shared" si="16"/>
        <v>0</v>
      </c>
      <c r="AG174" s="18">
        <f t="shared" si="16"/>
        <v>0</v>
      </c>
      <c r="AH174" s="18">
        <f t="shared" si="16"/>
        <v>0</v>
      </c>
      <c r="AI174" s="18">
        <f t="shared" si="16"/>
        <v>0</v>
      </c>
      <c r="AJ174" s="18">
        <f t="shared" si="16"/>
        <v>0</v>
      </c>
      <c r="AK174" s="18">
        <f t="shared" si="16"/>
        <v>0</v>
      </c>
      <c r="AL174" s="18">
        <f t="shared" si="18"/>
        <v>0</v>
      </c>
      <c r="AM174" s="18">
        <f t="shared" si="18"/>
        <v>0</v>
      </c>
      <c r="AN174" s="18">
        <f t="shared" si="18"/>
        <v>0</v>
      </c>
      <c r="AO174" s="18">
        <f t="shared" si="17"/>
        <v>0</v>
      </c>
      <c r="AP174" s="18">
        <f t="shared" si="17"/>
        <v>0</v>
      </c>
      <c r="AQ174" s="18">
        <f t="shared" si="17"/>
        <v>0</v>
      </c>
    </row>
    <row r="175" spans="1:43" x14ac:dyDescent="0.3">
      <c r="A175" s="9" t="s">
        <v>222</v>
      </c>
      <c r="B175" s="10" t="s">
        <v>580</v>
      </c>
      <c r="C175" s="10" t="s">
        <v>20</v>
      </c>
      <c r="D175" s="10" t="s">
        <v>36</v>
      </c>
      <c r="E175" s="10" t="s">
        <v>693</v>
      </c>
      <c r="F175" s="10" t="s">
        <v>694</v>
      </c>
      <c r="G175" s="10" t="s">
        <v>697</v>
      </c>
      <c r="H175" s="11">
        <v>0</v>
      </c>
      <c r="I175" s="11">
        <v>0</v>
      </c>
      <c r="J175" s="11">
        <v>1</v>
      </c>
      <c r="K175" s="11">
        <v>0</v>
      </c>
      <c r="L175" s="11">
        <v>0</v>
      </c>
      <c r="M175" s="11">
        <v>1</v>
      </c>
      <c r="N175" s="11">
        <v>0</v>
      </c>
      <c r="O175" s="11">
        <v>0</v>
      </c>
      <c r="P175" s="11">
        <v>0</v>
      </c>
      <c r="Q175" s="11">
        <v>1</v>
      </c>
      <c r="R175" s="11">
        <v>0</v>
      </c>
      <c r="S175" s="11">
        <v>0</v>
      </c>
      <c r="T175" s="11" t="s">
        <v>403</v>
      </c>
      <c r="U175" s="11" t="s">
        <v>403</v>
      </c>
      <c r="V175" s="11" t="s">
        <v>403</v>
      </c>
      <c r="W175" s="11" t="s">
        <v>403</v>
      </c>
      <c r="X175" s="11" t="s">
        <v>403</v>
      </c>
      <c r="Y175" s="11" t="s">
        <v>403</v>
      </c>
      <c r="Z175" s="11" t="s">
        <v>403</v>
      </c>
      <c r="AA175" s="11" t="s">
        <v>403</v>
      </c>
      <c r="AB175" s="11" t="s">
        <v>403</v>
      </c>
      <c r="AC175" s="11" t="s">
        <v>403</v>
      </c>
      <c r="AD175" s="11" t="s">
        <v>403</v>
      </c>
      <c r="AE175" s="11" t="s">
        <v>403</v>
      </c>
      <c r="AF175" s="18">
        <f t="shared" si="16"/>
        <v>0</v>
      </c>
      <c r="AG175" s="18">
        <f t="shared" si="16"/>
        <v>0</v>
      </c>
      <c r="AH175" s="18">
        <f t="shared" si="16"/>
        <v>0</v>
      </c>
      <c r="AI175" s="18">
        <f t="shared" si="16"/>
        <v>0</v>
      </c>
      <c r="AJ175" s="18">
        <f t="shared" si="16"/>
        <v>0</v>
      </c>
      <c r="AK175" s="18">
        <f t="shared" si="16"/>
        <v>0</v>
      </c>
      <c r="AL175" s="18">
        <f t="shared" si="18"/>
        <v>0</v>
      </c>
      <c r="AM175" s="18">
        <f t="shared" si="18"/>
        <v>0</v>
      </c>
      <c r="AN175" s="18">
        <f t="shared" si="18"/>
        <v>0</v>
      </c>
      <c r="AO175" s="18">
        <f t="shared" si="17"/>
        <v>0</v>
      </c>
      <c r="AP175" s="18">
        <f t="shared" si="17"/>
        <v>0</v>
      </c>
      <c r="AQ175" s="18">
        <f t="shared" si="17"/>
        <v>0</v>
      </c>
    </row>
    <row r="176" spans="1:43" x14ac:dyDescent="0.3">
      <c r="A176" s="9" t="s">
        <v>226</v>
      </c>
      <c r="B176" s="10" t="s">
        <v>584</v>
      </c>
      <c r="C176" s="10" t="s">
        <v>118</v>
      </c>
      <c r="D176" s="10" t="s">
        <v>136</v>
      </c>
      <c r="E176" s="10" t="s">
        <v>704</v>
      </c>
      <c r="F176" s="10" t="s">
        <v>694</v>
      </c>
      <c r="G176" s="10" t="s">
        <v>697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4.6245059288537584</v>
      </c>
      <c r="P176" s="11">
        <v>2.3173913043478267</v>
      </c>
      <c r="Q176" s="11">
        <v>1.1571125265392772</v>
      </c>
      <c r="R176" s="11">
        <v>0</v>
      </c>
      <c r="S176" s="11">
        <v>2.3079710144927539</v>
      </c>
      <c r="T176" s="11">
        <v>2</v>
      </c>
      <c r="U176" s="11">
        <v>2</v>
      </c>
      <c r="V176" s="11">
        <v>3</v>
      </c>
      <c r="W176" s="11">
        <v>1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 t="s">
        <v>403</v>
      </c>
      <c r="AE176" s="11" t="s">
        <v>403</v>
      </c>
      <c r="AF176" s="18">
        <f t="shared" si="16"/>
        <v>0</v>
      </c>
      <c r="AG176" s="18">
        <f t="shared" si="16"/>
        <v>0</v>
      </c>
      <c r="AH176" s="18">
        <f t="shared" si="16"/>
        <v>0</v>
      </c>
      <c r="AI176" s="18">
        <f t="shared" si="16"/>
        <v>0</v>
      </c>
      <c r="AJ176" s="18">
        <f t="shared" si="16"/>
        <v>0</v>
      </c>
      <c r="AK176" s="18">
        <f t="shared" si="16"/>
        <v>0</v>
      </c>
      <c r="AL176" s="18">
        <f t="shared" si="18"/>
        <v>0</v>
      </c>
      <c r="AM176" s="18">
        <f t="shared" si="18"/>
        <v>0</v>
      </c>
      <c r="AN176" s="18">
        <f t="shared" si="18"/>
        <v>0</v>
      </c>
      <c r="AO176" s="18">
        <f t="shared" si="17"/>
        <v>0</v>
      </c>
      <c r="AP176" s="18">
        <f t="shared" si="17"/>
        <v>0</v>
      </c>
      <c r="AQ176" s="18">
        <f t="shared" si="17"/>
        <v>0</v>
      </c>
    </row>
    <row r="177" spans="1:82" x14ac:dyDescent="0.3">
      <c r="A177" s="5" t="s">
        <v>24</v>
      </c>
      <c r="B177" s="8"/>
      <c r="C177" s="8"/>
      <c r="D177" s="8"/>
      <c r="E177" s="8"/>
      <c r="F177" s="8"/>
      <c r="G177" s="8"/>
      <c r="H177" s="13">
        <f t="shared" ref="H177:AE177" si="19">SUM(H5:H176)</f>
        <v>209.78813564951707</v>
      </c>
      <c r="I177" s="13">
        <f t="shared" si="19"/>
        <v>340.34997032159663</v>
      </c>
      <c r="J177" s="13">
        <f t="shared" si="19"/>
        <v>347.88782041076212</v>
      </c>
      <c r="K177" s="13">
        <f t="shared" si="19"/>
        <v>237.89496735637894</v>
      </c>
      <c r="L177" s="13">
        <f t="shared" si="19"/>
        <v>223.6315275171979</v>
      </c>
      <c r="M177" s="13">
        <f t="shared" si="19"/>
        <v>264.59567448680406</v>
      </c>
      <c r="N177" s="13">
        <f t="shared" si="19"/>
        <v>171.70552896853647</v>
      </c>
      <c r="O177" s="13">
        <f t="shared" si="19"/>
        <v>202.53020892151375</v>
      </c>
      <c r="P177" s="13">
        <f t="shared" si="19"/>
        <v>178.81510191786296</v>
      </c>
      <c r="Q177" s="13">
        <f t="shared" si="19"/>
        <v>191.98051908661546</v>
      </c>
      <c r="R177" s="13">
        <f t="shared" si="19"/>
        <v>214.36536941721982</v>
      </c>
      <c r="S177" s="13">
        <f t="shared" si="19"/>
        <v>231.72535304559753</v>
      </c>
      <c r="T177" s="13">
        <f t="shared" si="19"/>
        <v>171</v>
      </c>
      <c r="U177" s="13">
        <f t="shared" si="19"/>
        <v>171</v>
      </c>
      <c r="V177" s="13">
        <f t="shared" si="19"/>
        <v>190</v>
      </c>
      <c r="W177" s="13">
        <f t="shared" si="19"/>
        <v>41</v>
      </c>
      <c r="X177" s="13">
        <f t="shared" si="19"/>
        <v>0</v>
      </c>
      <c r="Y177" s="13">
        <f t="shared" si="19"/>
        <v>0</v>
      </c>
      <c r="Z177" s="13">
        <f t="shared" si="19"/>
        <v>0</v>
      </c>
      <c r="AA177" s="13">
        <f t="shared" si="19"/>
        <v>0</v>
      </c>
      <c r="AB177" s="13">
        <f t="shared" si="19"/>
        <v>0</v>
      </c>
      <c r="AC177" s="13">
        <f t="shared" si="19"/>
        <v>0</v>
      </c>
      <c r="AD177" s="13">
        <f t="shared" si="19"/>
        <v>0</v>
      </c>
      <c r="AE177" s="13">
        <f t="shared" si="19"/>
        <v>0</v>
      </c>
      <c r="AF177" s="14">
        <f t="shared" si="16"/>
        <v>0.81510805875924963</v>
      </c>
      <c r="AG177" s="14">
        <f t="shared" si="16"/>
        <v>0.50242401913072632</v>
      </c>
      <c r="AH177" s="14">
        <f t="shared" si="16"/>
        <v>0.54615306674335717</v>
      </c>
      <c r="AI177" s="14">
        <f t="shared" si="16"/>
        <v>0.1723449657452395</v>
      </c>
      <c r="AJ177" s="14">
        <f t="shared" si="16"/>
        <v>0</v>
      </c>
      <c r="AK177" s="14">
        <f t="shared" si="16"/>
        <v>0</v>
      </c>
      <c r="AL177" s="14">
        <f t="shared" si="18"/>
        <v>0</v>
      </c>
      <c r="AM177" s="14">
        <f t="shared" si="18"/>
        <v>0</v>
      </c>
      <c r="AN177" s="14">
        <f t="shared" si="18"/>
        <v>0</v>
      </c>
      <c r="AO177" s="14">
        <f t="shared" si="17"/>
        <v>0</v>
      </c>
      <c r="AP177" s="14">
        <f t="shared" si="17"/>
        <v>0</v>
      </c>
      <c r="AQ177" s="14">
        <f t="shared" si="17"/>
        <v>0</v>
      </c>
    </row>
    <row r="190" spans="1:82" s="16" customFormat="1" ht="23.35" customHeigh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</row>
  </sheetData>
  <autoFilter ref="A4:AQ177" xr:uid="{BC63D742-01DC-4632-80C7-960C3E2C9A56}"/>
  <mergeCells count="2">
    <mergeCell ref="A3:AQ3"/>
    <mergeCell ref="AT3:C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EAE9-CFD0-4EFB-BC8F-8976C9215D56}">
  <dimension ref="A1:T146"/>
  <sheetViews>
    <sheetView showGridLines="0" zoomScale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1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8" width="19.44140625" customWidth="1"/>
    <col min="9" max="11" width="16" customWidth="1"/>
    <col min="12" max="12" width="19.44140625" hidden="1" customWidth="1"/>
    <col min="13" max="14" width="0" hidden="1" customWidth="1"/>
    <col min="15" max="15" width="25.44140625" hidden="1" customWidth="1"/>
    <col min="16" max="19" width="19.77734375" hidden="1" customWidth="1"/>
    <col min="20" max="20" width="19.77734375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20" x14ac:dyDescent="0.3">
      <c r="A1" s="1">
        <v>16</v>
      </c>
      <c r="B1" s="1">
        <v>48</v>
      </c>
      <c r="C1" t="s">
        <v>382</v>
      </c>
      <c r="G1" s="16"/>
      <c r="H1" s="16"/>
      <c r="I1" s="16"/>
      <c r="J1" s="16"/>
      <c r="K1" s="16"/>
      <c r="L1" s="16"/>
    </row>
    <row r="2" spans="1:20" x14ac:dyDescent="0.3">
      <c r="A2" s="1">
        <v>29</v>
      </c>
      <c r="B2" s="17"/>
    </row>
    <row r="3" spans="1:20" s="4" customFormat="1" ht="23.5" customHeight="1" x14ac:dyDescent="0.3">
      <c r="A3" s="2" t="str">
        <f>"PO REALME 16 HP ED (14 - "&amp;A2&amp;" SEPTEMBER 2026)"</f>
        <v>PO REALME 16 HP ED (14 - 29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O3" s="2" t="str">
        <f>A3</f>
        <v>PO REALME 16 HP ED (14 - 29 SEPTEMBER 2026)</v>
      </c>
      <c r="P3" s="2"/>
      <c r="Q3" s="2"/>
      <c r="R3" s="2"/>
      <c r="S3" s="2"/>
      <c r="T3" s="2"/>
    </row>
    <row r="4" spans="1:20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8</v>
      </c>
      <c r="I4" s="8" t="s">
        <v>9</v>
      </c>
      <c r="J4" s="8" t="s">
        <v>10</v>
      </c>
      <c r="K4" s="8" t="s">
        <v>383</v>
      </c>
      <c r="L4" s="8" t="s">
        <v>11</v>
      </c>
      <c r="O4" s="8" t="s">
        <v>2</v>
      </c>
      <c r="P4" s="8" t="s">
        <v>8</v>
      </c>
      <c r="Q4" s="8" t="s">
        <v>9</v>
      </c>
      <c r="R4" s="8" t="s">
        <v>10</v>
      </c>
      <c r="S4" s="8" t="s">
        <v>383</v>
      </c>
      <c r="T4" s="8" t="s">
        <v>11</v>
      </c>
    </row>
    <row r="5" spans="1:20" x14ac:dyDescent="0.3">
      <c r="A5" s="9" t="s">
        <v>56</v>
      </c>
      <c r="B5" s="10" t="s">
        <v>427</v>
      </c>
      <c r="C5" s="10" t="s">
        <v>22</v>
      </c>
      <c r="D5" s="10" t="s">
        <v>48</v>
      </c>
      <c r="E5" s="10" t="s">
        <v>693</v>
      </c>
      <c r="F5" s="10" t="s">
        <v>694</v>
      </c>
      <c r="G5" s="10" t="s">
        <v>699</v>
      </c>
      <c r="H5" s="11">
        <v>2</v>
      </c>
      <c r="I5" s="11">
        <v>0</v>
      </c>
      <c r="J5" s="11">
        <f>IFERROR((I5/$A$1*$B$1),0)</f>
        <v>0</v>
      </c>
      <c r="K5" s="12">
        <f>IFERROR((I5/H5),0)</f>
        <v>0</v>
      </c>
      <c r="L5" s="12">
        <f>IFERROR((J5/H5),0)</f>
        <v>0</v>
      </c>
      <c r="O5" s="10" t="s">
        <v>20</v>
      </c>
      <c r="P5" s="11">
        <f>SUMIF($C:$C,$O5,H:H)</f>
        <v>20</v>
      </c>
      <c r="Q5" s="11">
        <f t="shared" ref="Q5:R7" si="0">SUMIF($C:$C,$O5,I:I)</f>
        <v>0</v>
      </c>
      <c r="R5" s="11">
        <f t="shared" si="0"/>
        <v>0</v>
      </c>
      <c r="S5" s="12">
        <f>IFERROR((Q5/P5),0)</f>
        <v>0</v>
      </c>
      <c r="T5" s="12">
        <f>IFERROR((R5/P5),0)</f>
        <v>0</v>
      </c>
    </row>
    <row r="6" spans="1:20" x14ac:dyDescent="0.3">
      <c r="A6" s="9" t="s">
        <v>54</v>
      </c>
      <c r="B6" s="10" t="s">
        <v>425</v>
      </c>
      <c r="C6" s="10" t="s">
        <v>22</v>
      </c>
      <c r="D6" s="10" t="s">
        <v>48</v>
      </c>
      <c r="E6" s="10" t="s">
        <v>693</v>
      </c>
      <c r="F6" s="10" t="s">
        <v>694</v>
      </c>
      <c r="G6" s="10" t="s">
        <v>699</v>
      </c>
      <c r="H6" s="11">
        <v>0</v>
      </c>
      <c r="I6" s="11">
        <v>0</v>
      </c>
      <c r="J6" s="11">
        <f t="shared" ref="J6:J69" si="1">IFERROR((I6/$A$1*$B$1),0)</f>
        <v>0</v>
      </c>
      <c r="K6" s="12">
        <f t="shared" ref="K6:K69" si="2">IFERROR((I6/H6),0)</f>
        <v>0</v>
      </c>
      <c r="L6" s="12">
        <f t="shared" ref="L6:L69" si="3">IFERROR((J6/H6),0)</f>
        <v>0</v>
      </c>
      <c r="O6" s="10" t="s">
        <v>22</v>
      </c>
      <c r="P6" s="11">
        <f>SUMIF($C:$C,$O6,H:H)</f>
        <v>25</v>
      </c>
      <c r="Q6" s="11">
        <f t="shared" si="0"/>
        <v>0</v>
      </c>
      <c r="R6" s="11">
        <f t="shared" si="0"/>
        <v>0</v>
      </c>
      <c r="S6" s="12">
        <f t="shared" ref="S6:S8" si="4">IFERROR((Q6/P6),0)</f>
        <v>0</v>
      </c>
      <c r="T6" s="12">
        <f t="shared" ref="T6:T8" si="5">IFERROR((R6/P6),0)</f>
        <v>0</v>
      </c>
    </row>
    <row r="7" spans="1:20" x14ac:dyDescent="0.3">
      <c r="A7" s="9" t="s">
        <v>161</v>
      </c>
      <c r="B7" s="10" t="s">
        <v>519</v>
      </c>
      <c r="C7" s="10" t="s">
        <v>22</v>
      </c>
      <c r="D7" s="10" t="s">
        <v>48</v>
      </c>
      <c r="E7" s="10" t="s">
        <v>693</v>
      </c>
      <c r="F7" s="10" t="s">
        <v>694</v>
      </c>
      <c r="G7" s="10" t="s">
        <v>699</v>
      </c>
      <c r="H7" s="11">
        <v>2</v>
      </c>
      <c r="I7" s="11">
        <v>0</v>
      </c>
      <c r="J7" s="11">
        <f t="shared" si="1"/>
        <v>0</v>
      </c>
      <c r="K7" s="12">
        <f t="shared" si="2"/>
        <v>0</v>
      </c>
      <c r="L7" s="12">
        <f t="shared" si="3"/>
        <v>0</v>
      </c>
      <c r="O7" s="10" t="s">
        <v>118</v>
      </c>
      <c r="P7" s="11">
        <f>SUMIF($C:$C,$O7,H:H)</f>
        <v>0</v>
      </c>
      <c r="Q7" s="11">
        <f t="shared" si="0"/>
        <v>0</v>
      </c>
      <c r="R7" s="11">
        <f t="shared" si="0"/>
        <v>0</v>
      </c>
      <c r="S7" s="12">
        <f t="shared" si="4"/>
        <v>0</v>
      </c>
      <c r="T7" s="12">
        <f t="shared" si="5"/>
        <v>0</v>
      </c>
    </row>
    <row r="8" spans="1:20" x14ac:dyDescent="0.3">
      <c r="A8" s="9" t="s">
        <v>66</v>
      </c>
      <c r="B8" s="10" t="s">
        <v>436</v>
      </c>
      <c r="C8" s="10" t="s">
        <v>22</v>
      </c>
      <c r="D8" s="10" t="s">
        <v>42</v>
      </c>
      <c r="E8" s="10" t="s">
        <v>693</v>
      </c>
      <c r="F8" s="10" t="s">
        <v>694</v>
      </c>
      <c r="G8" s="10" t="s">
        <v>699</v>
      </c>
      <c r="H8" s="11">
        <v>0</v>
      </c>
      <c r="I8" s="11">
        <v>0</v>
      </c>
      <c r="J8" s="11">
        <f t="shared" si="1"/>
        <v>0</v>
      </c>
      <c r="K8" s="12">
        <f t="shared" si="2"/>
        <v>0</v>
      </c>
      <c r="L8" s="12">
        <f t="shared" si="3"/>
        <v>0</v>
      </c>
      <c r="O8" s="5" t="s">
        <v>67</v>
      </c>
      <c r="P8" s="13">
        <f>SUM(P5:P7)</f>
        <v>45</v>
      </c>
      <c r="Q8" s="13">
        <f t="shared" ref="Q8:R8" si="6">SUM(Q5:Q7)</f>
        <v>0</v>
      </c>
      <c r="R8" s="13">
        <f t="shared" si="6"/>
        <v>0</v>
      </c>
      <c r="S8" s="14">
        <f t="shared" si="4"/>
        <v>0</v>
      </c>
      <c r="T8" s="14">
        <f t="shared" si="5"/>
        <v>0</v>
      </c>
    </row>
    <row r="9" spans="1:20" x14ac:dyDescent="0.3">
      <c r="A9" s="9" t="s">
        <v>249</v>
      </c>
      <c r="B9" s="10" t="s">
        <v>604</v>
      </c>
      <c r="C9" s="10" t="s">
        <v>22</v>
      </c>
      <c r="D9" s="10" t="s">
        <v>48</v>
      </c>
      <c r="E9" s="10" t="s">
        <v>707</v>
      </c>
      <c r="F9" s="10" t="s">
        <v>694</v>
      </c>
      <c r="G9" s="10" t="s">
        <v>699</v>
      </c>
      <c r="H9" s="11">
        <v>0</v>
      </c>
      <c r="I9" s="11">
        <v>0</v>
      </c>
      <c r="J9" s="11">
        <f t="shared" si="1"/>
        <v>0</v>
      </c>
      <c r="K9" s="12">
        <f t="shared" si="2"/>
        <v>0</v>
      </c>
      <c r="L9" s="12">
        <f t="shared" si="3"/>
        <v>0</v>
      </c>
    </row>
    <row r="10" spans="1:20" x14ac:dyDescent="0.3">
      <c r="A10" s="9" t="s">
        <v>41</v>
      </c>
      <c r="B10" s="10" t="s">
        <v>416</v>
      </c>
      <c r="C10" s="10" t="s">
        <v>22</v>
      </c>
      <c r="D10" s="10" t="s">
        <v>40</v>
      </c>
      <c r="E10" s="10" t="s">
        <v>693</v>
      </c>
      <c r="F10" s="10" t="s">
        <v>694</v>
      </c>
      <c r="G10" s="10" t="s">
        <v>698</v>
      </c>
      <c r="H10" s="11">
        <v>0</v>
      </c>
      <c r="I10" s="11">
        <v>0</v>
      </c>
      <c r="J10" s="11">
        <f t="shared" si="1"/>
        <v>0</v>
      </c>
      <c r="K10" s="12">
        <f t="shared" si="2"/>
        <v>0</v>
      </c>
      <c r="L10" s="12">
        <f t="shared" si="3"/>
        <v>0</v>
      </c>
      <c r="O10" s="8" t="s">
        <v>3</v>
      </c>
      <c r="P10" s="8" t="s">
        <v>8</v>
      </c>
      <c r="Q10" s="8" t="s">
        <v>9</v>
      </c>
      <c r="R10" s="8" t="s">
        <v>10</v>
      </c>
      <c r="S10" s="8" t="s">
        <v>383</v>
      </c>
      <c r="T10" s="8" t="s">
        <v>11</v>
      </c>
    </row>
    <row r="11" spans="1:20" x14ac:dyDescent="0.3">
      <c r="A11" s="9" t="s">
        <v>35</v>
      </c>
      <c r="B11" s="10" t="s">
        <v>413</v>
      </c>
      <c r="C11" s="10" t="s">
        <v>22</v>
      </c>
      <c r="D11" s="10" t="s">
        <v>40</v>
      </c>
      <c r="E11" s="10" t="s">
        <v>693</v>
      </c>
      <c r="F11" s="10" t="s">
        <v>694</v>
      </c>
      <c r="G11" s="10" t="s">
        <v>698</v>
      </c>
      <c r="H11" s="11">
        <v>0</v>
      </c>
      <c r="I11" s="11">
        <v>0</v>
      </c>
      <c r="J11" s="11">
        <f t="shared" si="1"/>
        <v>0</v>
      </c>
      <c r="K11" s="12">
        <f t="shared" si="2"/>
        <v>0</v>
      </c>
      <c r="L11" s="12">
        <f t="shared" si="3"/>
        <v>0</v>
      </c>
      <c r="O11" s="10" t="s">
        <v>28</v>
      </c>
      <c r="P11" s="11">
        <f t="shared" ref="P11:R23" si="7">SUMIF($D:$D,$O11,H:H)</f>
        <v>0</v>
      </c>
      <c r="Q11" s="11">
        <f t="shared" si="7"/>
        <v>0</v>
      </c>
      <c r="R11" s="11">
        <f t="shared" si="7"/>
        <v>0</v>
      </c>
      <c r="S11" s="12">
        <f t="shared" ref="S11:S24" si="8">IFERROR((Q11/P11),0)</f>
        <v>0</v>
      </c>
      <c r="T11" s="12">
        <f t="shared" ref="T11:T24" si="9">IFERROR((R11/P11),0)</f>
        <v>0</v>
      </c>
    </row>
    <row r="12" spans="1:20" x14ac:dyDescent="0.3">
      <c r="A12" s="9" t="s">
        <v>53</v>
      </c>
      <c r="B12" s="10" t="s">
        <v>424</v>
      </c>
      <c r="C12" s="10" t="s">
        <v>22</v>
      </c>
      <c r="D12" s="10" t="s">
        <v>28</v>
      </c>
      <c r="E12" s="10" t="s">
        <v>693</v>
      </c>
      <c r="F12" s="10" t="s">
        <v>694</v>
      </c>
      <c r="G12" s="10" t="s">
        <v>695</v>
      </c>
      <c r="H12" s="11">
        <v>0</v>
      </c>
      <c r="I12" s="11">
        <v>0</v>
      </c>
      <c r="J12" s="11">
        <f t="shared" si="1"/>
        <v>0</v>
      </c>
      <c r="K12" s="12">
        <f t="shared" si="2"/>
        <v>0</v>
      </c>
      <c r="L12" s="12">
        <f t="shared" si="3"/>
        <v>0</v>
      </c>
      <c r="O12" s="10" t="s">
        <v>48</v>
      </c>
      <c r="P12" s="11">
        <f t="shared" si="7"/>
        <v>6</v>
      </c>
      <c r="Q12" s="11">
        <f t="shared" si="7"/>
        <v>0</v>
      </c>
      <c r="R12" s="11">
        <f t="shared" si="7"/>
        <v>0</v>
      </c>
      <c r="S12" s="12">
        <f t="shared" si="8"/>
        <v>0</v>
      </c>
      <c r="T12" s="12">
        <f t="shared" si="9"/>
        <v>0</v>
      </c>
    </row>
    <row r="13" spans="1:20" x14ac:dyDescent="0.3">
      <c r="A13" s="9" t="s">
        <v>57</v>
      </c>
      <c r="B13" s="10" t="s">
        <v>428</v>
      </c>
      <c r="C13" s="10" t="s">
        <v>22</v>
      </c>
      <c r="D13" s="10" t="s">
        <v>46</v>
      </c>
      <c r="E13" s="10" t="s">
        <v>693</v>
      </c>
      <c r="F13" s="10" t="s">
        <v>694</v>
      </c>
      <c r="G13" s="10" t="s">
        <v>700</v>
      </c>
      <c r="H13" s="11">
        <v>2</v>
      </c>
      <c r="I13" s="11">
        <v>0</v>
      </c>
      <c r="J13" s="11">
        <f t="shared" si="1"/>
        <v>0</v>
      </c>
      <c r="K13" s="12">
        <f t="shared" si="2"/>
        <v>0</v>
      </c>
      <c r="L13" s="12">
        <f t="shared" si="3"/>
        <v>0</v>
      </c>
      <c r="O13" s="10" t="s">
        <v>42</v>
      </c>
      <c r="P13" s="11">
        <f t="shared" si="7"/>
        <v>4</v>
      </c>
      <c r="Q13" s="11">
        <f t="shared" si="7"/>
        <v>0</v>
      </c>
      <c r="R13" s="11">
        <f t="shared" si="7"/>
        <v>0</v>
      </c>
      <c r="S13" s="12">
        <f t="shared" si="8"/>
        <v>0</v>
      </c>
      <c r="T13" s="12">
        <f t="shared" si="9"/>
        <v>0</v>
      </c>
    </row>
    <row r="14" spans="1:20" x14ac:dyDescent="0.3">
      <c r="A14" s="9" t="s">
        <v>60</v>
      </c>
      <c r="B14" s="10" t="s">
        <v>431</v>
      </c>
      <c r="C14" s="10" t="s">
        <v>22</v>
      </c>
      <c r="D14" s="10" t="s">
        <v>46</v>
      </c>
      <c r="E14" s="10" t="s">
        <v>693</v>
      </c>
      <c r="F14" s="10" t="s">
        <v>694</v>
      </c>
      <c r="G14" s="10" t="s">
        <v>700</v>
      </c>
      <c r="H14" s="11">
        <v>0</v>
      </c>
      <c r="I14" s="11">
        <v>0</v>
      </c>
      <c r="J14" s="11">
        <f t="shared" si="1"/>
        <v>0</v>
      </c>
      <c r="K14" s="12">
        <f t="shared" si="2"/>
        <v>0</v>
      </c>
      <c r="L14" s="12">
        <f t="shared" si="3"/>
        <v>0</v>
      </c>
      <c r="O14" s="10" t="s">
        <v>38</v>
      </c>
      <c r="P14" s="11">
        <f t="shared" si="7"/>
        <v>2</v>
      </c>
      <c r="Q14" s="11">
        <f t="shared" si="7"/>
        <v>0</v>
      </c>
      <c r="R14" s="11">
        <f t="shared" si="7"/>
        <v>0</v>
      </c>
      <c r="S14" s="12">
        <f t="shared" si="8"/>
        <v>0</v>
      </c>
      <c r="T14" s="12">
        <f t="shared" si="9"/>
        <v>0</v>
      </c>
    </row>
    <row r="15" spans="1:20" x14ac:dyDescent="0.3">
      <c r="A15" s="9" t="s">
        <v>49</v>
      </c>
      <c r="B15" s="10" t="s">
        <v>420</v>
      </c>
      <c r="C15" s="10" t="s">
        <v>22</v>
      </c>
      <c r="D15" s="10" t="s">
        <v>46</v>
      </c>
      <c r="E15" s="10" t="s">
        <v>693</v>
      </c>
      <c r="F15" s="10" t="s">
        <v>694</v>
      </c>
      <c r="G15" s="10" t="s">
        <v>700</v>
      </c>
      <c r="H15" s="11">
        <v>0</v>
      </c>
      <c r="I15" s="11">
        <v>0</v>
      </c>
      <c r="J15" s="11">
        <f t="shared" si="1"/>
        <v>0</v>
      </c>
      <c r="K15" s="12">
        <f t="shared" si="2"/>
        <v>0</v>
      </c>
      <c r="L15" s="12">
        <f t="shared" si="3"/>
        <v>0</v>
      </c>
      <c r="O15" s="10" t="s">
        <v>32</v>
      </c>
      <c r="P15" s="11">
        <f t="shared" si="7"/>
        <v>2</v>
      </c>
      <c r="Q15" s="11">
        <f t="shared" si="7"/>
        <v>0</v>
      </c>
      <c r="R15" s="11">
        <f t="shared" si="7"/>
        <v>0</v>
      </c>
      <c r="S15" s="12">
        <f t="shared" si="8"/>
        <v>0</v>
      </c>
      <c r="T15" s="12">
        <f t="shared" si="9"/>
        <v>0</v>
      </c>
    </row>
    <row r="16" spans="1:20" x14ac:dyDescent="0.3">
      <c r="A16" s="9" t="s">
        <v>52</v>
      </c>
      <c r="B16" s="10" t="s">
        <v>423</v>
      </c>
      <c r="C16" s="10" t="s">
        <v>22</v>
      </c>
      <c r="D16" s="10" t="s">
        <v>46</v>
      </c>
      <c r="E16" s="10" t="s">
        <v>693</v>
      </c>
      <c r="F16" s="10" t="s">
        <v>694</v>
      </c>
      <c r="G16" s="10" t="s">
        <v>700</v>
      </c>
      <c r="H16" s="11">
        <v>2</v>
      </c>
      <c r="I16" s="11">
        <v>0</v>
      </c>
      <c r="J16" s="11">
        <f t="shared" si="1"/>
        <v>0</v>
      </c>
      <c r="K16" s="12">
        <f t="shared" si="2"/>
        <v>0</v>
      </c>
      <c r="L16" s="12">
        <f t="shared" si="3"/>
        <v>0</v>
      </c>
      <c r="O16" s="10" t="s">
        <v>36</v>
      </c>
      <c r="P16" s="11">
        <f t="shared" si="7"/>
        <v>8</v>
      </c>
      <c r="Q16" s="11">
        <f t="shared" si="7"/>
        <v>0</v>
      </c>
      <c r="R16" s="11">
        <f t="shared" si="7"/>
        <v>0</v>
      </c>
      <c r="S16" s="12">
        <f t="shared" si="8"/>
        <v>0</v>
      </c>
      <c r="T16" s="12">
        <f t="shared" si="9"/>
        <v>0</v>
      </c>
    </row>
    <row r="17" spans="1:20" x14ac:dyDescent="0.3">
      <c r="A17" s="9" t="s">
        <v>121</v>
      </c>
      <c r="B17" s="10" t="s">
        <v>488</v>
      </c>
      <c r="C17" s="10" t="s">
        <v>20</v>
      </c>
      <c r="D17" s="10" t="s">
        <v>36</v>
      </c>
      <c r="E17" s="10" t="s">
        <v>693</v>
      </c>
      <c r="F17" s="10" t="s">
        <v>694</v>
      </c>
      <c r="G17" s="10" t="s">
        <v>697</v>
      </c>
      <c r="H17" s="11">
        <v>0</v>
      </c>
      <c r="I17" s="11">
        <v>0</v>
      </c>
      <c r="J17" s="11">
        <f t="shared" si="1"/>
        <v>0</v>
      </c>
      <c r="K17" s="12">
        <f t="shared" si="2"/>
        <v>0</v>
      </c>
      <c r="L17" s="12">
        <f t="shared" si="3"/>
        <v>0</v>
      </c>
      <c r="O17" s="10" t="s">
        <v>34</v>
      </c>
      <c r="P17" s="11">
        <f t="shared" si="7"/>
        <v>0</v>
      </c>
      <c r="Q17" s="11">
        <f t="shared" si="7"/>
        <v>0</v>
      </c>
      <c r="R17" s="11">
        <f t="shared" si="7"/>
        <v>0</v>
      </c>
      <c r="S17" s="12">
        <f t="shared" si="8"/>
        <v>0</v>
      </c>
      <c r="T17" s="12">
        <f t="shared" si="9"/>
        <v>0</v>
      </c>
    </row>
    <row r="18" spans="1:20" x14ac:dyDescent="0.3">
      <c r="A18" s="9" t="s">
        <v>59</v>
      </c>
      <c r="B18" s="10" t="s">
        <v>430</v>
      </c>
      <c r="C18" s="10" t="s">
        <v>20</v>
      </c>
      <c r="D18" s="10" t="s">
        <v>36</v>
      </c>
      <c r="E18" s="10" t="s">
        <v>693</v>
      </c>
      <c r="F18" s="10" t="s">
        <v>694</v>
      </c>
      <c r="G18" s="10" t="s">
        <v>697</v>
      </c>
      <c r="H18" s="11">
        <v>0</v>
      </c>
      <c r="I18" s="11">
        <v>0</v>
      </c>
      <c r="J18" s="11">
        <f t="shared" si="1"/>
        <v>0</v>
      </c>
      <c r="K18" s="12">
        <f t="shared" si="2"/>
        <v>0</v>
      </c>
      <c r="L18" s="12">
        <f t="shared" si="3"/>
        <v>0</v>
      </c>
      <c r="O18" s="10" t="s">
        <v>46</v>
      </c>
      <c r="P18" s="11">
        <f t="shared" si="7"/>
        <v>6</v>
      </c>
      <c r="Q18" s="11">
        <f t="shared" si="7"/>
        <v>0</v>
      </c>
      <c r="R18" s="11">
        <f t="shared" si="7"/>
        <v>0</v>
      </c>
      <c r="S18" s="12">
        <f t="shared" si="8"/>
        <v>0</v>
      </c>
      <c r="T18" s="12">
        <f t="shared" si="9"/>
        <v>0</v>
      </c>
    </row>
    <row r="19" spans="1:20" x14ac:dyDescent="0.3">
      <c r="A19" s="9" t="s">
        <v>120</v>
      </c>
      <c r="B19" s="10" t="s">
        <v>487</v>
      </c>
      <c r="C19" s="10" t="s">
        <v>20</v>
      </c>
      <c r="D19" s="10" t="s">
        <v>36</v>
      </c>
      <c r="E19" s="10" t="s">
        <v>693</v>
      </c>
      <c r="F19" s="10" t="s">
        <v>694</v>
      </c>
      <c r="G19" s="10" t="s">
        <v>697</v>
      </c>
      <c r="H19" s="11">
        <v>0</v>
      </c>
      <c r="I19" s="11">
        <v>0</v>
      </c>
      <c r="J19" s="11">
        <f t="shared" si="1"/>
        <v>0</v>
      </c>
      <c r="K19" s="12">
        <f t="shared" si="2"/>
        <v>0</v>
      </c>
      <c r="L19" s="12">
        <f t="shared" si="3"/>
        <v>0</v>
      </c>
      <c r="O19" s="10" t="s">
        <v>40</v>
      </c>
      <c r="P19" s="11">
        <f t="shared" si="7"/>
        <v>2</v>
      </c>
      <c r="Q19" s="11">
        <f t="shared" si="7"/>
        <v>0</v>
      </c>
      <c r="R19" s="11">
        <f t="shared" si="7"/>
        <v>0</v>
      </c>
      <c r="S19" s="12">
        <f t="shared" si="8"/>
        <v>0</v>
      </c>
      <c r="T19" s="12">
        <f t="shared" si="9"/>
        <v>0</v>
      </c>
    </row>
    <row r="20" spans="1:20" x14ac:dyDescent="0.3">
      <c r="A20" s="9" t="s">
        <v>250</v>
      </c>
      <c r="B20" s="10" t="s">
        <v>605</v>
      </c>
      <c r="C20" s="10" t="s">
        <v>20</v>
      </c>
      <c r="D20" s="10" t="s">
        <v>36</v>
      </c>
      <c r="E20" s="10" t="s">
        <v>708</v>
      </c>
      <c r="F20" s="10" t="s">
        <v>694</v>
      </c>
      <c r="G20" s="10" t="s">
        <v>697</v>
      </c>
      <c r="H20" s="11">
        <v>0</v>
      </c>
      <c r="I20" s="11">
        <v>0</v>
      </c>
      <c r="J20" s="11">
        <f t="shared" si="1"/>
        <v>0</v>
      </c>
      <c r="K20" s="12">
        <f t="shared" si="2"/>
        <v>0</v>
      </c>
      <c r="L20" s="12">
        <f t="shared" si="3"/>
        <v>0</v>
      </c>
      <c r="O20" s="10" t="s">
        <v>30</v>
      </c>
      <c r="P20" s="11">
        <f t="shared" si="7"/>
        <v>8</v>
      </c>
      <c r="Q20" s="11">
        <f t="shared" si="7"/>
        <v>0</v>
      </c>
      <c r="R20" s="11">
        <f t="shared" si="7"/>
        <v>0</v>
      </c>
      <c r="S20" s="12">
        <f t="shared" si="8"/>
        <v>0</v>
      </c>
      <c r="T20" s="12">
        <f t="shared" si="9"/>
        <v>0</v>
      </c>
    </row>
    <row r="21" spans="1:20" x14ac:dyDescent="0.3">
      <c r="A21" s="9" t="s">
        <v>21</v>
      </c>
      <c r="B21" s="10" t="s">
        <v>405</v>
      </c>
      <c r="C21" s="10" t="s">
        <v>20</v>
      </c>
      <c r="D21" s="10" t="s">
        <v>30</v>
      </c>
      <c r="E21" s="10" t="s">
        <v>693</v>
      </c>
      <c r="F21" s="10" t="s">
        <v>694</v>
      </c>
      <c r="G21" s="10" t="s">
        <v>696</v>
      </c>
      <c r="H21" s="11">
        <v>0</v>
      </c>
      <c r="I21" s="11">
        <v>0</v>
      </c>
      <c r="J21" s="11">
        <f t="shared" si="1"/>
        <v>0</v>
      </c>
      <c r="K21" s="12">
        <f t="shared" si="2"/>
        <v>0</v>
      </c>
      <c r="L21" s="12">
        <f t="shared" si="3"/>
        <v>0</v>
      </c>
      <c r="O21" s="10" t="s">
        <v>44</v>
      </c>
      <c r="P21" s="11">
        <f t="shared" si="7"/>
        <v>7</v>
      </c>
      <c r="Q21" s="11">
        <f t="shared" si="7"/>
        <v>0</v>
      </c>
      <c r="R21" s="11">
        <f t="shared" si="7"/>
        <v>0</v>
      </c>
      <c r="S21" s="12">
        <f t="shared" si="8"/>
        <v>0</v>
      </c>
      <c r="T21" s="12">
        <f t="shared" si="9"/>
        <v>0</v>
      </c>
    </row>
    <row r="22" spans="1:20" x14ac:dyDescent="0.3">
      <c r="A22" s="9" t="s">
        <v>23</v>
      </c>
      <c r="B22" s="10" t="s">
        <v>406</v>
      </c>
      <c r="C22" s="10" t="s">
        <v>20</v>
      </c>
      <c r="D22" s="10" t="s">
        <v>30</v>
      </c>
      <c r="E22" s="10" t="s">
        <v>693</v>
      </c>
      <c r="F22" s="10" t="s">
        <v>694</v>
      </c>
      <c r="G22" s="10" t="s">
        <v>696</v>
      </c>
      <c r="H22" s="11">
        <v>2</v>
      </c>
      <c r="I22" s="11">
        <v>0</v>
      </c>
      <c r="J22" s="11">
        <f t="shared" si="1"/>
        <v>0</v>
      </c>
      <c r="K22" s="12">
        <f t="shared" si="2"/>
        <v>0</v>
      </c>
      <c r="L22" s="12">
        <f t="shared" si="3"/>
        <v>0</v>
      </c>
      <c r="O22" s="10" t="s">
        <v>138</v>
      </c>
      <c r="P22" s="11">
        <f t="shared" si="7"/>
        <v>0</v>
      </c>
      <c r="Q22" s="11">
        <f t="shared" si="7"/>
        <v>0</v>
      </c>
      <c r="R22" s="11">
        <f t="shared" si="7"/>
        <v>0</v>
      </c>
      <c r="S22" s="12">
        <f t="shared" si="8"/>
        <v>0</v>
      </c>
      <c r="T22" s="12">
        <f t="shared" si="9"/>
        <v>0</v>
      </c>
    </row>
    <row r="23" spans="1:20" x14ac:dyDescent="0.3">
      <c r="A23" s="9" t="s">
        <v>33</v>
      </c>
      <c r="B23" s="10" t="s">
        <v>412</v>
      </c>
      <c r="C23" s="10" t="s">
        <v>20</v>
      </c>
      <c r="D23" s="10" t="s">
        <v>30</v>
      </c>
      <c r="E23" s="10" t="s">
        <v>693</v>
      </c>
      <c r="F23" s="10" t="s">
        <v>694</v>
      </c>
      <c r="G23" s="10" t="s">
        <v>696</v>
      </c>
      <c r="H23" s="11">
        <v>0</v>
      </c>
      <c r="I23" s="11">
        <v>0</v>
      </c>
      <c r="J23" s="11">
        <f t="shared" si="1"/>
        <v>0</v>
      </c>
      <c r="K23" s="12">
        <f t="shared" si="2"/>
        <v>0</v>
      </c>
      <c r="L23" s="12">
        <f t="shared" si="3"/>
        <v>0</v>
      </c>
      <c r="O23" s="10" t="s">
        <v>123</v>
      </c>
      <c r="P23" s="11">
        <f t="shared" si="7"/>
        <v>0</v>
      </c>
      <c r="Q23" s="11">
        <f t="shared" si="7"/>
        <v>0</v>
      </c>
      <c r="R23" s="11">
        <f t="shared" si="7"/>
        <v>0</v>
      </c>
      <c r="S23" s="12">
        <f t="shared" si="8"/>
        <v>0</v>
      </c>
      <c r="T23" s="12">
        <f t="shared" si="9"/>
        <v>0</v>
      </c>
    </row>
    <row r="24" spans="1:20" x14ac:dyDescent="0.3">
      <c r="A24" s="9" t="s">
        <v>251</v>
      </c>
      <c r="B24" s="10" t="s">
        <v>606</v>
      </c>
      <c r="C24" s="10" t="s">
        <v>20</v>
      </c>
      <c r="D24" s="10" t="s">
        <v>30</v>
      </c>
      <c r="E24" s="10" t="s">
        <v>707</v>
      </c>
      <c r="F24" s="10" t="s">
        <v>694</v>
      </c>
      <c r="G24" s="10" t="s">
        <v>696</v>
      </c>
      <c r="H24" s="11">
        <v>0</v>
      </c>
      <c r="I24" s="11">
        <v>0</v>
      </c>
      <c r="J24" s="11">
        <f t="shared" si="1"/>
        <v>0</v>
      </c>
      <c r="K24" s="12">
        <f t="shared" si="2"/>
        <v>0</v>
      </c>
      <c r="L24" s="12">
        <f t="shared" si="3"/>
        <v>0</v>
      </c>
      <c r="O24" s="5" t="s">
        <v>67</v>
      </c>
      <c r="P24" s="13">
        <f>SUM(P11:P23)</f>
        <v>45</v>
      </c>
      <c r="Q24" s="13">
        <f t="shared" ref="Q24:R24" si="10">SUM(Q11:Q23)</f>
        <v>0</v>
      </c>
      <c r="R24" s="13">
        <f t="shared" si="10"/>
        <v>0</v>
      </c>
      <c r="S24" s="14">
        <f t="shared" si="8"/>
        <v>0</v>
      </c>
      <c r="T24" s="14">
        <f t="shared" si="9"/>
        <v>0</v>
      </c>
    </row>
    <row r="25" spans="1:20" x14ac:dyDescent="0.3">
      <c r="A25" s="9" t="s">
        <v>25</v>
      </c>
      <c r="B25" s="10" t="s">
        <v>407</v>
      </c>
      <c r="C25" s="10" t="s">
        <v>20</v>
      </c>
      <c r="D25" s="10" t="s">
        <v>32</v>
      </c>
      <c r="E25" s="10" t="s">
        <v>693</v>
      </c>
      <c r="F25" s="10" t="s">
        <v>694</v>
      </c>
      <c r="G25" s="10" t="s">
        <v>696</v>
      </c>
      <c r="H25" s="11">
        <v>0</v>
      </c>
      <c r="I25" s="11">
        <v>0</v>
      </c>
      <c r="J25" s="11">
        <f t="shared" si="1"/>
        <v>0</v>
      </c>
      <c r="K25" s="12">
        <f t="shared" si="2"/>
        <v>0</v>
      </c>
      <c r="L25" s="12">
        <f t="shared" si="3"/>
        <v>0</v>
      </c>
    </row>
    <row r="26" spans="1:20" x14ac:dyDescent="0.3">
      <c r="A26" s="9" t="s">
        <v>31</v>
      </c>
      <c r="B26" s="10" t="s">
        <v>411</v>
      </c>
      <c r="C26" s="10" t="s">
        <v>20</v>
      </c>
      <c r="D26" s="10" t="s">
        <v>32</v>
      </c>
      <c r="E26" s="10" t="s">
        <v>693</v>
      </c>
      <c r="F26" s="10" t="s">
        <v>694</v>
      </c>
      <c r="G26" s="10" t="s">
        <v>696</v>
      </c>
      <c r="H26" s="11">
        <v>0</v>
      </c>
      <c r="I26" s="11">
        <v>0</v>
      </c>
      <c r="J26" s="11">
        <f t="shared" si="1"/>
        <v>0</v>
      </c>
      <c r="K26" s="12">
        <f t="shared" si="2"/>
        <v>0</v>
      </c>
      <c r="L26" s="12">
        <f t="shared" si="3"/>
        <v>0</v>
      </c>
    </row>
    <row r="27" spans="1:20" x14ac:dyDescent="0.3">
      <c r="A27" s="9" t="s">
        <v>47</v>
      </c>
      <c r="B27" s="10" t="s">
        <v>419</v>
      </c>
      <c r="C27" s="10" t="s">
        <v>20</v>
      </c>
      <c r="D27" s="10" t="s">
        <v>38</v>
      </c>
      <c r="E27" s="10" t="s">
        <v>693</v>
      </c>
      <c r="F27" s="10" t="s">
        <v>694</v>
      </c>
      <c r="G27" s="10" t="s">
        <v>696</v>
      </c>
      <c r="H27" s="11">
        <v>0</v>
      </c>
      <c r="I27" s="11">
        <v>0</v>
      </c>
      <c r="J27" s="11">
        <f t="shared" si="1"/>
        <v>0</v>
      </c>
      <c r="K27" s="12">
        <f t="shared" si="2"/>
        <v>0</v>
      </c>
      <c r="L27" s="12">
        <f t="shared" si="3"/>
        <v>0</v>
      </c>
    </row>
    <row r="28" spans="1:20" x14ac:dyDescent="0.3">
      <c r="A28" s="9" t="s">
        <v>117</v>
      </c>
      <c r="B28" s="10" t="s">
        <v>485</v>
      </c>
      <c r="C28" s="10" t="s">
        <v>20</v>
      </c>
      <c r="D28" s="10" t="s">
        <v>38</v>
      </c>
      <c r="E28" s="10" t="s">
        <v>693</v>
      </c>
      <c r="F28" s="10" t="s">
        <v>694</v>
      </c>
      <c r="G28" s="10" t="s">
        <v>696</v>
      </c>
      <c r="H28" s="11">
        <v>2</v>
      </c>
      <c r="I28" s="11">
        <v>0</v>
      </c>
      <c r="J28" s="11">
        <f t="shared" si="1"/>
        <v>0</v>
      </c>
      <c r="K28" s="12">
        <f t="shared" si="2"/>
        <v>0</v>
      </c>
      <c r="L28" s="12">
        <f t="shared" si="3"/>
        <v>0</v>
      </c>
    </row>
    <row r="29" spans="1:20" x14ac:dyDescent="0.3">
      <c r="A29" s="9" t="s">
        <v>240</v>
      </c>
      <c r="B29" s="10" t="s">
        <v>596</v>
      </c>
      <c r="C29" s="10" t="s">
        <v>20</v>
      </c>
      <c r="D29" s="10" t="s">
        <v>38</v>
      </c>
      <c r="E29" s="10" t="s">
        <v>707</v>
      </c>
      <c r="F29" s="10" t="s">
        <v>694</v>
      </c>
      <c r="G29" s="10" t="s">
        <v>696</v>
      </c>
      <c r="H29" s="11">
        <v>0</v>
      </c>
      <c r="I29" s="11">
        <v>0</v>
      </c>
      <c r="J29" s="11">
        <f t="shared" si="1"/>
        <v>0</v>
      </c>
      <c r="K29" s="12">
        <f t="shared" si="2"/>
        <v>0</v>
      </c>
      <c r="L29" s="12">
        <f t="shared" si="3"/>
        <v>0</v>
      </c>
    </row>
    <row r="30" spans="1:20" x14ac:dyDescent="0.3">
      <c r="A30" s="9" t="s">
        <v>252</v>
      </c>
      <c r="B30" s="10" t="s">
        <v>607</v>
      </c>
      <c r="C30" s="10" t="s">
        <v>20</v>
      </c>
      <c r="D30" s="10" t="s">
        <v>38</v>
      </c>
      <c r="E30" s="10" t="s">
        <v>707</v>
      </c>
      <c r="F30" s="10" t="s">
        <v>694</v>
      </c>
      <c r="G30" s="10" t="s">
        <v>696</v>
      </c>
      <c r="H30" s="11">
        <v>0</v>
      </c>
      <c r="I30" s="11">
        <v>0</v>
      </c>
      <c r="J30" s="11">
        <f t="shared" si="1"/>
        <v>0</v>
      </c>
      <c r="K30" s="12">
        <f t="shared" si="2"/>
        <v>0</v>
      </c>
      <c r="L30" s="12">
        <f t="shared" si="3"/>
        <v>0</v>
      </c>
    </row>
    <row r="31" spans="1:20" x14ac:dyDescent="0.3">
      <c r="A31" s="9" t="s">
        <v>130</v>
      </c>
      <c r="B31" s="10" t="s">
        <v>494</v>
      </c>
      <c r="C31" s="10" t="s">
        <v>22</v>
      </c>
      <c r="D31" s="10" t="s">
        <v>42</v>
      </c>
      <c r="E31" s="10" t="s">
        <v>693</v>
      </c>
      <c r="F31" s="10" t="s">
        <v>694</v>
      </c>
      <c r="G31" s="10" t="s">
        <v>699</v>
      </c>
      <c r="H31" s="11">
        <v>2</v>
      </c>
      <c r="I31" s="11">
        <v>0</v>
      </c>
      <c r="J31" s="11">
        <f t="shared" si="1"/>
        <v>0</v>
      </c>
      <c r="K31" s="12">
        <f t="shared" si="2"/>
        <v>0</v>
      </c>
      <c r="L31" s="12">
        <f t="shared" si="3"/>
        <v>0</v>
      </c>
    </row>
    <row r="32" spans="1:20" x14ac:dyDescent="0.3">
      <c r="A32" s="9" t="s">
        <v>124</v>
      </c>
      <c r="B32" s="10" t="s">
        <v>490</v>
      </c>
      <c r="C32" s="10" t="s">
        <v>22</v>
      </c>
      <c r="D32" s="10" t="s">
        <v>42</v>
      </c>
      <c r="E32" s="10" t="s">
        <v>693</v>
      </c>
      <c r="F32" s="10" t="s">
        <v>694</v>
      </c>
      <c r="G32" s="10" t="s">
        <v>699</v>
      </c>
      <c r="H32" s="11">
        <v>0</v>
      </c>
      <c r="I32" s="11">
        <v>0</v>
      </c>
      <c r="J32" s="11">
        <f t="shared" si="1"/>
        <v>0</v>
      </c>
      <c r="K32" s="12">
        <f t="shared" si="2"/>
        <v>0</v>
      </c>
      <c r="L32" s="12">
        <f t="shared" si="3"/>
        <v>0</v>
      </c>
    </row>
    <row r="33" spans="1:12" x14ac:dyDescent="0.3">
      <c r="A33" s="9" t="s">
        <v>63</v>
      </c>
      <c r="B33" s="10" t="s">
        <v>434</v>
      </c>
      <c r="C33" s="10" t="s">
        <v>22</v>
      </c>
      <c r="D33" s="10" t="s">
        <v>42</v>
      </c>
      <c r="E33" s="10" t="s">
        <v>693</v>
      </c>
      <c r="F33" s="10" t="s">
        <v>694</v>
      </c>
      <c r="G33" s="10" t="s">
        <v>699</v>
      </c>
      <c r="H33" s="11">
        <v>0</v>
      </c>
      <c r="I33" s="11">
        <v>0</v>
      </c>
      <c r="J33" s="11">
        <f t="shared" si="1"/>
        <v>0</v>
      </c>
      <c r="K33" s="12">
        <f t="shared" si="2"/>
        <v>0</v>
      </c>
      <c r="L33" s="12">
        <f t="shared" si="3"/>
        <v>0</v>
      </c>
    </row>
    <row r="34" spans="1:12" x14ac:dyDescent="0.3">
      <c r="A34" s="9" t="s">
        <v>43</v>
      </c>
      <c r="B34" s="10" t="s">
        <v>417</v>
      </c>
      <c r="C34" s="10" t="s">
        <v>22</v>
      </c>
      <c r="D34" s="10" t="s">
        <v>44</v>
      </c>
      <c r="E34" s="10" t="s">
        <v>693</v>
      </c>
      <c r="F34" s="10" t="s">
        <v>694</v>
      </c>
      <c r="G34" s="10" t="s">
        <v>698</v>
      </c>
      <c r="H34" s="11">
        <v>5</v>
      </c>
      <c r="I34" s="11">
        <v>0</v>
      </c>
      <c r="J34" s="11">
        <f t="shared" si="1"/>
        <v>0</v>
      </c>
      <c r="K34" s="12">
        <f t="shared" si="2"/>
        <v>0</v>
      </c>
      <c r="L34" s="12">
        <f t="shared" si="3"/>
        <v>0</v>
      </c>
    </row>
    <row r="35" spans="1:12" x14ac:dyDescent="0.3">
      <c r="A35" s="9" t="s">
        <v>122</v>
      </c>
      <c r="B35" s="10" t="s">
        <v>489</v>
      </c>
      <c r="C35" s="10" t="s">
        <v>22</v>
      </c>
      <c r="D35" s="10" t="s">
        <v>44</v>
      </c>
      <c r="E35" s="10" t="s">
        <v>693</v>
      </c>
      <c r="F35" s="10" t="s">
        <v>694</v>
      </c>
      <c r="G35" s="10" t="s">
        <v>698</v>
      </c>
      <c r="H35" s="11">
        <v>2</v>
      </c>
      <c r="I35" s="11">
        <v>0</v>
      </c>
      <c r="J35" s="11">
        <f t="shared" si="1"/>
        <v>0</v>
      </c>
      <c r="K35" s="12">
        <f t="shared" si="2"/>
        <v>0</v>
      </c>
      <c r="L35" s="12">
        <f t="shared" si="3"/>
        <v>0</v>
      </c>
    </row>
    <row r="36" spans="1:12" x14ac:dyDescent="0.3">
      <c r="A36" s="9" t="s">
        <v>45</v>
      </c>
      <c r="B36" s="10" t="s">
        <v>418</v>
      </c>
      <c r="C36" s="10" t="s">
        <v>22</v>
      </c>
      <c r="D36" s="10" t="s">
        <v>44</v>
      </c>
      <c r="E36" s="10" t="s">
        <v>693</v>
      </c>
      <c r="F36" s="10" t="s">
        <v>694</v>
      </c>
      <c r="G36" s="10" t="s">
        <v>698</v>
      </c>
      <c r="H36" s="11">
        <v>0</v>
      </c>
      <c r="I36" s="11">
        <v>0</v>
      </c>
      <c r="J36" s="11">
        <f t="shared" si="1"/>
        <v>0</v>
      </c>
      <c r="K36" s="12">
        <f t="shared" si="2"/>
        <v>0</v>
      </c>
      <c r="L36" s="12">
        <f t="shared" si="3"/>
        <v>0</v>
      </c>
    </row>
    <row r="37" spans="1:12" x14ac:dyDescent="0.3">
      <c r="A37" s="9" t="s">
        <v>125</v>
      </c>
      <c r="B37" s="10" t="s">
        <v>491</v>
      </c>
      <c r="C37" s="10" t="s">
        <v>22</v>
      </c>
      <c r="D37" s="10" t="s">
        <v>42</v>
      </c>
      <c r="E37" s="10" t="s">
        <v>693</v>
      </c>
      <c r="F37" s="10" t="s">
        <v>694</v>
      </c>
      <c r="G37" s="10" t="s">
        <v>698</v>
      </c>
      <c r="H37" s="11">
        <v>2</v>
      </c>
      <c r="I37" s="11">
        <v>0</v>
      </c>
      <c r="J37" s="11">
        <f t="shared" si="1"/>
        <v>0</v>
      </c>
      <c r="K37" s="12">
        <f t="shared" si="2"/>
        <v>0</v>
      </c>
      <c r="L37" s="12">
        <f t="shared" si="3"/>
        <v>0</v>
      </c>
    </row>
    <row r="38" spans="1:12" x14ac:dyDescent="0.3">
      <c r="A38" s="9" t="s">
        <v>64</v>
      </c>
      <c r="B38" s="10" t="s">
        <v>435</v>
      </c>
      <c r="C38" s="10" t="s">
        <v>20</v>
      </c>
      <c r="D38" s="10" t="s">
        <v>34</v>
      </c>
      <c r="E38" s="10" t="s">
        <v>693</v>
      </c>
      <c r="F38" s="10" t="s">
        <v>694</v>
      </c>
      <c r="G38" s="10" t="s">
        <v>697</v>
      </c>
      <c r="H38" s="11">
        <v>0</v>
      </c>
      <c r="I38" s="11">
        <v>0</v>
      </c>
      <c r="J38" s="11">
        <f t="shared" si="1"/>
        <v>0</v>
      </c>
      <c r="K38" s="12">
        <f t="shared" si="2"/>
        <v>0</v>
      </c>
      <c r="L38" s="12">
        <f t="shared" si="3"/>
        <v>0</v>
      </c>
    </row>
    <row r="39" spans="1:12" x14ac:dyDescent="0.3">
      <c r="A39" s="9" t="s">
        <v>126</v>
      </c>
      <c r="B39" s="10" t="s">
        <v>492</v>
      </c>
      <c r="C39" s="10" t="s">
        <v>20</v>
      </c>
      <c r="D39" s="10" t="s">
        <v>34</v>
      </c>
      <c r="E39" s="10" t="s">
        <v>693</v>
      </c>
      <c r="F39" s="10" t="s">
        <v>694</v>
      </c>
      <c r="G39" s="10" t="s">
        <v>697</v>
      </c>
      <c r="H39" s="11">
        <v>0</v>
      </c>
      <c r="I39" s="11">
        <v>0</v>
      </c>
      <c r="J39" s="11">
        <f t="shared" si="1"/>
        <v>0</v>
      </c>
      <c r="K39" s="12">
        <f t="shared" si="2"/>
        <v>0</v>
      </c>
      <c r="L39" s="12">
        <f t="shared" si="3"/>
        <v>0</v>
      </c>
    </row>
    <row r="40" spans="1:12" x14ac:dyDescent="0.3">
      <c r="A40" s="9" t="s">
        <v>119</v>
      </c>
      <c r="B40" s="10" t="s">
        <v>486</v>
      </c>
      <c r="C40" s="10" t="s">
        <v>20</v>
      </c>
      <c r="D40" s="10" t="s">
        <v>34</v>
      </c>
      <c r="E40" s="10" t="s">
        <v>693</v>
      </c>
      <c r="F40" s="10" t="s">
        <v>694</v>
      </c>
      <c r="G40" s="10" t="s">
        <v>697</v>
      </c>
      <c r="H40" s="11">
        <v>0</v>
      </c>
      <c r="I40" s="11">
        <v>0</v>
      </c>
      <c r="J40" s="11">
        <f t="shared" si="1"/>
        <v>0</v>
      </c>
      <c r="K40" s="12">
        <f t="shared" si="2"/>
        <v>0</v>
      </c>
      <c r="L40" s="12">
        <f t="shared" si="3"/>
        <v>0</v>
      </c>
    </row>
    <row r="41" spans="1:12" x14ac:dyDescent="0.3">
      <c r="A41" s="9" t="s">
        <v>19</v>
      </c>
      <c r="B41" s="10" t="s">
        <v>404</v>
      </c>
      <c r="C41" s="10" t="s">
        <v>22</v>
      </c>
      <c r="D41" s="10" t="s">
        <v>28</v>
      </c>
      <c r="E41" s="10" t="s">
        <v>693</v>
      </c>
      <c r="F41" s="10" t="s">
        <v>694</v>
      </c>
      <c r="G41" s="10" t="s">
        <v>695</v>
      </c>
      <c r="H41" s="11">
        <v>0</v>
      </c>
      <c r="I41" s="11">
        <v>0</v>
      </c>
      <c r="J41" s="11">
        <f t="shared" si="1"/>
        <v>0</v>
      </c>
      <c r="K41" s="12">
        <f t="shared" si="2"/>
        <v>0</v>
      </c>
      <c r="L41" s="12">
        <f t="shared" si="3"/>
        <v>0</v>
      </c>
    </row>
    <row r="42" spans="1:12" x14ac:dyDescent="0.3">
      <c r="A42" s="9" t="s">
        <v>127</v>
      </c>
      <c r="B42" s="10" t="s">
        <v>493</v>
      </c>
      <c r="C42" s="10" t="s">
        <v>22</v>
      </c>
      <c r="D42" s="10" t="s">
        <v>28</v>
      </c>
      <c r="E42" s="10" t="s">
        <v>693</v>
      </c>
      <c r="F42" s="10" t="s">
        <v>694</v>
      </c>
      <c r="G42" s="10" t="s">
        <v>695</v>
      </c>
      <c r="H42" s="11">
        <v>0</v>
      </c>
      <c r="I42" s="11">
        <v>0</v>
      </c>
      <c r="J42" s="11">
        <f t="shared" si="1"/>
        <v>0</v>
      </c>
      <c r="K42" s="12">
        <f t="shared" si="2"/>
        <v>0</v>
      </c>
      <c r="L42" s="12">
        <f t="shared" si="3"/>
        <v>0</v>
      </c>
    </row>
    <row r="43" spans="1:12" x14ac:dyDescent="0.3">
      <c r="A43" s="9" t="s">
        <v>253</v>
      </c>
      <c r="B43" s="10" t="s">
        <v>608</v>
      </c>
      <c r="C43" s="10" t="s">
        <v>22</v>
      </c>
      <c r="D43" s="10" t="s">
        <v>28</v>
      </c>
      <c r="E43" s="10" t="s">
        <v>707</v>
      </c>
      <c r="F43" s="10" t="s">
        <v>694</v>
      </c>
      <c r="G43" s="10" t="s">
        <v>695</v>
      </c>
      <c r="H43" s="11">
        <v>0</v>
      </c>
      <c r="I43" s="11">
        <v>0</v>
      </c>
      <c r="J43" s="11">
        <f t="shared" si="1"/>
        <v>0</v>
      </c>
      <c r="K43" s="12">
        <f t="shared" si="2"/>
        <v>0</v>
      </c>
      <c r="L43" s="12">
        <f t="shared" si="3"/>
        <v>0</v>
      </c>
    </row>
    <row r="44" spans="1:12" x14ac:dyDescent="0.3">
      <c r="A44" s="9" t="s">
        <v>50</v>
      </c>
      <c r="B44" s="10" t="s">
        <v>421</v>
      </c>
      <c r="C44" s="10" t="s">
        <v>22</v>
      </c>
      <c r="D44" s="10" t="s">
        <v>40</v>
      </c>
      <c r="E44" s="10" t="s">
        <v>693</v>
      </c>
      <c r="F44" s="10" t="s">
        <v>694</v>
      </c>
      <c r="G44" s="10" t="s">
        <v>698</v>
      </c>
      <c r="H44" s="11">
        <v>2</v>
      </c>
      <c r="I44" s="11">
        <v>0</v>
      </c>
      <c r="J44" s="11">
        <f t="shared" si="1"/>
        <v>0</v>
      </c>
      <c r="K44" s="12">
        <f t="shared" si="2"/>
        <v>0</v>
      </c>
      <c r="L44" s="12">
        <f t="shared" si="3"/>
        <v>0</v>
      </c>
    </row>
    <row r="45" spans="1:12" x14ac:dyDescent="0.3">
      <c r="A45" s="9" t="s">
        <v>135</v>
      </c>
      <c r="B45" s="10" t="s">
        <v>495</v>
      </c>
      <c r="C45" s="10" t="s">
        <v>20</v>
      </c>
      <c r="D45" s="10" t="s">
        <v>32</v>
      </c>
      <c r="E45" s="10" t="s">
        <v>693</v>
      </c>
      <c r="F45" s="10" t="s">
        <v>694</v>
      </c>
      <c r="G45" s="10" t="s">
        <v>696</v>
      </c>
      <c r="H45" s="11">
        <v>2</v>
      </c>
      <c r="I45" s="11">
        <v>0</v>
      </c>
      <c r="J45" s="11">
        <f t="shared" si="1"/>
        <v>0</v>
      </c>
      <c r="K45" s="12">
        <f t="shared" si="2"/>
        <v>0</v>
      </c>
      <c r="L45" s="12">
        <f t="shared" si="3"/>
        <v>0</v>
      </c>
    </row>
    <row r="46" spans="1:12" x14ac:dyDescent="0.3">
      <c r="A46" s="9" t="s">
        <v>51</v>
      </c>
      <c r="B46" s="10" t="s">
        <v>422</v>
      </c>
      <c r="C46" s="10" t="s">
        <v>22</v>
      </c>
      <c r="D46" s="10" t="s">
        <v>28</v>
      </c>
      <c r="E46" s="10" t="s">
        <v>693</v>
      </c>
      <c r="F46" s="10" t="s">
        <v>694</v>
      </c>
      <c r="G46" s="10" t="s">
        <v>695</v>
      </c>
      <c r="H46" s="11">
        <v>0</v>
      </c>
      <c r="I46" s="11">
        <v>0</v>
      </c>
      <c r="J46" s="11">
        <f t="shared" si="1"/>
        <v>0</v>
      </c>
      <c r="K46" s="12">
        <f t="shared" si="2"/>
        <v>0</v>
      </c>
      <c r="L46" s="12">
        <f t="shared" si="3"/>
        <v>0</v>
      </c>
    </row>
    <row r="47" spans="1:12" x14ac:dyDescent="0.3">
      <c r="A47" s="9" t="s">
        <v>139</v>
      </c>
      <c r="B47" s="10" t="s">
        <v>497</v>
      </c>
      <c r="C47" s="10" t="s">
        <v>20</v>
      </c>
      <c r="D47" s="10" t="s">
        <v>32</v>
      </c>
      <c r="E47" s="10" t="s">
        <v>693</v>
      </c>
      <c r="F47" s="10" t="s">
        <v>694</v>
      </c>
      <c r="G47" s="10" t="s">
        <v>696</v>
      </c>
      <c r="H47" s="11">
        <v>0</v>
      </c>
      <c r="I47" s="11">
        <v>0</v>
      </c>
      <c r="J47" s="11">
        <f t="shared" si="1"/>
        <v>0</v>
      </c>
      <c r="K47" s="12">
        <f t="shared" si="2"/>
        <v>0</v>
      </c>
      <c r="L47" s="12">
        <f t="shared" si="3"/>
        <v>0</v>
      </c>
    </row>
    <row r="48" spans="1:12" x14ac:dyDescent="0.3">
      <c r="A48" s="9" t="s">
        <v>137</v>
      </c>
      <c r="B48" s="10" t="s">
        <v>496</v>
      </c>
      <c r="C48" s="10" t="s">
        <v>20</v>
      </c>
      <c r="D48" s="10" t="s">
        <v>34</v>
      </c>
      <c r="E48" s="10" t="s">
        <v>693</v>
      </c>
      <c r="F48" s="10" t="s">
        <v>694</v>
      </c>
      <c r="G48" s="10" t="s">
        <v>697</v>
      </c>
      <c r="H48" s="11">
        <v>0</v>
      </c>
      <c r="I48" s="11">
        <v>0</v>
      </c>
      <c r="J48" s="11">
        <f t="shared" si="1"/>
        <v>0</v>
      </c>
      <c r="K48" s="12">
        <f t="shared" si="2"/>
        <v>0</v>
      </c>
      <c r="L48" s="12">
        <f t="shared" si="3"/>
        <v>0</v>
      </c>
    </row>
    <row r="49" spans="1:12" x14ac:dyDescent="0.3">
      <c r="A49" s="9" t="s">
        <v>68</v>
      </c>
      <c r="B49" s="10" t="s">
        <v>437</v>
      </c>
      <c r="C49" s="10" t="s">
        <v>22</v>
      </c>
      <c r="D49" s="10" t="s">
        <v>28</v>
      </c>
      <c r="E49" s="10" t="s">
        <v>693</v>
      </c>
      <c r="F49" s="10" t="s">
        <v>694</v>
      </c>
      <c r="G49" s="10" t="s">
        <v>695</v>
      </c>
      <c r="H49" s="11">
        <v>0</v>
      </c>
      <c r="I49" s="11">
        <v>0</v>
      </c>
      <c r="J49" s="11">
        <f t="shared" si="1"/>
        <v>0</v>
      </c>
      <c r="K49" s="12">
        <f t="shared" si="2"/>
        <v>0</v>
      </c>
      <c r="L49" s="12">
        <f t="shared" si="3"/>
        <v>0</v>
      </c>
    </row>
    <row r="50" spans="1:12" x14ac:dyDescent="0.3">
      <c r="A50" s="9" t="s">
        <v>162</v>
      </c>
      <c r="B50" s="10" t="s">
        <v>520</v>
      </c>
      <c r="C50" s="10" t="s">
        <v>20</v>
      </c>
      <c r="D50" s="10" t="s">
        <v>30</v>
      </c>
      <c r="E50" s="10" t="s">
        <v>693</v>
      </c>
      <c r="F50" s="10" t="s">
        <v>694</v>
      </c>
      <c r="G50" s="10" t="s">
        <v>696</v>
      </c>
      <c r="H50" s="11">
        <v>4</v>
      </c>
      <c r="I50" s="11">
        <v>0</v>
      </c>
      <c r="J50" s="11">
        <f t="shared" si="1"/>
        <v>0</v>
      </c>
      <c r="K50" s="12">
        <f t="shared" si="2"/>
        <v>0</v>
      </c>
      <c r="L50" s="12">
        <f t="shared" si="3"/>
        <v>0</v>
      </c>
    </row>
    <row r="51" spans="1:12" x14ac:dyDescent="0.3">
      <c r="A51" s="9" t="s">
        <v>92</v>
      </c>
      <c r="B51" s="10" t="s">
        <v>461</v>
      </c>
      <c r="C51" s="10" t="s">
        <v>22</v>
      </c>
      <c r="D51" s="10" t="s">
        <v>40</v>
      </c>
      <c r="E51" s="10" t="s">
        <v>693</v>
      </c>
      <c r="F51" s="10" t="s">
        <v>694</v>
      </c>
      <c r="G51" s="10" t="s">
        <v>698</v>
      </c>
      <c r="H51" s="11">
        <v>0</v>
      </c>
      <c r="I51" s="11">
        <v>0</v>
      </c>
      <c r="J51" s="11">
        <f t="shared" si="1"/>
        <v>0</v>
      </c>
      <c r="K51" s="12">
        <f t="shared" si="2"/>
        <v>0</v>
      </c>
      <c r="L51" s="12">
        <f t="shared" si="3"/>
        <v>0</v>
      </c>
    </row>
    <row r="52" spans="1:12" x14ac:dyDescent="0.3">
      <c r="A52" s="9" t="s">
        <v>140</v>
      </c>
      <c r="B52" s="10" t="s">
        <v>498</v>
      </c>
      <c r="C52" s="10" t="s">
        <v>22</v>
      </c>
      <c r="D52" s="10" t="s">
        <v>28</v>
      </c>
      <c r="E52" s="10" t="s">
        <v>693</v>
      </c>
      <c r="F52" s="10" t="s">
        <v>694</v>
      </c>
      <c r="G52" s="10" t="s">
        <v>695</v>
      </c>
      <c r="H52" s="11">
        <v>0</v>
      </c>
      <c r="I52" s="11">
        <v>0</v>
      </c>
      <c r="J52" s="11">
        <f t="shared" si="1"/>
        <v>0</v>
      </c>
      <c r="K52" s="12">
        <f t="shared" si="2"/>
        <v>0</v>
      </c>
      <c r="L52" s="12">
        <f t="shared" si="3"/>
        <v>0</v>
      </c>
    </row>
    <row r="53" spans="1:12" x14ac:dyDescent="0.3">
      <c r="A53" s="9" t="s">
        <v>141</v>
      </c>
      <c r="B53" s="10" t="s">
        <v>499</v>
      </c>
      <c r="C53" s="10" t="s">
        <v>22</v>
      </c>
      <c r="D53" s="10" t="s">
        <v>46</v>
      </c>
      <c r="E53" s="10" t="s">
        <v>693</v>
      </c>
      <c r="F53" s="10" t="s">
        <v>694</v>
      </c>
      <c r="G53" s="10" t="s">
        <v>700</v>
      </c>
      <c r="H53" s="11">
        <v>2</v>
      </c>
      <c r="I53" s="11">
        <v>0</v>
      </c>
      <c r="J53" s="11">
        <f t="shared" si="1"/>
        <v>0</v>
      </c>
      <c r="K53" s="12">
        <f t="shared" si="2"/>
        <v>0</v>
      </c>
      <c r="L53" s="12">
        <f t="shared" si="3"/>
        <v>0</v>
      </c>
    </row>
    <row r="54" spans="1:12" x14ac:dyDescent="0.3">
      <c r="A54" s="9" t="s">
        <v>142</v>
      </c>
      <c r="B54" s="10" t="s">
        <v>500</v>
      </c>
      <c r="C54" s="10" t="s">
        <v>20</v>
      </c>
      <c r="D54" s="10" t="s">
        <v>32</v>
      </c>
      <c r="E54" s="10" t="s">
        <v>693</v>
      </c>
      <c r="F54" s="10" t="s">
        <v>694</v>
      </c>
      <c r="G54" s="10" t="s">
        <v>696</v>
      </c>
      <c r="H54" s="11">
        <v>0</v>
      </c>
      <c r="I54" s="11">
        <v>0</v>
      </c>
      <c r="J54" s="11">
        <f t="shared" si="1"/>
        <v>0</v>
      </c>
      <c r="K54" s="12">
        <f t="shared" si="2"/>
        <v>0</v>
      </c>
      <c r="L54" s="12">
        <f t="shared" si="3"/>
        <v>0</v>
      </c>
    </row>
    <row r="55" spans="1:12" x14ac:dyDescent="0.3">
      <c r="A55" s="9" t="s">
        <v>58</v>
      </c>
      <c r="B55" s="10" t="s">
        <v>429</v>
      </c>
      <c r="C55" s="10" t="s">
        <v>22</v>
      </c>
      <c r="D55" s="10" t="s">
        <v>48</v>
      </c>
      <c r="E55" s="10" t="s">
        <v>693</v>
      </c>
      <c r="F55" s="10" t="s">
        <v>694</v>
      </c>
      <c r="G55" s="10" t="s">
        <v>699</v>
      </c>
      <c r="H55" s="11">
        <v>0</v>
      </c>
      <c r="I55" s="11">
        <v>0</v>
      </c>
      <c r="J55" s="11">
        <f t="shared" si="1"/>
        <v>0</v>
      </c>
      <c r="K55" s="12">
        <f t="shared" si="2"/>
        <v>0</v>
      </c>
      <c r="L55" s="12">
        <f t="shared" si="3"/>
        <v>0</v>
      </c>
    </row>
    <row r="56" spans="1:12" x14ac:dyDescent="0.3">
      <c r="A56" s="9" t="s">
        <v>143</v>
      </c>
      <c r="B56" s="10" t="s">
        <v>501</v>
      </c>
      <c r="C56" s="10" t="s">
        <v>22</v>
      </c>
      <c r="D56" s="10" t="s">
        <v>46</v>
      </c>
      <c r="E56" s="10" t="s">
        <v>693</v>
      </c>
      <c r="F56" s="10" t="s">
        <v>694</v>
      </c>
      <c r="G56" s="10" t="s">
        <v>700</v>
      </c>
      <c r="H56" s="11">
        <v>0</v>
      </c>
      <c r="I56" s="11">
        <v>0</v>
      </c>
      <c r="J56" s="11">
        <f t="shared" si="1"/>
        <v>0</v>
      </c>
      <c r="K56" s="12">
        <f t="shared" si="2"/>
        <v>0</v>
      </c>
      <c r="L56" s="12">
        <f t="shared" si="3"/>
        <v>0</v>
      </c>
    </row>
    <row r="57" spans="1:12" x14ac:dyDescent="0.3">
      <c r="A57" s="9" t="s">
        <v>74</v>
      </c>
      <c r="B57" s="10" t="s">
        <v>443</v>
      </c>
      <c r="C57" s="10" t="s">
        <v>20</v>
      </c>
      <c r="D57" s="10" t="s">
        <v>38</v>
      </c>
      <c r="E57" s="10" t="s">
        <v>693</v>
      </c>
      <c r="F57" s="10" t="s">
        <v>694</v>
      </c>
      <c r="G57" s="10" t="s">
        <v>696</v>
      </c>
      <c r="H57" s="11">
        <v>0</v>
      </c>
      <c r="I57" s="11">
        <v>0</v>
      </c>
      <c r="J57" s="11">
        <f t="shared" si="1"/>
        <v>0</v>
      </c>
      <c r="K57" s="12">
        <f t="shared" si="2"/>
        <v>0</v>
      </c>
      <c r="L57" s="12">
        <f t="shared" si="3"/>
        <v>0</v>
      </c>
    </row>
    <row r="58" spans="1:12" x14ac:dyDescent="0.3">
      <c r="A58" s="9" t="s">
        <v>62</v>
      </c>
      <c r="B58" s="10" t="s">
        <v>433</v>
      </c>
      <c r="C58" s="10" t="s">
        <v>20</v>
      </c>
      <c r="D58" s="10" t="s">
        <v>34</v>
      </c>
      <c r="E58" s="10" t="s">
        <v>693</v>
      </c>
      <c r="F58" s="10" t="s">
        <v>694</v>
      </c>
      <c r="G58" s="10" t="s">
        <v>697</v>
      </c>
      <c r="H58" s="11">
        <v>0</v>
      </c>
      <c r="I58" s="11">
        <v>0</v>
      </c>
      <c r="J58" s="11">
        <f t="shared" si="1"/>
        <v>0</v>
      </c>
      <c r="K58" s="12">
        <f t="shared" si="2"/>
        <v>0</v>
      </c>
      <c r="L58" s="12">
        <f t="shared" si="3"/>
        <v>0</v>
      </c>
    </row>
    <row r="59" spans="1:12" x14ac:dyDescent="0.3">
      <c r="A59" s="9" t="s">
        <v>144</v>
      </c>
      <c r="B59" s="10" t="s">
        <v>502</v>
      </c>
      <c r="C59" s="10" t="s">
        <v>22</v>
      </c>
      <c r="D59" s="10" t="s">
        <v>44</v>
      </c>
      <c r="E59" s="10" t="s">
        <v>693</v>
      </c>
      <c r="F59" s="10" t="s">
        <v>694</v>
      </c>
      <c r="G59" s="10" t="s">
        <v>695</v>
      </c>
      <c r="H59" s="11">
        <v>0</v>
      </c>
      <c r="I59" s="11">
        <v>0</v>
      </c>
      <c r="J59" s="11">
        <f t="shared" si="1"/>
        <v>0</v>
      </c>
      <c r="K59" s="12">
        <f t="shared" si="2"/>
        <v>0</v>
      </c>
      <c r="L59" s="12">
        <f t="shared" si="3"/>
        <v>0</v>
      </c>
    </row>
    <row r="60" spans="1:12" x14ac:dyDescent="0.3">
      <c r="A60" s="9" t="s">
        <v>103</v>
      </c>
      <c r="B60" s="10" t="s">
        <v>472</v>
      </c>
      <c r="C60" s="10" t="s">
        <v>22</v>
      </c>
      <c r="D60" s="10" t="s">
        <v>44</v>
      </c>
      <c r="E60" s="10" t="s">
        <v>693</v>
      </c>
      <c r="F60" s="10" t="s">
        <v>694</v>
      </c>
      <c r="G60" s="10" t="s">
        <v>695</v>
      </c>
      <c r="H60" s="11">
        <v>0</v>
      </c>
      <c r="I60" s="11">
        <v>0</v>
      </c>
      <c r="J60" s="11">
        <f t="shared" si="1"/>
        <v>0</v>
      </c>
      <c r="K60" s="12">
        <f t="shared" si="2"/>
        <v>0</v>
      </c>
      <c r="L60" s="12">
        <f t="shared" si="3"/>
        <v>0</v>
      </c>
    </row>
    <row r="61" spans="1:12" x14ac:dyDescent="0.3">
      <c r="A61" s="9" t="s">
        <v>76</v>
      </c>
      <c r="B61" s="10" t="s">
        <v>445</v>
      </c>
      <c r="C61" s="10" t="s">
        <v>22</v>
      </c>
      <c r="D61" s="10" t="s">
        <v>48</v>
      </c>
      <c r="E61" s="10" t="s">
        <v>693</v>
      </c>
      <c r="F61" s="10" t="s">
        <v>694</v>
      </c>
      <c r="G61" s="10" t="s">
        <v>699</v>
      </c>
      <c r="H61" s="11">
        <v>0</v>
      </c>
      <c r="I61" s="11">
        <v>0</v>
      </c>
      <c r="J61" s="11">
        <f t="shared" si="1"/>
        <v>0</v>
      </c>
      <c r="K61" s="12">
        <f t="shared" si="2"/>
        <v>0</v>
      </c>
      <c r="L61" s="12">
        <f t="shared" si="3"/>
        <v>0</v>
      </c>
    </row>
    <row r="62" spans="1:12" x14ac:dyDescent="0.3">
      <c r="A62" s="9" t="s">
        <v>145</v>
      </c>
      <c r="B62" s="10" t="s">
        <v>503</v>
      </c>
      <c r="C62" s="10" t="s">
        <v>20</v>
      </c>
      <c r="D62" s="10" t="s">
        <v>36</v>
      </c>
      <c r="E62" s="10" t="s">
        <v>693</v>
      </c>
      <c r="F62" s="10" t="s">
        <v>694</v>
      </c>
      <c r="G62" s="10" t="s">
        <v>697</v>
      </c>
      <c r="H62" s="11">
        <v>2</v>
      </c>
      <c r="I62" s="11">
        <v>0</v>
      </c>
      <c r="J62" s="11">
        <f t="shared" si="1"/>
        <v>0</v>
      </c>
      <c r="K62" s="12">
        <f t="shared" si="2"/>
        <v>0</v>
      </c>
      <c r="L62" s="12">
        <f t="shared" si="3"/>
        <v>0</v>
      </c>
    </row>
    <row r="63" spans="1:12" x14ac:dyDescent="0.3">
      <c r="A63" s="9" t="s">
        <v>146</v>
      </c>
      <c r="B63" s="10" t="s">
        <v>504</v>
      </c>
      <c r="C63" s="10" t="s">
        <v>20</v>
      </c>
      <c r="D63" s="10" t="s">
        <v>30</v>
      </c>
      <c r="E63" s="10" t="s">
        <v>693</v>
      </c>
      <c r="F63" s="10" t="s">
        <v>694</v>
      </c>
      <c r="G63" s="10" t="s">
        <v>696</v>
      </c>
      <c r="H63" s="11">
        <v>0</v>
      </c>
      <c r="I63" s="11">
        <v>0</v>
      </c>
      <c r="J63" s="11">
        <f t="shared" si="1"/>
        <v>0</v>
      </c>
      <c r="K63" s="12">
        <f t="shared" si="2"/>
        <v>0</v>
      </c>
      <c r="L63" s="12">
        <f t="shared" si="3"/>
        <v>0</v>
      </c>
    </row>
    <row r="64" spans="1:12" x14ac:dyDescent="0.3">
      <c r="A64" s="9" t="s">
        <v>27</v>
      </c>
      <c r="B64" s="10" t="s">
        <v>409</v>
      </c>
      <c r="C64" s="10" t="s">
        <v>20</v>
      </c>
      <c r="D64" s="10" t="s">
        <v>36</v>
      </c>
      <c r="E64" s="10" t="s">
        <v>693</v>
      </c>
      <c r="F64" s="10" t="s">
        <v>694</v>
      </c>
      <c r="G64" s="10" t="s">
        <v>697</v>
      </c>
      <c r="H64" s="11">
        <v>2</v>
      </c>
      <c r="I64" s="11">
        <v>0</v>
      </c>
      <c r="J64" s="11">
        <f t="shared" si="1"/>
        <v>0</v>
      </c>
      <c r="K64" s="12">
        <f t="shared" si="2"/>
        <v>0</v>
      </c>
      <c r="L64" s="12">
        <f t="shared" si="3"/>
        <v>0</v>
      </c>
    </row>
    <row r="65" spans="1:12" x14ac:dyDescent="0.3">
      <c r="A65" s="9" t="s">
        <v>84</v>
      </c>
      <c r="B65" s="10" t="s">
        <v>453</v>
      </c>
      <c r="C65" s="10" t="s">
        <v>22</v>
      </c>
      <c r="D65" s="10" t="s">
        <v>48</v>
      </c>
      <c r="E65" s="10" t="s">
        <v>693</v>
      </c>
      <c r="F65" s="10" t="s">
        <v>694</v>
      </c>
      <c r="G65" s="10" t="s">
        <v>699</v>
      </c>
      <c r="H65" s="11">
        <v>0</v>
      </c>
      <c r="I65" s="11">
        <v>0</v>
      </c>
      <c r="J65" s="11">
        <f t="shared" si="1"/>
        <v>0</v>
      </c>
      <c r="K65" s="12">
        <f t="shared" si="2"/>
        <v>0</v>
      </c>
      <c r="L65" s="12">
        <f t="shared" si="3"/>
        <v>0</v>
      </c>
    </row>
    <row r="66" spans="1:12" x14ac:dyDescent="0.3">
      <c r="A66" s="9" t="s">
        <v>26</v>
      </c>
      <c r="B66" s="10" t="s">
        <v>408</v>
      </c>
      <c r="C66" s="10" t="s">
        <v>20</v>
      </c>
      <c r="D66" s="10" t="s">
        <v>34</v>
      </c>
      <c r="E66" s="10" t="s">
        <v>693</v>
      </c>
      <c r="F66" s="10" t="s">
        <v>694</v>
      </c>
      <c r="G66" s="10" t="s">
        <v>697</v>
      </c>
      <c r="H66" s="11">
        <v>0</v>
      </c>
      <c r="I66" s="11">
        <v>0</v>
      </c>
      <c r="J66" s="11">
        <f t="shared" si="1"/>
        <v>0</v>
      </c>
      <c r="K66" s="12">
        <f t="shared" si="2"/>
        <v>0</v>
      </c>
      <c r="L66" s="12">
        <f t="shared" si="3"/>
        <v>0</v>
      </c>
    </row>
    <row r="67" spans="1:12" x14ac:dyDescent="0.3">
      <c r="A67" s="9" t="s">
        <v>78</v>
      </c>
      <c r="B67" s="10" t="s">
        <v>447</v>
      </c>
      <c r="C67" s="10" t="s">
        <v>20</v>
      </c>
      <c r="D67" s="10" t="s">
        <v>32</v>
      </c>
      <c r="E67" s="10" t="s">
        <v>693</v>
      </c>
      <c r="F67" s="10" t="s">
        <v>694</v>
      </c>
      <c r="G67" s="10" t="s">
        <v>696</v>
      </c>
      <c r="H67" s="11">
        <v>0</v>
      </c>
      <c r="I67" s="11">
        <v>0</v>
      </c>
      <c r="J67" s="11">
        <f t="shared" si="1"/>
        <v>0</v>
      </c>
      <c r="K67" s="12">
        <f t="shared" si="2"/>
        <v>0</v>
      </c>
      <c r="L67" s="12">
        <f t="shared" si="3"/>
        <v>0</v>
      </c>
    </row>
    <row r="68" spans="1:12" x14ac:dyDescent="0.3">
      <c r="A68" s="9" t="s">
        <v>83</v>
      </c>
      <c r="B68" s="10" t="s">
        <v>452</v>
      </c>
      <c r="C68" s="10" t="s">
        <v>22</v>
      </c>
      <c r="D68" s="10" t="s">
        <v>28</v>
      </c>
      <c r="E68" s="10" t="s">
        <v>693</v>
      </c>
      <c r="F68" s="10" t="s">
        <v>694</v>
      </c>
      <c r="G68" s="10" t="s">
        <v>695</v>
      </c>
      <c r="H68" s="11">
        <v>0</v>
      </c>
      <c r="I68" s="11">
        <v>0</v>
      </c>
      <c r="J68" s="11">
        <f t="shared" si="1"/>
        <v>0</v>
      </c>
      <c r="K68" s="12">
        <f t="shared" si="2"/>
        <v>0</v>
      </c>
      <c r="L68" s="12">
        <f t="shared" si="3"/>
        <v>0</v>
      </c>
    </row>
    <row r="69" spans="1:12" x14ac:dyDescent="0.3">
      <c r="A69" s="9" t="s">
        <v>100</v>
      </c>
      <c r="B69" s="10" t="s">
        <v>469</v>
      </c>
      <c r="C69" s="10" t="s">
        <v>20</v>
      </c>
      <c r="D69" s="10" t="s">
        <v>38</v>
      </c>
      <c r="E69" s="10" t="s">
        <v>693</v>
      </c>
      <c r="F69" s="10" t="s">
        <v>694</v>
      </c>
      <c r="G69" s="10" t="s">
        <v>696</v>
      </c>
      <c r="H69" s="11">
        <v>0</v>
      </c>
      <c r="I69" s="11">
        <v>0</v>
      </c>
      <c r="J69" s="11">
        <f t="shared" si="1"/>
        <v>0</v>
      </c>
      <c r="K69" s="12">
        <f t="shared" si="2"/>
        <v>0</v>
      </c>
      <c r="L69" s="12">
        <f t="shared" si="3"/>
        <v>0</v>
      </c>
    </row>
    <row r="70" spans="1:12" x14ac:dyDescent="0.3">
      <c r="A70" s="9" t="s">
        <v>70</v>
      </c>
      <c r="B70" s="10" t="s">
        <v>439</v>
      </c>
      <c r="C70" s="10" t="s">
        <v>20</v>
      </c>
      <c r="D70" s="10" t="s">
        <v>32</v>
      </c>
      <c r="E70" s="10" t="s">
        <v>693</v>
      </c>
      <c r="F70" s="10" t="s">
        <v>694</v>
      </c>
      <c r="G70" s="10" t="s">
        <v>696</v>
      </c>
      <c r="H70" s="11">
        <v>0</v>
      </c>
      <c r="I70" s="11">
        <v>0</v>
      </c>
      <c r="J70" s="11">
        <f t="shared" ref="J70:J132" si="11">IFERROR((I70/$A$1*$B$1),0)</f>
        <v>0</v>
      </c>
      <c r="K70" s="12">
        <f t="shared" ref="K70:K133" si="12">IFERROR((I70/H70),0)</f>
        <v>0</v>
      </c>
      <c r="L70" s="12">
        <f t="shared" ref="L70:L133" si="13">IFERROR((J70/H70),0)</f>
        <v>0</v>
      </c>
    </row>
    <row r="71" spans="1:12" x14ac:dyDescent="0.3">
      <c r="A71" s="9" t="s">
        <v>87</v>
      </c>
      <c r="B71" s="10" t="s">
        <v>456</v>
      </c>
      <c r="C71" s="10" t="s">
        <v>20</v>
      </c>
      <c r="D71" s="10" t="s">
        <v>38</v>
      </c>
      <c r="E71" s="10" t="s">
        <v>693</v>
      </c>
      <c r="F71" s="10" t="s">
        <v>694</v>
      </c>
      <c r="G71" s="10" t="s">
        <v>696</v>
      </c>
      <c r="H71" s="11">
        <v>0</v>
      </c>
      <c r="I71" s="11">
        <v>0</v>
      </c>
      <c r="J71" s="11">
        <f t="shared" si="11"/>
        <v>0</v>
      </c>
      <c r="K71" s="12">
        <f t="shared" si="12"/>
        <v>0</v>
      </c>
      <c r="L71" s="12">
        <f t="shared" si="13"/>
        <v>0</v>
      </c>
    </row>
    <row r="72" spans="1:12" x14ac:dyDescent="0.3">
      <c r="A72" s="9" t="s">
        <v>148</v>
      </c>
      <c r="B72" s="10" t="s">
        <v>506</v>
      </c>
      <c r="C72" s="10" t="s">
        <v>22</v>
      </c>
      <c r="D72" s="10" t="s">
        <v>46</v>
      </c>
      <c r="E72" s="10" t="s">
        <v>693</v>
      </c>
      <c r="F72" s="10" t="s">
        <v>694</v>
      </c>
      <c r="G72" s="10" t="s">
        <v>700</v>
      </c>
      <c r="H72" s="11">
        <v>0</v>
      </c>
      <c r="I72" s="11">
        <v>0</v>
      </c>
      <c r="J72" s="11">
        <f t="shared" si="11"/>
        <v>0</v>
      </c>
      <c r="K72" s="12">
        <f t="shared" si="12"/>
        <v>0</v>
      </c>
      <c r="L72" s="12">
        <f t="shared" si="13"/>
        <v>0</v>
      </c>
    </row>
    <row r="73" spans="1:12" x14ac:dyDescent="0.3">
      <c r="A73" s="9" t="s">
        <v>72</v>
      </c>
      <c r="B73" s="10" t="s">
        <v>441</v>
      </c>
      <c r="C73" s="10" t="s">
        <v>20</v>
      </c>
      <c r="D73" s="10" t="s">
        <v>30</v>
      </c>
      <c r="E73" s="10" t="s">
        <v>693</v>
      </c>
      <c r="F73" s="10" t="s">
        <v>694</v>
      </c>
      <c r="G73" s="10" t="s">
        <v>696</v>
      </c>
      <c r="H73" s="11">
        <v>0</v>
      </c>
      <c r="I73" s="11">
        <v>0</v>
      </c>
      <c r="J73" s="11">
        <f t="shared" si="11"/>
        <v>0</v>
      </c>
      <c r="K73" s="12">
        <f t="shared" si="12"/>
        <v>0</v>
      </c>
      <c r="L73" s="12">
        <f t="shared" si="13"/>
        <v>0</v>
      </c>
    </row>
    <row r="74" spans="1:12" x14ac:dyDescent="0.3">
      <c r="A74" s="9" t="s">
        <v>147</v>
      </c>
      <c r="B74" s="10" t="s">
        <v>505</v>
      </c>
      <c r="C74" s="10" t="s">
        <v>22</v>
      </c>
      <c r="D74" s="10" t="s">
        <v>42</v>
      </c>
      <c r="E74" s="10" t="s">
        <v>693</v>
      </c>
      <c r="F74" s="10" t="s">
        <v>694</v>
      </c>
      <c r="G74" s="10" t="s">
        <v>699</v>
      </c>
      <c r="H74" s="11">
        <v>0</v>
      </c>
      <c r="I74" s="11">
        <v>0</v>
      </c>
      <c r="J74" s="11">
        <f t="shared" si="11"/>
        <v>0</v>
      </c>
      <c r="K74" s="12">
        <f t="shared" si="12"/>
        <v>0</v>
      </c>
      <c r="L74" s="12">
        <f t="shared" si="13"/>
        <v>0</v>
      </c>
    </row>
    <row r="75" spans="1:12" x14ac:dyDescent="0.3">
      <c r="A75" s="9" t="s">
        <v>86</v>
      </c>
      <c r="B75" s="10" t="s">
        <v>455</v>
      </c>
      <c r="C75" s="10" t="s">
        <v>22</v>
      </c>
      <c r="D75" s="10" t="s">
        <v>48</v>
      </c>
      <c r="E75" s="10" t="s">
        <v>693</v>
      </c>
      <c r="F75" s="10" t="s">
        <v>694</v>
      </c>
      <c r="G75" s="10" t="s">
        <v>699</v>
      </c>
      <c r="H75" s="11">
        <v>0</v>
      </c>
      <c r="I75" s="11">
        <v>0</v>
      </c>
      <c r="J75" s="11">
        <f t="shared" si="11"/>
        <v>0</v>
      </c>
      <c r="K75" s="12">
        <f t="shared" si="12"/>
        <v>0</v>
      </c>
      <c r="L75" s="12">
        <f t="shared" si="13"/>
        <v>0</v>
      </c>
    </row>
    <row r="76" spans="1:12" x14ac:dyDescent="0.3">
      <c r="A76" s="9" t="s">
        <v>149</v>
      </c>
      <c r="B76" s="10" t="s">
        <v>507</v>
      </c>
      <c r="C76" s="10" t="s">
        <v>22</v>
      </c>
      <c r="D76" s="10" t="s">
        <v>46</v>
      </c>
      <c r="E76" s="10" t="s">
        <v>693</v>
      </c>
      <c r="F76" s="10" t="s">
        <v>694</v>
      </c>
      <c r="G76" s="10" t="s">
        <v>700</v>
      </c>
      <c r="H76" s="11">
        <v>0</v>
      </c>
      <c r="I76" s="11">
        <v>0</v>
      </c>
      <c r="J76" s="11">
        <f t="shared" si="11"/>
        <v>0</v>
      </c>
      <c r="K76" s="12">
        <f t="shared" si="12"/>
        <v>0</v>
      </c>
      <c r="L76" s="12">
        <f t="shared" si="13"/>
        <v>0</v>
      </c>
    </row>
    <row r="77" spans="1:12" x14ac:dyDescent="0.3">
      <c r="A77" s="9" t="s">
        <v>93</v>
      </c>
      <c r="B77" s="10" t="s">
        <v>462</v>
      </c>
      <c r="C77" s="10" t="s">
        <v>22</v>
      </c>
      <c r="D77" s="10" t="s">
        <v>42</v>
      </c>
      <c r="E77" s="10" t="s">
        <v>693</v>
      </c>
      <c r="F77" s="10" t="s">
        <v>694</v>
      </c>
      <c r="G77" s="10" t="s">
        <v>699</v>
      </c>
      <c r="H77" s="11">
        <v>0</v>
      </c>
      <c r="I77" s="11">
        <v>0</v>
      </c>
      <c r="J77" s="11">
        <f t="shared" si="11"/>
        <v>0</v>
      </c>
      <c r="K77" s="12">
        <f t="shared" si="12"/>
        <v>0</v>
      </c>
      <c r="L77" s="12">
        <f t="shared" si="13"/>
        <v>0</v>
      </c>
    </row>
    <row r="78" spans="1:12" x14ac:dyDescent="0.3">
      <c r="A78" s="9" t="s">
        <v>85</v>
      </c>
      <c r="B78" s="10" t="s">
        <v>454</v>
      </c>
      <c r="C78" s="10" t="s">
        <v>22</v>
      </c>
      <c r="D78" s="10" t="s">
        <v>46</v>
      </c>
      <c r="E78" s="10" t="s">
        <v>693</v>
      </c>
      <c r="F78" s="10" t="s">
        <v>694</v>
      </c>
      <c r="G78" s="10" t="s">
        <v>700</v>
      </c>
      <c r="H78" s="11">
        <v>0</v>
      </c>
      <c r="I78" s="11">
        <v>0</v>
      </c>
      <c r="J78" s="11">
        <f t="shared" si="11"/>
        <v>0</v>
      </c>
      <c r="K78" s="12">
        <f t="shared" si="12"/>
        <v>0</v>
      </c>
      <c r="L78" s="12">
        <f t="shared" si="13"/>
        <v>0</v>
      </c>
    </row>
    <row r="79" spans="1:12" x14ac:dyDescent="0.3">
      <c r="A79" s="9" t="s">
        <v>150</v>
      </c>
      <c r="B79" s="10" t="s">
        <v>508</v>
      </c>
      <c r="C79" s="10" t="s">
        <v>20</v>
      </c>
      <c r="D79" s="10" t="s">
        <v>30</v>
      </c>
      <c r="E79" s="10" t="s">
        <v>693</v>
      </c>
      <c r="F79" s="10" t="s">
        <v>694</v>
      </c>
      <c r="G79" s="10" t="s">
        <v>696</v>
      </c>
      <c r="H79" s="11">
        <v>2</v>
      </c>
      <c r="I79" s="11">
        <v>0</v>
      </c>
      <c r="J79" s="11">
        <f t="shared" si="11"/>
        <v>0</v>
      </c>
      <c r="K79" s="12">
        <f t="shared" si="12"/>
        <v>0</v>
      </c>
      <c r="L79" s="12">
        <f t="shared" si="13"/>
        <v>0</v>
      </c>
    </row>
    <row r="80" spans="1:12" x14ac:dyDescent="0.3">
      <c r="A80" s="9" t="s">
        <v>97</v>
      </c>
      <c r="B80" s="10" t="s">
        <v>466</v>
      </c>
      <c r="C80" s="10" t="s">
        <v>20</v>
      </c>
      <c r="D80" s="10" t="s">
        <v>36</v>
      </c>
      <c r="E80" s="10" t="s">
        <v>693</v>
      </c>
      <c r="F80" s="10" t="s">
        <v>694</v>
      </c>
      <c r="G80" s="10" t="s">
        <v>697</v>
      </c>
      <c r="H80" s="11">
        <v>2</v>
      </c>
      <c r="I80" s="11">
        <v>0</v>
      </c>
      <c r="J80" s="11">
        <f t="shared" si="11"/>
        <v>0</v>
      </c>
      <c r="K80" s="12">
        <f t="shared" si="12"/>
        <v>0</v>
      </c>
      <c r="L80" s="12">
        <f t="shared" si="13"/>
        <v>0</v>
      </c>
    </row>
    <row r="81" spans="1:12" x14ac:dyDescent="0.3">
      <c r="A81" s="9" t="s">
        <v>69</v>
      </c>
      <c r="B81" s="10" t="s">
        <v>438</v>
      </c>
      <c r="C81" s="10" t="s">
        <v>20</v>
      </c>
      <c r="D81" s="10" t="s">
        <v>38</v>
      </c>
      <c r="E81" s="10" t="s">
        <v>693</v>
      </c>
      <c r="F81" s="10" t="s">
        <v>694</v>
      </c>
      <c r="G81" s="10" t="s">
        <v>696</v>
      </c>
      <c r="H81" s="11">
        <v>0</v>
      </c>
      <c r="I81" s="11">
        <v>0</v>
      </c>
      <c r="J81" s="11">
        <f t="shared" si="11"/>
        <v>0</v>
      </c>
      <c r="K81" s="12">
        <f t="shared" si="12"/>
        <v>0</v>
      </c>
      <c r="L81" s="12">
        <f t="shared" si="13"/>
        <v>0</v>
      </c>
    </row>
    <row r="82" spans="1:12" x14ac:dyDescent="0.3">
      <c r="A82" s="9" t="s">
        <v>95</v>
      </c>
      <c r="B82" s="10" t="s">
        <v>464</v>
      </c>
      <c r="C82" s="10" t="s">
        <v>20</v>
      </c>
      <c r="D82" s="10" t="s">
        <v>34</v>
      </c>
      <c r="E82" s="10" t="s">
        <v>693</v>
      </c>
      <c r="F82" s="10" t="s">
        <v>694</v>
      </c>
      <c r="G82" s="10" t="s">
        <v>697</v>
      </c>
      <c r="H82" s="11">
        <v>0</v>
      </c>
      <c r="I82" s="11">
        <v>0</v>
      </c>
      <c r="J82" s="11">
        <f t="shared" si="11"/>
        <v>0</v>
      </c>
      <c r="K82" s="12">
        <f t="shared" si="12"/>
        <v>0</v>
      </c>
      <c r="L82" s="12">
        <f t="shared" si="13"/>
        <v>0</v>
      </c>
    </row>
    <row r="83" spans="1:12" x14ac:dyDescent="0.3">
      <c r="A83" s="9" t="s">
        <v>88</v>
      </c>
      <c r="B83" s="10" t="s">
        <v>457</v>
      </c>
      <c r="C83" s="10" t="s">
        <v>22</v>
      </c>
      <c r="D83" s="10" t="s">
        <v>48</v>
      </c>
      <c r="E83" s="10" t="s">
        <v>693</v>
      </c>
      <c r="F83" s="10" t="s">
        <v>694</v>
      </c>
      <c r="G83" s="10" t="s">
        <v>699</v>
      </c>
      <c r="H83" s="11">
        <v>0</v>
      </c>
      <c r="I83" s="11">
        <v>0</v>
      </c>
      <c r="J83" s="11">
        <f t="shared" si="11"/>
        <v>0</v>
      </c>
      <c r="K83" s="12">
        <f t="shared" si="12"/>
        <v>0</v>
      </c>
      <c r="L83" s="12">
        <f t="shared" si="13"/>
        <v>0</v>
      </c>
    </row>
    <row r="84" spans="1:12" x14ac:dyDescent="0.3">
      <c r="A84" s="9" t="s">
        <v>77</v>
      </c>
      <c r="B84" s="10" t="s">
        <v>446</v>
      </c>
      <c r="C84" s="10" t="s">
        <v>20</v>
      </c>
      <c r="D84" s="10" t="s">
        <v>36</v>
      </c>
      <c r="E84" s="10" t="s">
        <v>693</v>
      </c>
      <c r="F84" s="10" t="s">
        <v>694</v>
      </c>
      <c r="G84" s="10" t="s">
        <v>697</v>
      </c>
      <c r="H84" s="11">
        <v>0</v>
      </c>
      <c r="I84" s="11">
        <v>0</v>
      </c>
      <c r="J84" s="11">
        <f t="shared" si="11"/>
        <v>0</v>
      </c>
      <c r="K84" s="12">
        <f t="shared" si="12"/>
        <v>0</v>
      </c>
      <c r="L84" s="12">
        <f t="shared" si="13"/>
        <v>0</v>
      </c>
    </row>
    <row r="85" spans="1:12" x14ac:dyDescent="0.3">
      <c r="A85" s="9" t="s">
        <v>107</v>
      </c>
      <c r="B85" s="10" t="s">
        <v>476</v>
      </c>
      <c r="C85" s="10" t="s">
        <v>22</v>
      </c>
      <c r="D85" s="10" t="s">
        <v>40</v>
      </c>
      <c r="E85" s="10" t="s">
        <v>693</v>
      </c>
      <c r="F85" s="10" t="s">
        <v>694</v>
      </c>
      <c r="G85" s="10" t="s">
        <v>698</v>
      </c>
      <c r="H85" s="11">
        <v>0</v>
      </c>
      <c r="I85" s="11">
        <v>0</v>
      </c>
      <c r="J85" s="11">
        <f t="shared" si="11"/>
        <v>0</v>
      </c>
      <c r="K85" s="12">
        <f t="shared" si="12"/>
        <v>0</v>
      </c>
      <c r="L85" s="12">
        <f t="shared" si="13"/>
        <v>0</v>
      </c>
    </row>
    <row r="86" spans="1:12" x14ac:dyDescent="0.3">
      <c r="A86" s="9" t="s">
        <v>104</v>
      </c>
      <c r="B86" s="10" t="s">
        <v>473</v>
      </c>
      <c r="C86" s="10" t="s">
        <v>22</v>
      </c>
      <c r="D86" s="10" t="s">
        <v>28</v>
      </c>
      <c r="E86" s="10" t="s">
        <v>693</v>
      </c>
      <c r="F86" s="10" t="s">
        <v>694</v>
      </c>
      <c r="G86" s="10" t="s">
        <v>695</v>
      </c>
      <c r="H86" s="11">
        <v>0</v>
      </c>
      <c r="I86" s="11">
        <v>0</v>
      </c>
      <c r="J86" s="11">
        <f t="shared" si="11"/>
        <v>0</v>
      </c>
      <c r="K86" s="12">
        <f t="shared" si="12"/>
        <v>0</v>
      </c>
      <c r="L86" s="12">
        <f t="shared" si="13"/>
        <v>0</v>
      </c>
    </row>
    <row r="87" spans="1:12" x14ac:dyDescent="0.3">
      <c r="A87" s="9" t="s">
        <v>81</v>
      </c>
      <c r="B87" s="10" t="s">
        <v>450</v>
      </c>
      <c r="C87" s="10" t="s">
        <v>22</v>
      </c>
      <c r="D87" s="10" t="s">
        <v>28</v>
      </c>
      <c r="E87" s="10" t="s">
        <v>693</v>
      </c>
      <c r="F87" s="10" t="s">
        <v>694</v>
      </c>
      <c r="G87" s="10" t="s">
        <v>695</v>
      </c>
      <c r="H87" s="11">
        <v>0</v>
      </c>
      <c r="I87" s="11">
        <v>0</v>
      </c>
      <c r="J87" s="11">
        <f t="shared" si="11"/>
        <v>0</v>
      </c>
      <c r="K87" s="12">
        <f t="shared" si="12"/>
        <v>0</v>
      </c>
      <c r="L87" s="12">
        <f t="shared" si="13"/>
        <v>0</v>
      </c>
    </row>
    <row r="88" spans="1:12" x14ac:dyDescent="0.3">
      <c r="A88" s="9" t="s">
        <v>101</v>
      </c>
      <c r="B88" s="10" t="s">
        <v>470</v>
      </c>
      <c r="C88" s="10" t="s">
        <v>22</v>
      </c>
      <c r="D88" s="10" t="s">
        <v>48</v>
      </c>
      <c r="E88" s="10" t="s">
        <v>693</v>
      </c>
      <c r="F88" s="10" t="s">
        <v>694</v>
      </c>
      <c r="G88" s="10" t="s">
        <v>699</v>
      </c>
      <c r="H88" s="11">
        <v>0</v>
      </c>
      <c r="I88" s="11">
        <v>0</v>
      </c>
      <c r="J88" s="11">
        <f t="shared" si="11"/>
        <v>0</v>
      </c>
      <c r="K88" s="12">
        <f t="shared" si="12"/>
        <v>0</v>
      </c>
      <c r="L88" s="12">
        <f t="shared" si="13"/>
        <v>0</v>
      </c>
    </row>
    <row r="89" spans="1:12" x14ac:dyDescent="0.3">
      <c r="A89" s="9" t="s">
        <v>37</v>
      </c>
      <c r="B89" s="10" t="s">
        <v>414</v>
      </c>
      <c r="C89" s="10" t="s">
        <v>20</v>
      </c>
      <c r="D89" s="10" t="s">
        <v>38</v>
      </c>
      <c r="E89" s="10" t="s">
        <v>693</v>
      </c>
      <c r="F89" s="10" t="s">
        <v>694</v>
      </c>
      <c r="G89" s="10" t="s">
        <v>696</v>
      </c>
      <c r="H89" s="11">
        <v>0</v>
      </c>
      <c r="I89" s="11">
        <v>0</v>
      </c>
      <c r="J89" s="11">
        <f t="shared" si="11"/>
        <v>0</v>
      </c>
      <c r="K89" s="12">
        <f t="shared" si="12"/>
        <v>0</v>
      </c>
      <c r="L89" s="12">
        <f t="shared" si="13"/>
        <v>0</v>
      </c>
    </row>
    <row r="90" spans="1:12" x14ac:dyDescent="0.3">
      <c r="A90" s="9" t="s">
        <v>94</v>
      </c>
      <c r="B90" s="10" t="s">
        <v>463</v>
      </c>
      <c r="C90" s="10" t="s">
        <v>22</v>
      </c>
      <c r="D90" s="10" t="s">
        <v>40</v>
      </c>
      <c r="E90" s="10" t="s">
        <v>693</v>
      </c>
      <c r="F90" s="10" t="s">
        <v>694</v>
      </c>
      <c r="G90" s="10" t="s">
        <v>698</v>
      </c>
      <c r="H90" s="11">
        <v>0</v>
      </c>
      <c r="I90" s="11">
        <v>0</v>
      </c>
      <c r="J90" s="11">
        <f t="shared" si="11"/>
        <v>0</v>
      </c>
      <c r="K90" s="12">
        <f t="shared" si="12"/>
        <v>0</v>
      </c>
      <c r="L90" s="12">
        <f t="shared" si="13"/>
        <v>0</v>
      </c>
    </row>
    <row r="91" spans="1:12" x14ac:dyDescent="0.3">
      <c r="A91" s="9" t="s">
        <v>155</v>
      </c>
      <c r="B91" s="10" t="s">
        <v>513</v>
      </c>
      <c r="C91" s="10" t="s">
        <v>22</v>
      </c>
      <c r="D91" s="10" t="s">
        <v>42</v>
      </c>
      <c r="E91" s="10" t="s">
        <v>693</v>
      </c>
      <c r="F91" s="10" t="s">
        <v>694</v>
      </c>
      <c r="G91" s="10" t="s">
        <v>699</v>
      </c>
      <c r="H91" s="11">
        <v>0</v>
      </c>
      <c r="I91" s="11">
        <v>0</v>
      </c>
      <c r="J91" s="11">
        <f t="shared" si="11"/>
        <v>0</v>
      </c>
      <c r="K91" s="12">
        <f t="shared" si="12"/>
        <v>0</v>
      </c>
      <c r="L91" s="12">
        <f t="shared" si="13"/>
        <v>0</v>
      </c>
    </row>
    <row r="92" spans="1:12" x14ac:dyDescent="0.3">
      <c r="A92" s="9" t="s">
        <v>82</v>
      </c>
      <c r="B92" s="10" t="s">
        <v>451</v>
      </c>
      <c r="C92" s="10" t="s">
        <v>22</v>
      </c>
      <c r="D92" s="10" t="s">
        <v>44</v>
      </c>
      <c r="E92" s="10" t="s">
        <v>693</v>
      </c>
      <c r="F92" s="10" t="s">
        <v>694</v>
      </c>
      <c r="G92" s="10" t="s">
        <v>698</v>
      </c>
      <c r="H92" s="11">
        <v>0</v>
      </c>
      <c r="I92" s="11">
        <v>0</v>
      </c>
      <c r="J92" s="11">
        <f t="shared" si="11"/>
        <v>0</v>
      </c>
      <c r="K92" s="12">
        <f t="shared" si="12"/>
        <v>0</v>
      </c>
      <c r="L92" s="12">
        <f t="shared" si="13"/>
        <v>0</v>
      </c>
    </row>
    <row r="93" spans="1:12" x14ac:dyDescent="0.3">
      <c r="A93" s="9" t="s">
        <v>99</v>
      </c>
      <c r="B93" s="10" t="s">
        <v>468</v>
      </c>
      <c r="C93" s="10" t="s">
        <v>22</v>
      </c>
      <c r="D93" s="10" t="s">
        <v>44</v>
      </c>
      <c r="E93" s="10" t="s">
        <v>693</v>
      </c>
      <c r="F93" s="10" t="s">
        <v>694</v>
      </c>
      <c r="G93" s="10" t="s">
        <v>698</v>
      </c>
      <c r="H93" s="11">
        <v>0</v>
      </c>
      <c r="I93" s="11">
        <v>0</v>
      </c>
      <c r="J93" s="11">
        <f t="shared" si="11"/>
        <v>0</v>
      </c>
      <c r="K93" s="12">
        <f t="shared" si="12"/>
        <v>0</v>
      </c>
      <c r="L93" s="12">
        <f t="shared" si="13"/>
        <v>0</v>
      </c>
    </row>
    <row r="94" spans="1:12" x14ac:dyDescent="0.3">
      <c r="A94" s="9" t="s">
        <v>259</v>
      </c>
      <c r="B94" s="10" t="s">
        <v>614</v>
      </c>
      <c r="C94" s="10" t="s">
        <v>20</v>
      </c>
      <c r="D94" s="10" t="s">
        <v>34</v>
      </c>
      <c r="E94" s="10" t="s">
        <v>707</v>
      </c>
      <c r="F94" s="10" t="s">
        <v>694</v>
      </c>
      <c r="G94" s="10" t="s">
        <v>697</v>
      </c>
      <c r="H94" s="11">
        <v>0</v>
      </c>
      <c r="I94" s="11">
        <v>0</v>
      </c>
      <c r="J94" s="11">
        <f t="shared" si="11"/>
        <v>0</v>
      </c>
      <c r="K94" s="12">
        <f t="shared" si="12"/>
        <v>0</v>
      </c>
      <c r="L94" s="12">
        <f t="shared" si="13"/>
        <v>0</v>
      </c>
    </row>
    <row r="95" spans="1:12" x14ac:dyDescent="0.3">
      <c r="A95" s="9" t="s">
        <v>80</v>
      </c>
      <c r="B95" s="10" t="s">
        <v>449</v>
      </c>
      <c r="C95" s="10" t="s">
        <v>22</v>
      </c>
      <c r="D95" s="10" t="s">
        <v>28</v>
      </c>
      <c r="E95" s="10" t="s">
        <v>693</v>
      </c>
      <c r="F95" s="10" t="s">
        <v>694</v>
      </c>
      <c r="G95" s="10" t="s">
        <v>695</v>
      </c>
      <c r="H95" s="11">
        <v>0</v>
      </c>
      <c r="I95" s="11">
        <v>0</v>
      </c>
      <c r="J95" s="11">
        <f t="shared" si="11"/>
        <v>0</v>
      </c>
      <c r="K95" s="12">
        <f t="shared" si="12"/>
        <v>0</v>
      </c>
      <c r="L95" s="12">
        <f t="shared" si="13"/>
        <v>0</v>
      </c>
    </row>
    <row r="96" spans="1:12" x14ac:dyDescent="0.3">
      <c r="A96" s="9" t="s">
        <v>153</v>
      </c>
      <c r="B96" s="10" t="s">
        <v>511</v>
      </c>
      <c r="C96" s="10" t="s">
        <v>22</v>
      </c>
      <c r="D96" s="10" t="s">
        <v>46</v>
      </c>
      <c r="E96" s="10" t="s">
        <v>693</v>
      </c>
      <c r="F96" s="10" t="s">
        <v>694</v>
      </c>
      <c r="G96" s="10" t="s">
        <v>700</v>
      </c>
      <c r="H96" s="11">
        <v>0</v>
      </c>
      <c r="I96" s="11">
        <v>0</v>
      </c>
      <c r="J96" s="11">
        <f t="shared" si="11"/>
        <v>0</v>
      </c>
      <c r="K96" s="12">
        <f t="shared" si="12"/>
        <v>0</v>
      </c>
      <c r="L96" s="12">
        <f t="shared" si="13"/>
        <v>0</v>
      </c>
    </row>
    <row r="97" spans="1:12" x14ac:dyDescent="0.3">
      <c r="A97" s="9" t="s">
        <v>152</v>
      </c>
      <c r="B97" s="10" t="s">
        <v>510</v>
      </c>
      <c r="C97" s="10" t="s">
        <v>22</v>
      </c>
      <c r="D97" s="10" t="s">
        <v>46</v>
      </c>
      <c r="E97" s="10" t="s">
        <v>693</v>
      </c>
      <c r="F97" s="10" t="s">
        <v>694</v>
      </c>
      <c r="G97" s="10" t="s">
        <v>700</v>
      </c>
      <c r="H97" s="11">
        <v>0</v>
      </c>
      <c r="I97" s="11">
        <v>0</v>
      </c>
      <c r="J97" s="11">
        <f t="shared" si="11"/>
        <v>0</v>
      </c>
      <c r="K97" s="12">
        <f t="shared" si="12"/>
        <v>0</v>
      </c>
      <c r="L97" s="12">
        <f t="shared" si="13"/>
        <v>0</v>
      </c>
    </row>
    <row r="98" spans="1:12" x14ac:dyDescent="0.3">
      <c r="A98" s="9" t="s">
        <v>89</v>
      </c>
      <c r="B98" s="10" t="s">
        <v>458</v>
      </c>
      <c r="C98" s="10" t="s">
        <v>22</v>
      </c>
      <c r="D98" s="10" t="s">
        <v>40</v>
      </c>
      <c r="E98" s="10" t="s">
        <v>693</v>
      </c>
      <c r="F98" s="10" t="s">
        <v>694</v>
      </c>
      <c r="G98" s="10" t="s">
        <v>698</v>
      </c>
      <c r="H98" s="11">
        <v>0</v>
      </c>
      <c r="I98" s="11">
        <v>0</v>
      </c>
      <c r="J98" s="11">
        <f t="shared" si="11"/>
        <v>0</v>
      </c>
      <c r="K98" s="12">
        <f t="shared" si="12"/>
        <v>0</v>
      </c>
      <c r="L98" s="12">
        <f t="shared" si="13"/>
        <v>0</v>
      </c>
    </row>
    <row r="99" spans="1:12" x14ac:dyDescent="0.3">
      <c r="A99" s="9" t="s">
        <v>96</v>
      </c>
      <c r="B99" s="10" t="s">
        <v>465</v>
      </c>
      <c r="C99" s="10" t="s">
        <v>22</v>
      </c>
      <c r="D99" s="10" t="s">
        <v>40</v>
      </c>
      <c r="E99" s="10" t="s">
        <v>693</v>
      </c>
      <c r="F99" s="10" t="s">
        <v>694</v>
      </c>
      <c r="G99" s="10" t="s">
        <v>698</v>
      </c>
      <c r="H99" s="11">
        <v>0</v>
      </c>
      <c r="I99" s="11">
        <v>0</v>
      </c>
      <c r="J99" s="11">
        <f t="shared" si="11"/>
        <v>0</v>
      </c>
      <c r="K99" s="12">
        <f t="shared" si="12"/>
        <v>0</v>
      </c>
      <c r="L99" s="12">
        <f t="shared" si="13"/>
        <v>0</v>
      </c>
    </row>
    <row r="100" spans="1:12" x14ac:dyDescent="0.3">
      <c r="A100" s="9" t="s">
        <v>110</v>
      </c>
      <c r="B100" s="10" t="s">
        <v>479</v>
      </c>
      <c r="C100" s="10" t="s">
        <v>22</v>
      </c>
      <c r="D100" s="10" t="s">
        <v>44</v>
      </c>
      <c r="E100" s="10" t="s">
        <v>693</v>
      </c>
      <c r="F100" s="10" t="s">
        <v>694</v>
      </c>
      <c r="G100" s="10" t="s">
        <v>698</v>
      </c>
      <c r="H100" s="11">
        <v>0</v>
      </c>
      <c r="I100" s="11">
        <v>0</v>
      </c>
      <c r="J100" s="11">
        <f t="shared" si="11"/>
        <v>0</v>
      </c>
      <c r="K100" s="12">
        <f t="shared" si="12"/>
        <v>0</v>
      </c>
      <c r="L100" s="12">
        <f t="shared" si="13"/>
        <v>0</v>
      </c>
    </row>
    <row r="101" spans="1:12" x14ac:dyDescent="0.3">
      <c r="A101" s="9" t="s">
        <v>108</v>
      </c>
      <c r="B101" s="10" t="s">
        <v>477</v>
      </c>
      <c r="C101" s="10" t="s">
        <v>22</v>
      </c>
      <c r="D101" s="10" t="s">
        <v>40</v>
      </c>
      <c r="E101" s="10" t="s">
        <v>693</v>
      </c>
      <c r="F101" s="10" t="s">
        <v>694</v>
      </c>
      <c r="G101" s="10" t="s">
        <v>698</v>
      </c>
      <c r="H101" s="11">
        <v>0</v>
      </c>
      <c r="I101" s="11">
        <v>0</v>
      </c>
      <c r="J101" s="11">
        <f t="shared" si="11"/>
        <v>0</v>
      </c>
      <c r="K101" s="12">
        <f t="shared" si="12"/>
        <v>0</v>
      </c>
      <c r="L101" s="12">
        <f t="shared" si="13"/>
        <v>0</v>
      </c>
    </row>
    <row r="102" spans="1:12" x14ac:dyDescent="0.3">
      <c r="A102" s="9" t="s">
        <v>91</v>
      </c>
      <c r="B102" s="10" t="s">
        <v>460</v>
      </c>
      <c r="C102" s="10" t="s">
        <v>20</v>
      </c>
      <c r="D102" s="10" t="s">
        <v>38</v>
      </c>
      <c r="E102" s="10" t="s">
        <v>693</v>
      </c>
      <c r="F102" s="10" t="s">
        <v>694</v>
      </c>
      <c r="G102" s="10" t="s">
        <v>696</v>
      </c>
      <c r="H102" s="11">
        <v>0</v>
      </c>
      <c r="I102" s="11">
        <v>0</v>
      </c>
      <c r="J102" s="11">
        <f t="shared" si="11"/>
        <v>0</v>
      </c>
      <c r="K102" s="12">
        <f t="shared" si="12"/>
        <v>0</v>
      </c>
      <c r="L102" s="12">
        <f t="shared" si="13"/>
        <v>0</v>
      </c>
    </row>
    <row r="103" spans="1:12" x14ac:dyDescent="0.3">
      <c r="A103" s="9" t="s">
        <v>114</v>
      </c>
      <c r="B103" s="10" t="s">
        <v>483</v>
      </c>
      <c r="C103" s="10" t="s">
        <v>22</v>
      </c>
      <c r="D103" s="10" t="s">
        <v>44</v>
      </c>
      <c r="E103" s="10" t="s">
        <v>693</v>
      </c>
      <c r="F103" s="10" t="s">
        <v>694</v>
      </c>
      <c r="G103" s="10" t="s">
        <v>698</v>
      </c>
      <c r="H103" s="11">
        <v>0</v>
      </c>
      <c r="I103" s="11">
        <v>0</v>
      </c>
      <c r="J103" s="11">
        <f t="shared" si="11"/>
        <v>0</v>
      </c>
      <c r="K103" s="12">
        <f t="shared" si="12"/>
        <v>0</v>
      </c>
      <c r="L103" s="12">
        <f t="shared" si="13"/>
        <v>0</v>
      </c>
    </row>
    <row r="104" spans="1:12" x14ac:dyDescent="0.3">
      <c r="A104" s="9" t="s">
        <v>156</v>
      </c>
      <c r="B104" s="10" t="s">
        <v>514</v>
      </c>
      <c r="C104" s="10" t="s">
        <v>22</v>
      </c>
      <c r="D104" s="10" t="s">
        <v>46</v>
      </c>
      <c r="E104" s="10" t="s">
        <v>693</v>
      </c>
      <c r="F104" s="10" t="s">
        <v>694</v>
      </c>
      <c r="G104" s="10" t="s">
        <v>700</v>
      </c>
      <c r="H104" s="11">
        <v>0</v>
      </c>
      <c r="I104" s="11">
        <v>0</v>
      </c>
      <c r="J104" s="11">
        <f t="shared" si="11"/>
        <v>0</v>
      </c>
      <c r="K104" s="12">
        <f t="shared" si="12"/>
        <v>0</v>
      </c>
      <c r="L104" s="12">
        <f t="shared" si="13"/>
        <v>0</v>
      </c>
    </row>
    <row r="105" spans="1:12" x14ac:dyDescent="0.3">
      <c r="A105" s="9" t="s">
        <v>71</v>
      </c>
      <c r="B105" s="10" t="s">
        <v>440</v>
      </c>
      <c r="C105" s="10" t="s">
        <v>20</v>
      </c>
      <c r="D105" s="10" t="s">
        <v>36</v>
      </c>
      <c r="E105" s="10" t="s">
        <v>693</v>
      </c>
      <c r="F105" s="10" t="s">
        <v>694</v>
      </c>
      <c r="G105" s="10" t="s">
        <v>697</v>
      </c>
      <c r="H105" s="11">
        <v>0</v>
      </c>
      <c r="I105" s="11">
        <v>0</v>
      </c>
      <c r="J105" s="11">
        <f t="shared" si="11"/>
        <v>0</v>
      </c>
      <c r="K105" s="12">
        <f t="shared" si="12"/>
        <v>0</v>
      </c>
      <c r="L105" s="12">
        <f t="shared" si="13"/>
        <v>0</v>
      </c>
    </row>
    <row r="106" spans="1:12" x14ac:dyDescent="0.3">
      <c r="A106" s="9" t="s">
        <v>112</v>
      </c>
      <c r="B106" s="10" t="s">
        <v>481</v>
      </c>
      <c r="C106" s="10" t="s">
        <v>20</v>
      </c>
      <c r="D106" s="10" t="s">
        <v>30</v>
      </c>
      <c r="E106" s="10" t="s">
        <v>693</v>
      </c>
      <c r="F106" s="10" t="s">
        <v>694</v>
      </c>
      <c r="G106" s="10" t="s">
        <v>696</v>
      </c>
      <c r="H106" s="11">
        <v>0</v>
      </c>
      <c r="I106" s="11">
        <v>0</v>
      </c>
      <c r="J106" s="11">
        <f t="shared" si="11"/>
        <v>0</v>
      </c>
      <c r="K106" s="12">
        <f t="shared" si="12"/>
        <v>0</v>
      </c>
      <c r="L106" s="12">
        <f t="shared" si="13"/>
        <v>0</v>
      </c>
    </row>
    <row r="107" spans="1:12" x14ac:dyDescent="0.3">
      <c r="A107" s="9" t="s">
        <v>79</v>
      </c>
      <c r="B107" s="10" t="s">
        <v>448</v>
      </c>
      <c r="C107" s="10" t="s">
        <v>22</v>
      </c>
      <c r="D107" s="10" t="s">
        <v>40</v>
      </c>
      <c r="E107" s="10" t="s">
        <v>693</v>
      </c>
      <c r="F107" s="10" t="s">
        <v>694</v>
      </c>
      <c r="G107" s="10" t="s">
        <v>698</v>
      </c>
      <c r="H107" s="11">
        <v>0</v>
      </c>
      <c r="I107" s="11">
        <v>0</v>
      </c>
      <c r="J107" s="11">
        <f t="shared" si="11"/>
        <v>0</v>
      </c>
      <c r="K107" s="12">
        <f t="shared" si="12"/>
        <v>0</v>
      </c>
      <c r="L107" s="12">
        <f t="shared" si="13"/>
        <v>0</v>
      </c>
    </row>
    <row r="108" spans="1:12" x14ac:dyDescent="0.3">
      <c r="A108" s="9" t="s">
        <v>154</v>
      </c>
      <c r="B108" s="10" t="s">
        <v>512</v>
      </c>
      <c r="C108" s="10" t="s">
        <v>22</v>
      </c>
      <c r="D108" s="10" t="s">
        <v>46</v>
      </c>
      <c r="E108" s="10" t="s">
        <v>693</v>
      </c>
      <c r="F108" s="10" t="s">
        <v>694</v>
      </c>
      <c r="G108" s="10" t="s">
        <v>700</v>
      </c>
      <c r="H108" s="11">
        <v>0</v>
      </c>
      <c r="I108" s="11">
        <v>0</v>
      </c>
      <c r="J108" s="11">
        <f t="shared" si="11"/>
        <v>0</v>
      </c>
      <c r="K108" s="12">
        <f t="shared" si="12"/>
        <v>0</v>
      </c>
      <c r="L108" s="12">
        <f t="shared" si="13"/>
        <v>0</v>
      </c>
    </row>
    <row r="109" spans="1:12" x14ac:dyDescent="0.3">
      <c r="A109" s="9" t="s">
        <v>73</v>
      </c>
      <c r="B109" s="10" t="s">
        <v>442</v>
      </c>
      <c r="C109" s="10" t="s">
        <v>22</v>
      </c>
      <c r="D109" s="10" t="s">
        <v>44</v>
      </c>
      <c r="E109" s="10" t="s">
        <v>693</v>
      </c>
      <c r="F109" s="10" t="s">
        <v>694</v>
      </c>
      <c r="G109" s="10" t="s">
        <v>699</v>
      </c>
      <c r="H109" s="11">
        <v>0</v>
      </c>
      <c r="I109" s="11">
        <v>0</v>
      </c>
      <c r="J109" s="11">
        <f t="shared" si="11"/>
        <v>0</v>
      </c>
      <c r="K109" s="12">
        <f t="shared" si="12"/>
        <v>0</v>
      </c>
      <c r="L109" s="12">
        <f t="shared" si="13"/>
        <v>0</v>
      </c>
    </row>
    <row r="110" spans="1:12" x14ac:dyDescent="0.3">
      <c r="A110" s="9" t="s">
        <v>106</v>
      </c>
      <c r="B110" s="10" t="s">
        <v>475</v>
      </c>
      <c r="C110" s="10" t="s">
        <v>20</v>
      </c>
      <c r="D110" s="10" t="s">
        <v>38</v>
      </c>
      <c r="E110" s="10" t="s">
        <v>693</v>
      </c>
      <c r="F110" s="10" t="s">
        <v>694</v>
      </c>
      <c r="G110" s="10" t="s">
        <v>696</v>
      </c>
      <c r="H110" s="11">
        <v>0</v>
      </c>
      <c r="I110" s="11">
        <v>0</v>
      </c>
      <c r="J110" s="11">
        <f t="shared" si="11"/>
        <v>0</v>
      </c>
      <c r="K110" s="12">
        <f t="shared" si="12"/>
        <v>0</v>
      </c>
      <c r="L110" s="12">
        <f t="shared" si="13"/>
        <v>0</v>
      </c>
    </row>
    <row r="111" spans="1:12" x14ac:dyDescent="0.3">
      <c r="A111" s="9" t="s">
        <v>39</v>
      </c>
      <c r="B111" s="10" t="s">
        <v>415</v>
      </c>
      <c r="C111" s="10" t="s">
        <v>22</v>
      </c>
      <c r="D111" s="10" t="s">
        <v>42</v>
      </c>
      <c r="E111" s="10" t="s">
        <v>693</v>
      </c>
      <c r="F111" s="10" t="s">
        <v>694</v>
      </c>
      <c r="G111" s="10" t="s">
        <v>699</v>
      </c>
      <c r="H111" s="11">
        <v>0</v>
      </c>
      <c r="I111" s="11">
        <v>0</v>
      </c>
      <c r="J111" s="11">
        <f t="shared" si="11"/>
        <v>0</v>
      </c>
      <c r="K111" s="12">
        <f t="shared" si="12"/>
        <v>0</v>
      </c>
      <c r="L111" s="12">
        <f t="shared" si="13"/>
        <v>0</v>
      </c>
    </row>
    <row r="112" spans="1:12" x14ac:dyDescent="0.3">
      <c r="A112" s="9" t="s">
        <v>105</v>
      </c>
      <c r="B112" s="10" t="s">
        <v>474</v>
      </c>
      <c r="C112" s="10" t="s">
        <v>20</v>
      </c>
      <c r="D112" s="10" t="s">
        <v>32</v>
      </c>
      <c r="E112" s="10" t="s">
        <v>693</v>
      </c>
      <c r="F112" s="10" t="s">
        <v>694</v>
      </c>
      <c r="G112" s="10" t="s">
        <v>696</v>
      </c>
      <c r="H112" s="11">
        <v>0</v>
      </c>
      <c r="I112" s="11">
        <v>0</v>
      </c>
      <c r="J112" s="11">
        <f t="shared" si="11"/>
        <v>0</v>
      </c>
      <c r="K112" s="12">
        <f t="shared" si="12"/>
        <v>0</v>
      </c>
      <c r="L112" s="12">
        <f t="shared" si="13"/>
        <v>0</v>
      </c>
    </row>
    <row r="113" spans="1:12" x14ac:dyDescent="0.3">
      <c r="A113" s="9" t="s">
        <v>98</v>
      </c>
      <c r="B113" s="10" t="s">
        <v>467</v>
      </c>
      <c r="C113" s="10" t="s">
        <v>20</v>
      </c>
      <c r="D113" s="10" t="s">
        <v>30</v>
      </c>
      <c r="E113" s="10" t="s">
        <v>693</v>
      </c>
      <c r="F113" s="10" t="s">
        <v>694</v>
      </c>
      <c r="G113" s="10" t="s">
        <v>696</v>
      </c>
      <c r="H113" s="11">
        <v>0</v>
      </c>
      <c r="I113" s="11">
        <v>0</v>
      </c>
      <c r="J113" s="11">
        <f t="shared" si="11"/>
        <v>0</v>
      </c>
      <c r="K113" s="12">
        <f t="shared" si="12"/>
        <v>0</v>
      </c>
      <c r="L113" s="12">
        <f t="shared" si="13"/>
        <v>0</v>
      </c>
    </row>
    <row r="114" spans="1:12" x14ac:dyDescent="0.3">
      <c r="A114" s="9" t="s">
        <v>113</v>
      </c>
      <c r="B114" s="10" t="s">
        <v>482</v>
      </c>
      <c r="C114" s="10" t="s">
        <v>20</v>
      </c>
      <c r="D114" s="10" t="s">
        <v>30</v>
      </c>
      <c r="E114" s="10" t="s">
        <v>693</v>
      </c>
      <c r="F114" s="10" t="s">
        <v>694</v>
      </c>
      <c r="G114" s="10" t="s">
        <v>696</v>
      </c>
      <c r="H114" s="11">
        <v>0</v>
      </c>
      <c r="I114" s="11">
        <v>0</v>
      </c>
      <c r="J114" s="11">
        <f t="shared" si="11"/>
        <v>0</v>
      </c>
      <c r="K114" s="12">
        <f t="shared" si="12"/>
        <v>0</v>
      </c>
      <c r="L114" s="12">
        <f t="shared" si="13"/>
        <v>0</v>
      </c>
    </row>
    <row r="115" spans="1:12" x14ac:dyDescent="0.3">
      <c r="A115" s="9" t="s">
        <v>157</v>
      </c>
      <c r="B115" s="10" t="s">
        <v>515</v>
      </c>
      <c r="C115" s="10" t="s">
        <v>20</v>
      </c>
      <c r="D115" s="10" t="s">
        <v>32</v>
      </c>
      <c r="E115" s="10" t="s">
        <v>693</v>
      </c>
      <c r="F115" s="10" t="s">
        <v>694</v>
      </c>
      <c r="G115" s="10" t="s">
        <v>696</v>
      </c>
      <c r="H115" s="11">
        <v>0</v>
      </c>
      <c r="I115" s="11">
        <v>0</v>
      </c>
      <c r="J115" s="11">
        <f t="shared" si="11"/>
        <v>0</v>
      </c>
      <c r="K115" s="12">
        <f t="shared" si="12"/>
        <v>0</v>
      </c>
      <c r="L115" s="12">
        <f t="shared" si="13"/>
        <v>0</v>
      </c>
    </row>
    <row r="116" spans="1:12" x14ac:dyDescent="0.3">
      <c r="A116" s="9" t="s">
        <v>111</v>
      </c>
      <c r="B116" s="10" t="s">
        <v>480</v>
      </c>
      <c r="C116" s="10" t="s">
        <v>20</v>
      </c>
      <c r="D116" s="10" t="s">
        <v>38</v>
      </c>
      <c r="E116" s="10" t="s">
        <v>693</v>
      </c>
      <c r="F116" s="10" t="s">
        <v>694</v>
      </c>
      <c r="G116" s="10" t="s">
        <v>696</v>
      </c>
      <c r="H116" s="11">
        <v>0</v>
      </c>
      <c r="I116" s="11">
        <v>0</v>
      </c>
      <c r="J116" s="11">
        <f t="shared" si="11"/>
        <v>0</v>
      </c>
      <c r="K116" s="12">
        <f t="shared" si="12"/>
        <v>0</v>
      </c>
      <c r="L116" s="12">
        <f t="shared" si="13"/>
        <v>0</v>
      </c>
    </row>
    <row r="117" spans="1:12" x14ac:dyDescent="0.3">
      <c r="A117" s="9" t="s">
        <v>75</v>
      </c>
      <c r="B117" s="10" t="s">
        <v>444</v>
      </c>
      <c r="C117" s="10" t="s">
        <v>22</v>
      </c>
      <c r="D117" s="10" t="s">
        <v>28</v>
      </c>
      <c r="E117" s="10" t="s">
        <v>693</v>
      </c>
      <c r="F117" s="10" t="s">
        <v>694</v>
      </c>
      <c r="G117" s="10" t="s">
        <v>695</v>
      </c>
      <c r="H117" s="11">
        <v>0</v>
      </c>
      <c r="I117" s="11">
        <v>0</v>
      </c>
      <c r="J117" s="11">
        <f t="shared" si="11"/>
        <v>0</v>
      </c>
      <c r="K117" s="12">
        <f t="shared" si="12"/>
        <v>0</v>
      </c>
      <c r="L117" s="12">
        <f t="shared" si="13"/>
        <v>0</v>
      </c>
    </row>
    <row r="118" spans="1:12" x14ac:dyDescent="0.3">
      <c r="A118" s="9" t="s">
        <v>109</v>
      </c>
      <c r="B118" s="10" t="s">
        <v>478</v>
      </c>
      <c r="C118" s="10" t="s">
        <v>20</v>
      </c>
      <c r="D118" s="10" t="s">
        <v>30</v>
      </c>
      <c r="E118" s="10" t="s">
        <v>693</v>
      </c>
      <c r="F118" s="10" t="s">
        <v>694</v>
      </c>
      <c r="G118" s="10" t="s">
        <v>696</v>
      </c>
      <c r="H118" s="11">
        <v>0</v>
      </c>
      <c r="I118" s="11">
        <v>0</v>
      </c>
      <c r="J118" s="11">
        <f t="shared" si="11"/>
        <v>0</v>
      </c>
      <c r="K118" s="12">
        <f t="shared" si="12"/>
        <v>0</v>
      </c>
      <c r="L118" s="12">
        <f t="shared" si="13"/>
        <v>0</v>
      </c>
    </row>
    <row r="119" spans="1:12" x14ac:dyDescent="0.3">
      <c r="A119" s="9" t="s">
        <v>90</v>
      </c>
      <c r="B119" s="10" t="s">
        <v>459</v>
      </c>
      <c r="C119" s="10" t="s">
        <v>22</v>
      </c>
      <c r="D119" s="10" t="s">
        <v>42</v>
      </c>
      <c r="E119" s="10" t="s">
        <v>693</v>
      </c>
      <c r="F119" s="10" t="s">
        <v>694</v>
      </c>
      <c r="G119" s="10" t="s">
        <v>699</v>
      </c>
      <c r="H119" s="11">
        <v>0</v>
      </c>
      <c r="I119" s="11">
        <v>0</v>
      </c>
      <c r="J119" s="11">
        <f t="shared" si="11"/>
        <v>0</v>
      </c>
      <c r="K119" s="12">
        <f t="shared" si="12"/>
        <v>0</v>
      </c>
      <c r="L119" s="12">
        <f t="shared" si="13"/>
        <v>0</v>
      </c>
    </row>
    <row r="120" spans="1:12" x14ac:dyDescent="0.3">
      <c r="A120" s="9" t="s">
        <v>102</v>
      </c>
      <c r="B120" s="10" t="s">
        <v>471</v>
      </c>
      <c r="C120" s="10" t="s">
        <v>22</v>
      </c>
      <c r="D120" s="10" t="s">
        <v>28</v>
      </c>
      <c r="E120" s="10" t="s">
        <v>693</v>
      </c>
      <c r="F120" s="10" t="s">
        <v>694</v>
      </c>
      <c r="G120" s="10" t="s">
        <v>695</v>
      </c>
      <c r="H120" s="11">
        <v>0</v>
      </c>
      <c r="I120" s="11">
        <v>0</v>
      </c>
      <c r="J120" s="11">
        <f t="shared" si="11"/>
        <v>0</v>
      </c>
      <c r="K120" s="12">
        <f t="shared" si="12"/>
        <v>0</v>
      </c>
      <c r="L120" s="12">
        <f t="shared" si="13"/>
        <v>0</v>
      </c>
    </row>
    <row r="121" spans="1:12" x14ac:dyDescent="0.3">
      <c r="A121" s="9" t="s">
        <v>262</v>
      </c>
      <c r="B121" s="10" t="s">
        <v>617</v>
      </c>
      <c r="C121" s="10" t="s">
        <v>20</v>
      </c>
      <c r="D121" s="10" t="s">
        <v>34</v>
      </c>
      <c r="E121" s="10" t="s">
        <v>707</v>
      </c>
      <c r="F121" s="10" t="s">
        <v>694</v>
      </c>
      <c r="G121" s="10" t="s">
        <v>697</v>
      </c>
      <c r="H121" s="11">
        <v>0</v>
      </c>
      <c r="I121" s="11">
        <v>0</v>
      </c>
      <c r="J121" s="11">
        <f t="shared" si="11"/>
        <v>0</v>
      </c>
      <c r="K121" s="12">
        <f t="shared" si="12"/>
        <v>0</v>
      </c>
      <c r="L121" s="12">
        <f t="shared" si="13"/>
        <v>0</v>
      </c>
    </row>
    <row r="122" spans="1:12" x14ac:dyDescent="0.3">
      <c r="A122" s="9" t="s">
        <v>158</v>
      </c>
      <c r="B122" s="10" t="s">
        <v>516</v>
      </c>
      <c r="C122" s="10" t="s">
        <v>22</v>
      </c>
      <c r="D122" s="10" t="s">
        <v>40</v>
      </c>
      <c r="E122" s="10" t="s">
        <v>693</v>
      </c>
      <c r="F122" s="10" t="s">
        <v>694</v>
      </c>
      <c r="G122" s="10" t="s">
        <v>698</v>
      </c>
      <c r="H122" s="11">
        <v>0</v>
      </c>
      <c r="I122" s="11">
        <v>0</v>
      </c>
      <c r="J122" s="11">
        <f t="shared" si="11"/>
        <v>0</v>
      </c>
      <c r="K122" s="12">
        <f t="shared" si="12"/>
        <v>0</v>
      </c>
      <c r="L122" s="12">
        <f t="shared" si="13"/>
        <v>0</v>
      </c>
    </row>
    <row r="123" spans="1:12" x14ac:dyDescent="0.3">
      <c r="A123" s="9" t="s">
        <v>115</v>
      </c>
      <c r="B123" s="10" t="s">
        <v>484</v>
      </c>
      <c r="C123" s="10" t="s">
        <v>22</v>
      </c>
      <c r="D123" s="10" t="s">
        <v>40</v>
      </c>
      <c r="E123" s="10" t="s">
        <v>693</v>
      </c>
      <c r="F123" s="10" t="s">
        <v>694</v>
      </c>
      <c r="G123" s="10" t="s">
        <v>698</v>
      </c>
      <c r="H123" s="11">
        <v>0</v>
      </c>
      <c r="I123" s="11">
        <v>0</v>
      </c>
      <c r="J123" s="11">
        <f t="shared" si="11"/>
        <v>0</v>
      </c>
      <c r="K123" s="12">
        <f t="shared" si="12"/>
        <v>0</v>
      </c>
      <c r="L123" s="12">
        <f t="shared" si="13"/>
        <v>0</v>
      </c>
    </row>
    <row r="124" spans="1:12" x14ac:dyDescent="0.3">
      <c r="A124" s="9" t="s">
        <v>61</v>
      </c>
      <c r="B124" s="10" t="s">
        <v>432</v>
      </c>
      <c r="C124" s="10" t="s">
        <v>22</v>
      </c>
      <c r="D124" s="10" t="s">
        <v>48</v>
      </c>
      <c r="E124" s="10" t="s">
        <v>693</v>
      </c>
      <c r="F124" s="10" t="s">
        <v>694</v>
      </c>
      <c r="G124" s="10" t="s">
        <v>699</v>
      </c>
      <c r="H124" s="11">
        <v>2</v>
      </c>
      <c r="I124" s="11">
        <v>0</v>
      </c>
      <c r="J124" s="11">
        <f t="shared" si="11"/>
        <v>0</v>
      </c>
      <c r="K124" s="12">
        <f t="shared" si="12"/>
        <v>0</v>
      </c>
      <c r="L124" s="12">
        <f t="shared" si="13"/>
        <v>0</v>
      </c>
    </row>
    <row r="125" spans="1:12" x14ac:dyDescent="0.3">
      <c r="A125" s="9" t="s">
        <v>160</v>
      </c>
      <c r="B125" s="10" t="s">
        <v>518</v>
      </c>
      <c r="C125" s="10" t="s">
        <v>22</v>
      </c>
      <c r="D125" s="10" t="s">
        <v>40</v>
      </c>
      <c r="E125" s="10" t="s">
        <v>693</v>
      </c>
      <c r="F125" s="10" t="s">
        <v>694</v>
      </c>
      <c r="G125" s="10" t="s">
        <v>698</v>
      </c>
      <c r="H125" s="11">
        <v>0</v>
      </c>
      <c r="I125" s="11">
        <v>0</v>
      </c>
      <c r="J125" s="11">
        <f t="shared" si="11"/>
        <v>0</v>
      </c>
      <c r="K125" s="12">
        <f t="shared" si="12"/>
        <v>0</v>
      </c>
      <c r="L125" s="12">
        <f t="shared" si="13"/>
        <v>0</v>
      </c>
    </row>
    <row r="126" spans="1:12" x14ac:dyDescent="0.3">
      <c r="A126" s="9" t="s">
        <v>287</v>
      </c>
      <c r="B126" s="10" t="s">
        <v>642</v>
      </c>
      <c r="C126" s="10" t="s">
        <v>20</v>
      </c>
      <c r="D126" s="10" t="s">
        <v>34</v>
      </c>
      <c r="E126" s="10" t="s">
        <v>708</v>
      </c>
      <c r="F126" s="10" t="s">
        <v>694</v>
      </c>
      <c r="G126" s="10" t="s">
        <v>697</v>
      </c>
      <c r="H126" s="11">
        <v>0</v>
      </c>
      <c r="I126" s="11">
        <v>0</v>
      </c>
      <c r="J126" s="11">
        <f t="shared" si="11"/>
        <v>0</v>
      </c>
      <c r="K126" s="12">
        <f t="shared" si="12"/>
        <v>0</v>
      </c>
      <c r="L126" s="12">
        <f t="shared" si="13"/>
        <v>0</v>
      </c>
    </row>
    <row r="127" spans="1:12" x14ac:dyDescent="0.3">
      <c r="A127" s="9" t="s">
        <v>159</v>
      </c>
      <c r="B127" s="10" t="s">
        <v>517</v>
      </c>
      <c r="C127" s="10" t="s">
        <v>20</v>
      </c>
      <c r="D127" s="10" t="s">
        <v>34</v>
      </c>
      <c r="E127" s="10" t="s">
        <v>693</v>
      </c>
      <c r="F127" s="10" t="s">
        <v>694</v>
      </c>
      <c r="G127" s="10" t="s">
        <v>697</v>
      </c>
      <c r="H127" s="11">
        <v>0</v>
      </c>
      <c r="I127" s="11">
        <v>0</v>
      </c>
      <c r="J127" s="11">
        <f t="shared" si="11"/>
        <v>0</v>
      </c>
      <c r="K127" s="12">
        <f t="shared" si="12"/>
        <v>0</v>
      </c>
      <c r="L127" s="12">
        <f t="shared" si="13"/>
        <v>0</v>
      </c>
    </row>
    <row r="128" spans="1:12" x14ac:dyDescent="0.3">
      <c r="A128" s="9" t="s">
        <v>29</v>
      </c>
      <c r="B128" s="10" t="s">
        <v>410</v>
      </c>
      <c r="C128" s="10" t="s">
        <v>20</v>
      </c>
      <c r="D128" s="10" t="s">
        <v>38</v>
      </c>
      <c r="E128" s="10" t="s">
        <v>693</v>
      </c>
      <c r="F128" s="10" t="s">
        <v>694</v>
      </c>
      <c r="G128" s="10" t="s">
        <v>696</v>
      </c>
      <c r="H128" s="11">
        <v>0</v>
      </c>
      <c r="I128" s="11">
        <v>0</v>
      </c>
      <c r="J128" s="11">
        <f t="shared" si="11"/>
        <v>0</v>
      </c>
      <c r="K128" s="12">
        <f t="shared" si="12"/>
        <v>0</v>
      </c>
      <c r="L128" s="12">
        <f t="shared" si="13"/>
        <v>0</v>
      </c>
    </row>
    <row r="129" spans="1:12" x14ac:dyDescent="0.3">
      <c r="A129" s="9" t="s">
        <v>55</v>
      </c>
      <c r="B129" s="10" t="s">
        <v>426</v>
      </c>
      <c r="C129" s="10" t="s">
        <v>20</v>
      </c>
      <c r="D129" s="10" t="s">
        <v>36</v>
      </c>
      <c r="E129" s="10" t="s">
        <v>693</v>
      </c>
      <c r="F129" s="10" t="s">
        <v>694</v>
      </c>
      <c r="G129" s="10" t="s">
        <v>697</v>
      </c>
      <c r="H129" s="11">
        <v>2</v>
      </c>
      <c r="I129" s="11">
        <v>0</v>
      </c>
      <c r="J129" s="11">
        <f t="shared" si="11"/>
        <v>0</v>
      </c>
      <c r="K129" s="12">
        <f t="shared" si="12"/>
        <v>0</v>
      </c>
      <c r="L129" s="12">
        <f t="shared" si="13"/>
        <v>0</v>
      </c>
    </row>
    <row r="130" spans="1:12" x14ac:dyDescent="0.3">
      <c r="A130" s="9" t="s">
        <v>193</v>
      </c>
      <c r="B130" s="10" t="s">
        <v>551</v>
      </c>
      <c r="C130" s="10" t="s">
        <v>22</v>
      </c>
      <c r="D130" s="10" t="s">
        <v>44</v>
      </c>
      <c r="E130" s="10" t="s">
        <v>693</v>
      </c>
      <c r="F130" s="10" t="s">
        <v>694</v>
      </c>
      <c r="G130" s="10" t="s">
        <v>698</v>
      </c>
      <c r="H130" s="11">
        <v>0</v>
      </c>
      <c r="I130" s="11">
        <v>0</v>
      </c>
      <c r="J130" s="11">
        <f t="shared" si="11"/>
        <v>0</v>
      </c>
      <c r="K130" s="12">
        <f t="shared" si="12"/>
        <v>0</v>
      </c>
      <c r="L130" s="12">
        <f t="shared" si="13"/>
        <v>0</v>
      </c>
    </row>
    <row r="131" spans="1:12" x14ac:dyDescent="0.3">
      <c r="A131" s="9" t="s">
        <v>220</v>
      </c>
      <c r="B131" s="10" t="s">
        <v>578</v>
      </c>
      <c r="C131" s="10" t="s">
        <v>20</v>
      </c>
      <c r="D131" s="10" t="s">
        <v>30</v>
      </c>
      <c r="E131" s="10" t="s">
        <v>693</v>
      </c>
      <c r="F131" s="10" t="s">
        <v>694</v>
      </c>
      <c r="G131" s="10" t="s">
        <v>696</v>
      </c>
      <c r="H131" s="11">
        <v>0</v>
      </c>
      <c r="I131" s="11">
        <v>0</v>
      </c>
      <c r="J131" s="11">
        <f t="shared" si="11"/>
        <v>0</v>
      </c>
      <c r="K131" s="12">
        <f t="shared" si="12"/>
        <v>0</v>
      </c>
      <c r="L131" s="12">
        <f t="shared" si="13"/>
        <v>0</v>
      </c>
    </row>
    <row r="132" spans="1:12" x14ac:dyDescent="0.3">
      <c r="A132" s="9" t="s">
        <v>222</v>
      </c>
      <c r="B132" s="10" t="s">
        <v>580</v>
      </c>
      <c r="C132" s="10" t="s">
        <v>20</v>
      </c>
      <c r="D132" s="10" t="s">
        <v>36</v>
      </c>
      <c r="E132" s="10" t="s">
        <v>693</v>
      </c>
      <c r="F132" s="10" t="s">
        <v>694</v>
      </c>
      <c r="G132" s="10" t="s">
        <v>697</v>
      </c>
      <c r="H132" s="11">
        <v>0</v>
      </c>
      <c r="I132" s="11">
        <v>0</v>
      </c>
      <c r="J132" s="11">
        <f t="shared" si="11"/>
        <v>0</v>
      </c>
      <c r="K132" s="12">
        <f t="shared" si="12"/>
        <v>0</v>
      </c>
      <c r="L132" s="12">
        <f t="shared" si="13"/>
        <v>0</v>
      </c>
    </row>
    <row r="133" spans="1:12" x14ac:dyDescent="0.3">
      <c r="A133" s="5" t="s">
        <v>24</v>
      </c>
      <c r="B133" s="8"/>
      <c r="C133" s="8"/>
      <c r="D133" s="8"/>
      <c r="E133" s="8"/>
      <c r="F133" s="8"/>
      <c r="G133" s="8"/>
      <c r="H133" s="13">
        <f>SUM(H5:H132)</f>
        <v>45</v>
      </c>
      <c r="I133" s="13">
        <f>SUM(I5:I132)</f>
        <v>0</v>
      </c>
      <c r="J133" s="13">
        <f>SUM(J5:J132)</f>
        <v>0</v>
      </c>
      <c r="K133" s="14">
        <f t="shared" si="12"/>
        <v>0</v>
      </c>
      <c r="L133" s="14">
        <f t="shared" si="13"/>
        <v>0</v>
      </c>
    </row>
    <row r="146" spans="1:20" s="16" customFormat="1" ht="23.35" customHeight="1" x14ac:dyDescent="0.3">
      <c r="A146"/>
      <c r="B146"/>
      <c r="C146"/>
      <c r="D146"/>
      <c r="E146"/>
      <c r="F146"/>
      <c r="G146"/>
      <c r="H146"/>
      <c r="I146"/>
      <c r="J146"/>
      <c r="K146"/>
      <c r="L146"/>
      <c r="O146"/>
      <c r="P146"/>
      <c r="Q146"/>
      <c r="R146"/>
      <c r="S146"/>
      <c r="T146"/>
    </row>
  </sheetData>
  <autoFilter ref="A4:L133" xr:uid="{7112F136-7E13-4E11-908D-A58E5915C6DC}"/>
  <mergeCells count="2">
    <mergeCell ref="A3:L3"/>
    <mergeCell ref="O3:T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523B-0D65-4210-84C6-AD6BE4BF377B}">
  <dimension ref="A1:R151"/>
  <sheetViews>
    <sheetView showGridLines="0" zoomScale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1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9" width="19.44140625" customWidth="1"/>
    <col min="12" max="13" width="25.44140625" hidden="1" customWidth="1"/>
    <col min="14" max="14" width="19.77734375" hidden="1" customWidth="1"/>
    <col min="15" max="15" width="0" hidden="1" customWidth="1"/>
    <col min="16" max="16" width="23" hidden="1" customWidth="1"/>
    <col min="17" max="17" width="16.21875" hidden="1" customWidth="1"/>
    <col min="18" max="18" width="13.44140625" hidden="1" customWidth="1"/>
    <col min="19" max="19" width="0" hidden="1" customWidth="1"/>
    <col min="24" max="31" width="0" hidden="1" customWidth="1"/>
    <col min="36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18" x14ac:dyDescent="0.3">
      <c r="A1" s="1">
        <v>29</v>
      </c>
      <c r="G1" s="16"/>
      <c r="H1" s="16"/>
      <c r="I1" s="16"/>
    </row>
    <row r="2" spans="1:18" x14ac:dyDescent="0.3">
      <c r="A2" s="17"/>
      <c r="B2" s="17"/>
    </row>
    <row r="3" spans="1:18" s="4" customFormat="1" ht="23.5" customHeight="1" x14ac:dyDescent="0.3">
      <c r="A3" s="2" t="str">
        <f>"HUAWEI MATEPAD (12 - "&amp;A1&amp;" SEPTEMBER 2026)"</f>
        <v>HUAWEI MATEPAD (12 - 29 SEPTEMBER 2026)</v>
      </c>
      <c r="B3" s="2"/>
      <c r="C3" s="2"/>
      <c r="D3" s="2"/>
      <c r="E3" s="2"/>
      <c r="F3" s="2"/>
      <c r="G3" s="2"/>
      <c r="H3" s="2"/>
      <c r="I3" s="2"/>
      <c r="L3" s="2" t="str">
        <f>A3</f>
        <v>HUAWEI MATEPAD (12 - 29 SEPTEMBER 2026)</v>
      </c>
      <c r="M3" s="2"/>
      <c r="N3" s="2"/>
      <c r="P3" s="2" t="str">
        <f>A3</f>
        <v>HUAWEI MATEPAD (12 - 29 SEPTEMBER 2026)</v>
      </c>
      <c r="Q3" s="2"/>
      <c r="R3" s="2"/>
    </row>
    <row r="4" spans="1:18" s="22" customFormat="1" ht="40.1" customHeight="1" x14ac:dyDescent="0.3">
      <c r="A4" s="20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7" t="s">
        <v>384</v>
      </c>
      <c r="I4" s="7" t="s">
        <v>385</v>
      </c>
      <c r="L4" s="7" t="s">
        <v>2</v>
      </c>
      <c r="M4" s="7" t="s">
        <v>384</v>
      </c>
      <c r="N4" s="7" t="s">
        <v>385</v>
      </c>
      <c r="P4" s="8" t="s">
        <v>3</v>
      </c>
      <c r="Q4" s="7" t="s">
        <v>384</v>
      </c>
      <c r="R4" s="7" t="s">
        <v>385</v>
      </c>
    </row>
    <row r="5" spans="1:18" x14ac:dyDescent="0.3">
      <c r="A5" s="9" t="s">
        <v>56</v>
      </c>
      <c r="B5" s="10" t="s">
        <v>427</v>
      </c>
      <c r="C5" s="10" t="s">
        <v>22</v>
      </c>
      <c r="D5" s="10" t="s">
        <v>48</v>
      </c>
      <c r="E5" s="10" t="s">
        <v>693</v>
      </c>
      <c r="F5" s="10" t="s">
        <v>694</v>
      </c>
      <c r="G5" s="10" t="s">
        <v>699</v>
      </c>
      <c r="H5" s="11">
        <v>0</v>
      </c>
      <c r="I5" s="11">
        <v>0</v>
      </c>
      <c r="L5" s="10" t="s">
        <v>20</v>
      </c>
      <c r="M5" s="11">
        <f t="shared" ref="M5:N7" si="0">SUMIF($C:$C,$L5,H:H)</f>
        <v>6</v>
      </c>
      <c r="N5" s="11">
        <f t="shared" si="0"/>
        <v>0</v>
      </c>
      <c r="P5" s="10" t="s">
        <v>28</v>
      </c>
      <c r="Q5" s="11">
        <f t="shared" ref="Q5:R17" si="1">SUMIF($D:$D,$P5,H:H)</f>
        <v>0</v>
      </c>
      <c r="R5" s="11">
        <f t="shared" si="1"/>
        <v>0</v>
      </c>
    </row>
    <row r="6" spans="1:18" x14ac:dyDescent="0.3">
      <c r="A6" s="9" t="s">
        <v>54</v>
      </c>
      <c r="B6" s="10" t="s">
        <v>425</v>
      </c>
      <c r="C6" s="10" t="s">
        <v>22</v>
      </c>
      <c r="D6" s="10" t="s">
        <v>48</v>
      </c>
      <c r="E6" s="10" t="s">
        <v>693</v>
      </c>
      <c r="F6" s="10" t="s">
        <v>694</v>
      </c>
      <c r="G6" s="10" t="s">
        <v>699</v>
      </c>
      <c r="H6" s="11">
        <v>0</v>
      </c>
      <c r="I6" s="11">
        <v>0</v>
      </c>
      <c r="L6" s="10" t="s">
        <v>22</v>
      </c>
      <c r="M6" s="11">
        <f t="shared" si="0"/>
        <v>8</v>
      </c>
      <c r="N6" s="11">
        <f t="shared" si="0"/>
        <v>0</v>
      </c>
      <c r="P6" s="10" t="s">
        <v>48</v>
      </c>
      <c r="Q6" s="11">
        <f t="shared" si="1"/>
        <v>2</v>
      </c>
      <c r="R6" s="11">
        <f t="shared" si="1"/>
        <v>0</v>
      </c>
    </row>
    <row r="7" spans="1:18" x14ac:dyDescent="0.3">
      <c r="A7" s="9" t="s">
        <v>161</v>
      </c>
      <c r="B7" s="10" t="s">
        <v>519</v>
      </c>
      <c r="C7" s="10" t="s">
        <v>22</v>
      </c>
      <c r="D7" s="10" t="s">
        <v>48</v>
      </c>
      <c r="E7" s="10" t="s">
        <v>693</v>
      </c>
      <c r="F7" s="10" t="s">
        <v>694</v>
      </c>
      <c r="G7" s="10" t="s">
        <v>699</v>
      </c>
      <c r="H7" s="11">
        <v>2</v>
      </c>
      <c r="I7" s="11">
        <v>0</v>
      </c>
      <c r="L7" s="10" t="s">
        <v>118</v>
      </c>
      <c r="M7" s="11">
        <f t="shared" si="0"/>
        <v>42</v>
      </c>
      <c r="N7" s="11">
        <f t="shared" si="0"/>
        <v>0</v>
      </c>
      <c r="P7" s="10" t="s">
        <v>42</v>
      </c>
      <c r="Q7" s="11">
        <f t="shared" si="1"/>
        <v>0</v>
      </c>
      <c r="R7" s="11">
        <f t="shared" si="1"/>
        <v>0</v>
      </c>
    </row>
    <row r="8" spans="1:18" x14ac:dyDescent="0.3">
      <c r="A8" s="9" t="s">
        <v>66</v>
      </c>
      <c r="B8" s="10" t="s">
        <v>436</v>
      </c>
      <c r="C8" s="10" t="s">
        <v>22</v>
      </c>
      <c r="D8" s="10" t="s">
        <v>42</v>
      </c>
      <c r="E8" s="10" t="s">
        <v>693</v>
      </c>
      <c r="F8" s="10" t="s">
        <v>694</v>
      </c>
      <c r="G8" s="10" t="s">
        <v>699</v>
      </c>
      <c r="H8" s="11">
        <v>0</v>
      </c>
      <c r="I8" s="11">
        <v>0</v>
      </c>
      <c r="L8" s="5" t="s">
        <v>67</v>
      </c>
      <c r="M8" s="13">
        <f>SUM(M5:M7)</f>
        <v>56</v>
      </c>
      <c r="N8" s="13">
        <f>SUM(N5:N7)</f>
        <v>0</v>
      </c>
      <c r="P8" s="10" t="s">
        <v>38</v>
      </c>
      <c r="Q8" s="11">
        <f t="shared" si="1"/>
        <v>2</v>
      </c>
      <c r="R8" s="11">
        <f t="shared" si="1"/>
        <v>0</v>
      </c>
    </row>
    <row r="9" spans="1:18" x14ac:dyDescent="0.3">
      <c r="A9" s="9" t="s">
        <v>249</v>
      </c>
      <c r="B9" s="10" t="s">
        <v>604</v>
      </c>
      <c r="C9" s="10" t="s">
        <v>22</v>
      </c>
      <c r="D9" s="10" t="s">
        <v>48</v>
      </c>
      <c r="E9" s="10" t="s">
        <v>707</v>
      </c>
      <c r="F9" s="10" t="s">
        <v>694</v>
      </c>
      <c r="G9" s="10" t="s">
        <v>699</v>
      </c>
      <c r="H9" s="11">
        <v>0</v>
      </c>
      <c r="I9" s="11">
        <v>0</v>
      </c>
      <c r="P9" s="10" t="s">
        <v>32</v>
      </c>
      <c r="Q9" s="11">
        <f t="shared" si="1"/>
        <v>0</v>
      </c>
      <c r="R9" s="11">
        <f t="shared" si="1"/>
        <v>0</v>
      </c>
    </row>
    <row r="10" spans="1:18" x14ac:dyDescent="0.3">
      <c r="A10" s="9" t="s">
        <v>41</v>
      </c>
      <c r="B10" s="10" t="s">
        <v>416</v>
      </c>
      <c r="C10" s="10" t="s">
        <v>22</v>
      </c>
      <c r="D10" s="10" t="s">
        <v>40</v>
      </c>
      <c r="E10" s="10" t="s">
        <v>693</v>
      </c>
      <c r="F10" s="10" t="s">
        <v>694</v>
      </c>
      <c r="G10" s="10" t="s">
        <v>698</v>
      </c>
      <c r="H10" s="11">
        <v>0</v>
      </c>
      <c r="I10" s="11">
        <v>0</v>
      </c>
      <c r="P10" s="10" t="s">
        <v>36</v>
      </c>
      <c r="Q10" s="11">
        <f t="shared" si="1"/>
        <v>0</v>
      </c>
      <c r="R10" s="11">
        <f t="shared" si="1"/>
        <v>0</v>
      </c>
    </row>
    <row r="11" spans="1:18" x14ac:dyDescent="0.3">
      <c r="A11" s="9" t="s">
        <v>35</v>
      </c>
      <c r="B11" s="10" t="s">
        <v>413</v>
      </c>
      <c r="C11" s="10" t="s">
        <v>22</v>
      </c>
      <c r="D11" s="10" t="s">
        <v>40</v>
      </c>
      <c r="E11" s="10" t="s">
        <v>693</v>
      </c>
      <c r="F11" s="10" t="s">
        <v>694</v>
      </c>
      <c r="G11" s="10" t="s">
        <v>698</v>
      </c>
      <c r="H11" s="11">
        <v>0</v>
      </c>
      <c r="I11" s="11">
        <v>0</v>
      </c>
      <c r="P11" s="10" t="s">
        <v>34</v>
      </c>
      <c r="Q11" s="11">
        <f t="shared" si="1"/>
        <v>4</v>
      </c>
      <c r="R11" s="11">
        <f t="shared" si="1"/>
        <v>0</v>
      </c>
    </row>
    <row r="12" spans="1:18" x14ac:dyDescent="0.3">
      <c r="A12" s="9" t="s">
        <v>53</v>
      </c>
      <c r="B12" s="10" t="s">
        <v>424</v>
      </c>
      <c r="C12" s="10" t="s">
        <v>22</v>
      </c>
      <c r="D12" s="10" t="s">
        <v>28</v>
      </c>
      <c r="E12" s="10" t="s">
        <v>693</v>
      </c>
      <c r="F12" s="10" t="s">
        <v>694</v>
      </c>
      <c r="G12" s="10" t="s">
        <v>695</v>
      </c>
      <c r="H12" s="11">
        <v>0</v>
      </c>
      <c r="I12" s="11">
        <v>0</v>
      </c>
      <c r="P12" s="10" t="s">
        <v>46</v>
      </c>
      <c r="Q12" s="11">
        <f t="shared" si="1"/>
        <v>1</v>
      </c>
      <c r="R12" s="11">
        <f t="shared" si="1"/>
        <v>0</v>
      </c>
    </row>
    <row r="13" spans="1:18" x14ac:dyDescent="0.3">
      <c r="A13" s="9" t="s">
        <v>57</v>
      </c>
      <c r="B13" s="10" t="s">
        <v>428</v>
      </c>
      <c r="C13" s="10" t="s">
        <v>22</v>
      </c>
      <c r="D13" s="10" t="s">
        <v>46</v>
      </c>
      <c r="E13" s="10" t="s">
        <v>693</v>
      </c>
      <c r="F13" s="10" t="s">
        <v>694</v>
      </c>
      <c r="G13" s="10" t="s">
        <v>700</v>
      </c>
      <c r="H13" s="11">
        <v>0</v>
      </c>
      <c r="I13" s="11">
        <v>0</v>
      </c>
      <c r="P13" s="10" t="s">
        <v>40</v>
      </c>
      <c r="Q13" s="11">
        <f t="shared" si="1"/>
        <v>0</v>
      </c>
      <c r="R13" s="11">
        <f t="shared" si="1"/>
        <v>0</v>
      </c>
    </row>
    <row r="14" spans="1:18" x14ac:dyDescent="0.3">
      <c r="A14" s="9" t="s">
        <v>60</v>
      </c>
      <c r="B14" s="10" t="s">
        <v>431</v>
      </c>
      <c r="C14" s="10" t="s">
        <v>22</v>
      </c>
      <c r="D14" s="10" t="s">
        <v>46</v>
      </c>
      <c r="E14" s="10" t="s">
        <v>693</v>
      </c>
      <c r="F14" s="10" t="s">
        <v>694</v>
      </c>
      <c r="G14" s="10" t="s">
        <v>700</v>
      </c>
      <c r="H14" s="11">
        <v>0</v>
      </c>
      <c r="I14" s="11">
        <v>0</v>
      </c>
      <c r="P14" s="10" t="s">
        <v>30</v>
      </c>
      <c r="Q14" s="11">
        <f t="shared" si="1"/>
        <v>0</v>
      </c>
      <c r="R14" s="11">
        <f t="shared" si="1"/>
        <v>0</v>
      </c>
    </row>
    <row r="15" spans="1:18" x14ac:dyDescent="0.3">
      <c r="A15" s="9" t="s">
        <v>49</v>
      </c>
      <c r="B15" s="10" t="s">
        <v>420</v>
      </c>
      <c r="C15" s="10" t="s">
        <v>22</v>
      </c>
      <c r="D15" s="10" t="s">
        <v>46</v>
      </c>
      <c r="E15" s="10" t="s">
        <v>693</v>
      </c>
      <c r="F15" s="10" t="s">
        <v>694</v>
      </c>
      <c r="G15" s="10" t="s">
        <v>700</v>
      </c>
      <c r="H15" s="11">
        <v>1</v>
      </c>
      <c r="I15" s="11">
        <v>0</v>
      </c>
      <c r="P15" s="10" t="s">
        <v>44</v>
      </c>
      <c r="Q15" s="11">
        <f t="shared" si="1"/>
        <v>5</v>
      </c>
      <c r="R15" s="11">
        <f t="shared" si="1"/>
        <v>0</v>
      </c>
    </row>
    <row r="16" spans="1:18" x14ac:dyDescent="0.3">
      <c r="A16" s="9" t="s">
        <v>52</v>
      </c>
      <c r="B16" s="10" t="s">
        <v>423</v>
      </c>
      <c r="C16" s="10" t="s">
        <v>22</v>
      </c>
      <c r="D16" s="10" t="s">
        <v>46</v>
      </c>
      <c r="E16" s="10" t="s">
        <v>693</v>
      </c>
      <c r="F16" s="10" t="s">
        <v>694</v>
      </c>
      <c r="G16" s="10" t="s">
        <v>700</v>
      </c>
      <c r="H16" s="11">
        <v>0</v>
      </c>
      <c r="I16" s="11">
        <v>0</v>
      </c>
      <c r="P16" s="10" t="s">
        <v>138</v>
      </c>
      <c r="Q16" s="11">
        <f t="shared" si="1"/>
        <v>18</v>
      </c>
      <c r="R16" s="11">
        <f t="shared" si="1"/>
        <v>0</v>
      </c>
    </row>
    <row r="17" spans="1:18" x14ac:dyDescent="0.3">
      <c r="A17" s="9" t="s">
        <v>121</v>
      </c>
      <c r="B17" s="10" t="s">
        <v>488</v>
      </c>
      <c r="C17" s="10" t="s">
        <v>20</v>
      </c>
      <c r="D17" s="10" t="s">
        <v>36</v>
      </c>
      <c r="E17" s="10" t="s">
        <v>693</v>
      </c>
      <c r="F17" s="10" t="s">
        <v>694</v>
      </c>
      <c r="G17" s="10" t="s">
        <v>697</v>
      </c>
      <c r="H17" s="11">
        <v>0</v>
      </c>
      <c r="I17" s="11">
        <v>0</v>
      </c>
      <c r="P17" s="10" t="s">
        <v>123</v>
      </c>
      <c r="Q17" s="11">
        <f t="shared" si="1"/>
        <v>24</v>
      </c>
      <c r="R17" s="11">
        <f t="shared" si="1"/>
        <v>0</v>
      </c>
    </row>
    <row r="18" spans="1:18" x14ac:dyDescent="0.3">
      <c r="A18" s="9" t="s">
        <v>59</v>
      </c>
      <c r="B18" s="10" t="s">
        <v>430</v>
      </c>
      <c r="C18" s="10" t="s">
        <v>20</v>
      </c>
      <c r="D18" s="10" t="s">
        <v>36</v>
      </c>
      <c r="E18" s="10" t="s">
        <v>693</v>
      </c>
      <c r="F18" s="10" t="s">
        <v>694</v>
      </c>
      <c r="G18" s="10" t="s">
        <v>697</v>
      </c>
      <c r="H18" s="11">
        <v>0</v>
      </c>
      <c r="I18" s="11">
        <v>0</v>
      </c>
      <c r="P18" s="5" t="s">
        <v>67</v>
      </c>
      <c r="Q18" s="13">
        <f>SUM(Q5:Q17)</f>
        <v>56</v>
      </c>
      <c r="R18" s="13">
        <f>SUM(R5:R17)</f>
        <v>0</v>
      </c>
    </row>
    <row r="19" spans="1:18" x14ac:dyDescent="0.3">
      <c r="A19" s="9" t="s">
        <v>120</v>
      </c>
      <c r="B19" s="10" t="s">
        <v>487</v>
      </c>
      <c r="C19" s="10" t="s">
        <v>20</v>
      </c>
      <c r="D19" s="10" t="s">
        <v>36</v>
      </c>
      <c r="E19" s="10" t="s">
        <v>693</v>
      </c>
      <c r="F19" s="10" t="s">
        <v>694</v>
      </c>
      <c r="G19" s="10" t="s">
        <v>697</v>
      </c>
      <c r="H19" s="11">
        <v>0</v>
      </c>
      <c r="I19" s="11">
        <v>0</v>
      </c>
    </row>
    <row r="20" spans="1:18" x14ac:dyDescent="0.3">
      <c r="A20" s="9" t="s">
        <v>250</v>
      </c>
      <c r="B20" s="10" t="s">
        <v>605</v>
      </c>
      <c r="C20" s="10" t="s">
        <v>20</v>
      </c>
      <c r="D20" s="10" t="s">
        <v>36</v>
      </c>
      <c r="E20" s="10" t="s">
        <v>708</v>
      </c>
      <c r="F20" s="10" t="s">
        <v>694</v>
      </c>
      <c r="G20" s="10" t="s">
        <v>697</v>
      </c>
      <c r="H20" s="11">
        <v>0</v>
      </c>
      <c r="I20" s="11">
        <v>0</v>
      </c>
    </row>
    <row r="21" spans="1:18" x14ac:dyDescent="0.3">
      <c r="A21" s="9" t="s">
        <v>21</v>
      </c>
      <c r="B21" s="10" t="s">
        <v>405</v>
      </c>
      <c r="C21" s="10" t="s">
        <v>20</v>
      </c>
      <c r="D21" s="10" t="s">
        <v>30</v>
      </c>
      <c r="E21" s="10" t="s">
        <v>693</v>
      </c>
      <c r="F21" s="10" t="s">
        <v>694</v>
      </c>
      <c r="G21" s="10" t="s">
        <v>696</v>
      </c>
      <c r="H21" s="11">
        <v>0</v>
      </c>
      <c r="I21" s="11">
        <v>0</v>
      </c>
    </row>
    <row r="22" spans="1:18" x14ac:dyDescent="0.3">
      <c r="A22" s="9" t="s">
        <v>23</v>
      </c>
      <c r="B22" s="10" t="s">
        <v>406</v>
      </c>
      <c r="C22" s="10" t="s">
        <v>20</v>
      </c>
      <c r="D22" s="10" t="s">
        <v>30</v>
      </c>
      <c r="E22" s="10" t="s">
        <v>693</v>
      </c>
      <c r="F22" s="10" t="s">
        <v>694</v>
      </c>
      <c r="G22" s="10" t="s">
        <v>696</v>
      </c>
      <c r="H22" s="11">
        <v>0</v>
      </c>
      <c r="I22" s="11">
        <v>0</v>
      </c>
    </row>
    <row r="23" spans="1:18" x14ac:dyDescent="0.3">
      <c r="A23" s="9" t="s">
        <v>33</v>
      </c>
      <c r="B23" s="10" t="s">
        <v>412</v>
      </c>
      <c r="C23" s="10" t="s">
        <v>20</v>
      </c>
      <c r="D23" s="10" t="s">
        <v>30</v>
      </c>
      <c r="E23" s="10" t="s">
        <v>693</v>
      </c>
      <c r="F23" s="10" t="s">
        <v>694</v>
      </c>
      <c r="G23" s="10" t="s">
        <v>696</v>
      </c>
      <c r="H23" s="11">
        <v>0</v>
      </c>
      <c r="I23" s="11">
        <v>0</v>
      </c>
    </row>
    <row r="24" spans="1:18" x14ac:dyDescent="0.3">
      <c r="A24" s="9" t="s">
        <v>163</v>
      </c>
      <c r="B24" s="10" t="s">
        <v>521</v>
      </c>
      <c r="C24" s="10" t="s">
        <v>118</v>
      </c>
      <c r="D24" s="10" t="s">
        <v>123</v>
      </c>
      <c r="E24" s="10" t="s">
        <v>702</v>
      </c>
      <c r="F24" s="10" t="s">
        <v>694</v>
      </c>
      <c r="G24" s="10" t="s">
        <v>696</v>
      </c>
      <c r="H24" s="11">
        <v>8</v>
      </c>
      <c r="I24" s="11">
        <v>0</v>
      </c>
    </row>
    <row r="25" spans="1:18" x14ac:dyDescent="0.3">
      <c r="A25" s="9" t="s">
        <v>251</v>
      </c>
      <c r="B25" s="10" t="s">
        <v>606</v>
      </c>
      <c r="C25" s="10" t="s">
        <v>20</v>
      </c>
      <c r="D25" s="10" t="s">
        <v>30</v>
      </c>
      <c r="E25" s="10" t="s">
        <v>707</v>
      </c>
      <c r="F25" s="10" t="s">
        <v>694</v>
      </c>
      <c r="G25" s="10" t="s">
        <v>696</v>
      </c>
      <c r="H25" s="11">
        <v>0</v>
      </c>
      <c r="I25" s="11">
        <v>0</v>
      </c>
    </row>
    <row r="26" spans="1:18" x14ac:dyDescent="0.3">
      <c r="A26" s="9" t="s">
        <v>25</v>
      </c>
      <c r="B26" s="10" t="s">
        <v>407</v>
      </c>
      <c r="C26" s="10" t="s">
        <v>20</v>
      </c>
      <c r="D26" s="10" t="s">
        <v>32</v>
      </c>
      <c r="E26" s="10" t="s">
        <v>693</v>
      </c>
      <c r="F26" s="10" t="s">
        <v>694</v>
      </c>
      <c r="G26" s="10" t="s">
        <v>696</v>
      </c>
      <c r="H26" s="11">
        <v>0</v>
      </c>
      <c r="I26" s="11">
        <v>0</v>
      </c>
    </row>
    <row r="27" spans="1:18" x14ac:dyDescent="0.3">
      <c r="A27" s="9" t="s">
        <v>31</v>
      </c>
      <c r="B27" s="10" t="s">
        <v>411</v>
      </c>
      <c r="C27" s="10" t="s">
        <v>20</v>
      </c>
      <c r="D27" s="10" t="s">
        <v>32</v>
      </c>
      <c r="E27" s="10" t="s">
        <v>693</v>
      </c>
      <c r="F27" s="10" t="s">
        <v>694</v>
      </c>
      <c r="G27" s="10" t="s">
        <v>696</v>
      </c>
      <c r="H27" s="11">
        <v>0</v>
      </c>
      <c r="I27" s="11">
        <v>0</v>
      </c>
    </row>
    <row r="28" spans="1:18" x14ac:dyDescent="0.3">
      <c r="A28" s="9" t="s">
        <v>47</v>
      </c>
      <c r="B28" s="10" t="s">
        <v>419</v>
      </c>
      <c r="C28" s="10" t="s">
        <v>20</v>
      </c>
      <c r="D28" s="10" t="s">
        <v>38</v>
      </c>
      <c r="E28" s="10" t="s">
        <v>693</v>
      </c>
      <c r="F28" s="10" t="s">
        <v>694</v>
      </c>
      <c r="G28" s="10" t="s">
        <v>696</v>
      </c>
      <c r="H28" s="11">
        <v>2</v>
      </c>
      <c r="I28" s="11">
        <v>0</v>
      </c>
    </row>
    <row r="29" spans="1:18" x14ac:dyDescent="0.3">
      <c r="A29" s="9" t="s">
        <v>117</v>
      </c>
      <c r="B29" s="10" t="s">
        <v>485</v>
      </c>
      <c r="C29" s="10" t="s">
        <v>20</v>
      </c>
      <c r="D29" s="10" t="s">
        <v>38</v>
      </c>
      <c r="E29" s="10" t="s">
        <v>693</v>
      </c>
      <c r="F29" s="10" t="s">
        <v>694</v>
      </c>
      <c r="G29" s="10" t="s">
        <v>696</v>
      </c>
      <c r="H29" s="11">
        <v>0</v>
      </c>
      <c r="I29" s="11">
        <v>0</v>
      </c>
    </row>
    <row r="30" spans="1:18" x14ac:dyDescent="0.3">
      <c r="A30" s="9" t="s">
        <v>240</v>
      </c>
      <c r="B30" s="10" t="s">
        <v>596</v>
      </c>
      <c r="C30" s="10" t="s">
        <v>20</v>
      </c>
      <c r="D30" s="10" t="s">
        <v>38</v>
      </c>
      <c r="E30" s="10" t="s">
        <v>707</v>
      </c>
      <c r="F30" s="10" t="s">
        <v>694</v>
      </c>
      <c r="G30" s="10" t="s">
        <v>696</v>
      </c>
      <c r="H30" s="11">
        <v>0</v>
      </c>
      <c r="I30" s="11">
        <v>0</v>
      </c>
    </row>
    <row r="31" spans="1:18" x14ac:dyDescent="0.3">
      <c r="A31" s="9" t="s">
        <v>252</v>
      </c>
      <c r="B31" s="10" t="s">
        <v>607</v>
      </c>
      <c r="C31" s="10" t="s">
        <v>20</v>
      </c>
      <c r="D31" s="10" t="s">
        <v>38</v>
      </c>
      <c r="E31" s="10" t="s">
        <v>707</v>
      </c>
      <c r="F31" s="10" t="s">
        <v>694</v>
      </c>
      <c r="G31" s="10" t="s">
        <v>696</v>
      </c>
      <c r="H31" s="11">
        <v>0</v>
      </c>
      <c r="I31" s="11">
        <v>0</v>
      </c>
    </row>
    <row r="32" spans="1:18" x14ac:dyDescent="0.3">
      <c r="A32" s="9" t="s">
        <v>130</v>
      </c>
      <c r="B32" s="10" t="s">
        <v>494</v>
      </c>
      <c r="C32" s="10" t="s">
        <v>22</v>
      </c>
      <c r="D32" s="10" t="s">
        <v>42</v>
      </c>
      <c r="E32" s="10" t="s">
        <v>693</v>
      </c>
      <c r="F32" s="10" t="s">
        <v>694</v>
      </c>
      <c r="G32" s="10" t="s">
        <v>699</v>
      </c>
      <c r="H32" s="11">
        <v>0</v>
      </c>
      <c r="I32" s="11">
        <v>0</v>
      </c>
    </row>
    <row r="33" spans="1:9" x14ac:dyDescent="0.3">
      <c r="A33" s="9" t="s">
        <v>124</v>
      </c>
      <c r="B33" s="10" t="s">
        <v>490</v>
      </c>
      <c r="C33" s="10" t="s">
        <v>22</v>
      </c>
      <c r="D33" s="10" t="s">
        <v>42</v>
      </c>
      <c r="E33" s="10" t="s">
        <v>693</v>
      </c>
      <c r="F33" s="10" t="s">
        <v>694</v>
      </c>
      <c r="G33" s="10" t="s">
        <v>699</v>
      </c>
      <c r="H33" s="11">
        <v>0</v>
      </c>
      <c r="I33" s="11">
        <v>0</v>
      </c>
    </row>
    <row r="34" spans="1:9" x14ac:dyDescent="0.3">
      <c r="A34" s="9" t="s">
        <v>63</v>
      </c>
      <c r="B34" s="10" t="s">
        <v>434</v>
      </c>
      <c r="C34" s="10" t="s">
        <v>22</v>
      </c>
      <c r="D34" s="10" t="s">
        <v>42</v>
      </c>
      <c r="E34" s="10" t="s">
        <v>693</v>
      </c>
      <c r="F34" s="10" t="s">
        <v>694</v>
      </c>
      <c r="G34" s="10" t="s">
        <v>699</v>
      </c>
      <c r="H34" s="11">
        <v>0</v>
      </c>
      <c r="I34" s="11">
        <v>0</v>
      </c>
    </row>
    <row r="35" spans="1:9" x14ac:dyDescent="0.3">
      <c r="A35" s="9" t="s">
        <v>43</v>
      </c>
      <c r="B35" s="10" t="s">
        <v>417</v>
      </c>
      <c r="C35" s="10" t="s">
        <v>22</v>
      </c>
      <c r="D35" s="10" t="s">
        <v>44</v>
      </c>
      <c r="E35" s="10" t="s">
        <v>693</v>
      </c>
      <c r="F35" s="10" t="s">
        <v>694</v>
      </c>
      <c r="G35" s="10" t="s">
        <v>698</v>
      </c>
      <c r="H35" s="11">
        <v>4</v>
      </c>
      <c r="I35" s="11">
        <v>0</v>
      </c>
    </row>
    <row r="36" spans="1:9" x14ac:dyDescent="0.3">
      <c r="A36" s="9" t="s">
        <v>164</v>
      </c>
      <c r="B36" s="10" t="s">
        <v>522</v>
      </c>
      <c r="C36" s="10" t="s">
        <v>118</v>
      </c>
      <c r="D36" s="10" t="s">
        <v>138</v>
      </c>
      <c r="E36" s="10" t="s">
        <v>702</v>
      </c>
      <c r="F36" s="10" t="s">
        <v>694</v>
      </c>
      <c r="G36" s="10" t="s">
        <v>698</v>
      </c>
      <c r="H36" s="11">
        <v>18</v>
      </c>
      <c r="I36" s="11">
        <v>0</v>
      </c>
    </row>
    <row r="37" spans="1:9" x14ac:dyDescent="0.3">
      <c r="A37" s="9" t="s">
        <v>122</v>
      </c>
      <c r="B37" s="10" t="s">
        <v>489</v>
      </c>
      <c r="C37" s="10" t="s">
        <v>22</v>
      </c>
      <c r="D37" s="10" t="s">
        <v>44</v>
      </c>
      <c r="E37" s="10" t="s">
        <v>693</v>
      </c>
      <c r="F37" s="10" t="s">
        <v>694</v>
      </c>
      <c r="G37" s="10" t="s">
        <v>698</v>
      </c>
      <c r="H37" s="11">
        <v>0</v>
      </c>
      <c r="I37" s="11">
        <v>0</v>
      </c>
    </row>
    <row r="38" spans="1:9" x14ac:dyDescent="0.3">
      <c r="A38" s="9" t="s">
        <v>45</v>
      </c>
      <c r="B38" s="10" t="s">
        <v>418</v>
      </c>
      <c r="C38" s="10" t="s">
        <v>22</v>
      </c>
      <c r="D38" s="10" t="s">
        <v>44</v>
      </c>
      <c r="E38" s="10" t="s">
        <v>693</v>
      </c>
      <c r="F38" s="10" t="s">
        <v>694</v>
      </c>
      <c r="G38" s="10" t="s">
        <v>698</v>
      </c>
      <c r="H38" s="11">
        <v>1</v>
      </c>
      <c r="I38" s="11">
        <v>0</v>
      </c>
    </row>
    <row r="39" spans="1:9" x14ac:dyDescent="0.3">
      <c r="A39" s="9" t="s">
        <v>125</v>
      </c>
      <c r="B39" s="10" t="s">
        <v>491</v>
      </c>
      <c r="C39" s="10" t="s">
        <v>22</v>
      </c>
      <c r="D39" s="10" t="s">
        <v>42</v>
      </c>
      <c r="E39" s="10" t="s">
        <v>693</v>
      </c>
      <c r="F39" s="10" t="s">
        <v>694</v>
      </c>
      <c r="G39" s="10" t="s">
        <v>698</v>
      </c>
      <c r="H39" s="11">
        <v>0</v>
      </c>
      <c r="I39" s="11">
        <v>0</v>
      </c>
    </row>
    <row r="40" spans="1:9" x14ac:dyDescent="0.3">
      <c r="A40" s="9" t="s">
        <v>64</v>
      </c>
      <c r="B40" s="10" t="s">
        <v>435</v>
      </c>
      <c r="C40" s="10" t="s">
        <v>20</v>
      </c>
      <c r="D40" s="10" t="s">
        <v>34</v>
      </c>
      <c r="E40" s="10" t="s">
        <v>693</v>
      </c>
      <c r="F40" s="10" t="s">
        <v>694</v>
      </c>
      <c r="G40" s="10" t="s">
        <v>697</v>
      </c>
      <c r="H40" s="11">
        <v>0</v>
      </c>
      <c r="I40" s="11">
        <v>0</v>
      </c>
    </row>
    <row r="41" spans="1:9" x14ac:dyDescent="0.3">
      <c r="A41" s="9" t="s">
        <v>126</v>
      </c>
      <c r="B41" s="10" t="s">
        <v>492</v>
      </c>
      <c r="C41" s="10" t="s">
        <v>20</v>
      </c>
      <c r="D41" s="10" t="s">
        <v>34</v>
      </c>
      <c r="E41" s="10" t="s">
        <v>693</v>
      </c>
      <c r="F41" s="10" t="s">
        <v>694</v>
      </c>
      <c r="G41" s="10" t="s">
        <v>697</v>
      </c>
      <c r="H41" s="11">
        <v>0</v>
      </c>
      <c r="I41" s="11">
        <v>0</v>
      </c>
    </row>
    <row r="42" spans="1:9" x14ac:dyDescent="0.3">
      <c r="A42" s="9" t="s">
        <v>119</v>
      </c>
      <c r="B42" s="10" t="s">
        <v>486</v>
      </c>
      <c r="C42" s="10" t="s">
        <v>20</v>
      </c>
      <c r="D42" s="10" t="s">
        <v>34</v>
      </c>
      <c r="E42" s="10" t="s">
        <v>693</v>
      </c>
      <c r="F42" s="10" t="s">
        <v>694</v>
      </c>
      <c r="G42" s="10" t="s">
        <v>697</v>
      </c>
      <c r="H42" s="11">
        <v>0</v>
      </c>
      <c r="I42" s="11">
        <v>0</v>
      </c>
    </row>
    <row r="43" spans="1:9" x14ac:dyDescent="0.3">
      <c r="A43" s="9" t="s">
        <v>19</v>
      </c>
      <c r="B43" s="10" t="s">
        <v>404</v>
      </c>
      <c r="C43" s="10" t="s">
        <v>22</v>
      </c>
      <c r="D43" s="10" t="s">
        <v>28</v>
      </c>
      <c r="E43" s="10" t="s">
        <v>693</v>
      </c>
      <c r="F43" s="10" t="s">
        <v>694</v>
      </c>
      <c r="G43" s="10" t="s">
        <v>695</v>
      </c>
      <c r="H43" s="11">
        <v>0</v>
      </c>
      <c r="I43" s="11">
        <v>0</v>
      </c>
    </row>
    <row r="44" spans="1:9" x14ac:dyDescent="0.3">
      <c r="A44" s="9" t="s">
        <v>127</v>
      </c>
      <c r="B44" s="10" t="s">
        <v>493</v>
      </c>
      <c r="C44" s="10" t="s">
        <v>22</v>
      </c>
      <c r="D44" s="10" t="s">
        <v>28</v>
      </c>
      <c r="E44" s="10" t="s">
        <v>693</v>
      </c>
      <c r="F44" s="10" t="s">
        <v>694</v>
      </c>
      <c r="G44" s="10" t="s">
        <v>695</v>
      </c>
      <c r="H44" s="11">
        <v>0</v>
      </c>
      <c r="I44" s="11">
        <v>0</v>
      </c>
    </row>
    <row r="45" spans="1:9" x14ac:dyDescent="0.3">
      <c r="A45" s="9" t="s">
        <v>253</v>
      </c>
      <c r="B45" s="10" t="s">
        <v>608</v>
      </c>
      <c r="C45" s="10" t="s">
        <v>22</v>
      </c>
      <c r="D45" s="10" t="s">
        <v>28</v>
      </c>
      <c r="E45" s="10" t="s">
        <v>707</v>
      </c>
      <c r="F45" s="10" t="s">
        <v>694</v>
      </c>
      <c r="G45" s="10" t="s">
        <v>695</v>
      </c>
      <c r="H45" s="11">
        <v>0</v>
      </c>
      <c r="I45" s="11">
        <v>0</v>
      </c>
    </row>
    <row r="46" spans="1:9" x14ac:dyDescent="0.3">
      <c r="A46" s="9" t="s">
        <v>50</v>
      </c>
      <c r="B46" s="10" t="s">
        <v>421</v>
      </c>
      <c r="C46" s="10" t="s">
        <v>22</v>
      </c>
      <c r="D46" s="10" t="s">
        <v>40</v>
      </c>
      <c r="E46" s="10" t="s">
        <v>693</v>
      </c>
      <c r="F46" s="10" t="s">
        <v>694</v>
      </c>
      <c r="G46" s="10" t="s">
        <v>698</v>
      </c>
      <c r="H46" s="11">
        <v>0</v>
      </c>
      <c r="I46" s="11">
        <v>0</v>
      </c>
    </row>
    <row r="47" spans="1:9" x14ac:dyDescent="0.3">
      <c r="A47" s="9" t="s">
        <v>135</v>
      </c>
      <c r="B47" s="10" t="s">
        <v>495</v>
      </c>
      <c r="C47" s="10" t="s">
        <v>20</v>
      </c>
      <c r="D47" s="10" t="s">
        <v>32</v>
      </c>
      <c r="E47" s="10" t="s">
        <v>693</v>
      </c>
      <c r="F47" s="10" t="s">
        <v>694</v>
      </c>
      <c r="G47" s="10" t="s">
        <v>696</v>
      </c>
      <c r="H47" s="11">
        <v>0</v>
      </c>
      <c r="I47" s="11">
        <v>0</v>
      </c>
    </row>
    <row r="48" spans="1:9" x14ac:dyDescent="0.3">
      <c r="A48" s="9" t="s">
        <v>51</v>
      </c>
      <c r="B48" s="10" t="s">
        <v>422</v>
      </c>
      <c r="C48" s="10" t="s">
        <v>22</v>
      </c>
      <c r="D48" s="10" t="s">
        <v>28</v>
      </c>
      <c r="E48" s="10" t="s">
        <v>693</v>
      </c>
      <c r="F48" s="10" t="s">
        <v>694</v>
      </c>
      <c r="G48" s="10" t="s">
        <v>695</v>
      </c>
      <c r="H48" s="11">
        <v>0</v>
      </c>
      <c r="I48" s="11">
        <v>0</v>
      </c>
    </row>
    <row r="49" spans="1:9" x14ac:dyDescent="0.3">
      <c r="A49" s="9" t="s">
        <v>139</v>
      </c>
      <c r="B49" s="10" t="s">
        <v>497</v>
      </c>
      <c r="C49" s="10" t="s">
        <v>20</v>
      </c>
      <c r="D49" s="10" t="s">
        <v>32</v>
      </c>
      <c r="E49" s="10" t="s">
        <v>693</v>
      </c>
      <c r="F49" s="10" t="s">
        <v>694</v>
      </c>
      <c r="G49" s="10" t="s">
        <v>696</v>
      </c>
      <c r="H49" s="11">
        <v>0</v>
      </c>
      <c r="I49" s="11">
        <v>0</v>
      </c>
    </row>
    <row r="50" spans="1:9" x14ac:dyDescent="0.3">
      <c r="A50" s="9" t="s">
        <v>137</v>
      </c>
      <c r="B50" s="10" t="s">
        <v>496</v>
      </c>
      <c r="C50" s="10" t="s">
        <v>20</v>
      </c>
      <c r="D50" s="10" t="s">
        <v>34</v>
      </c>
      <c r="E50" s="10" t="s">
        <v>693</v>
      </c>
      <c r="F50" s="10" t="s">
        <v>694</v>
      </c>
      <c r="G50" s="10" t="s">
        <v>697</v>
      </c>
      <c r="H50" s="11">
        <v>0</v>
      </c>
      <c r="I50" s="11">
        <v>0</v>
      </c>
    </row>
    <row r="51" spans="1:9" x14ac:dyDescent="0.3">
      <c r="A51" s="9" t="s">
        <v>68</v>
      </c>
      <c r="B51" s="10" t="s">
        <v>437</v>
      </c>
      <c r="C51" s="10" t="s">
        <v>22</v>
      </c>
      <c r="D51" s="10" t="s">
        <v>28</v>
      </c>
      <c r="E51" s="10" t="s">
        <v>693</v>
      </c>
      <c r="F51" s="10" t="s">
        <v>694</v>
      </c>
      <c r="G51" s="10" t="s">
        <v>695</v>
      </c>
      <c r="H51" s="11">
        <v>0</v>
      </c>
      <c r="I51" s="11">
        <v>0</v>
      </c>
    </row>
    <row r="52" spans="1:9" x14ac:dyDescent="0.3">
      <c r="A52" s="9" t="s">
        <v>162</v>
      </c>
      <c r="B52" s="10" t="s">
        <v>520</v>
      </c>
      <c r="C52" s="10" t="s">
        <v>20</v>
      </c>
      <c r="D52" s="10" t="s">
        <v>30</v>
      </c>
      <c r="E52" s="10" t="s">
        <v>693</v>
      </c>
      <c r="F52" s="10" t="s">
        <v>694</v>
      </c>
      <c r="G52" s="10" t="s">
        <v>696</v>
      </c>
      <c r="H52" s="11">
        <v>0</v>
      </c>
      <c r="I52" s="11">
        <v>0</v>
      </c>
    </row>
    <row r="53" spans="1:9" x14ac:dyDescent="0.3">
      <c r="A53" s="9" t="s">
        <v>92</v>
      </c>
      <c r="B53" s="10" t="s">
        <v>461</v>
      </c>
      <c r="C53" s="10" t="s">
        <v>22</v>
      </c>
      <c r="D53" s="10" t="s">
        <v>40</v>
      </c>
      <c r="E53" s="10" t="s">
        <v>693</v>
      </c>
      <c r="F53" s="10" t="s">
        <v>694</v>
      </c>
      <c r="G53" s="10" t="s">
        <v>698</v>
      </c>
      <c r="H53" s="11">
        <v>0</v>
      </c>
      <c r="I53" s="11">
        <v>0</v>
      </c>
    </row>
    <row r="54" spans="1:9" x14ac:dyDescent="0.3">
      <c r="A54" s="9" t="s">
        <v>140</v>
      </c>
      <c r="B54" s="10" t="s">
        <v>498</v>
      </c>
      <c r="C54" s="10" t="s">
        <v>22</v>
      </c>
      <c r="D54" s="10" t="s">
        <v>28</v>
      </c>
      <c r="E54" s="10" t="s">
        <v>693</v>
      </c>
      <c r="F54" s="10" t="s">
        <v>694</v>
      </c>
      <c r="G54" s="10" t="s">
        <v>695</v>
      </c>
      <c r="H54" s="11">
        <v>0</v>
      </c>
      <c r="I54" s="11">
        <v>0</v>
      </c>
    </row>
    <row r="55" spans="1:9" x14ac:dyDescent="0.3">
      <c r="A55" s="9" t="s">
        <v>141</v>
      </c>
      <c r="B55" s="10" t="s">
        <v>499</v>
      </c>
      <c r="C55" s="10" t="s">
        <v>22</v>
      </c>
      <c r="D55" s="10" t="s">
        <v>46</v>
      </c>
      <c r="E55" s="10" t="s">
        <v>693</v>
      </c>
      <c r="F55" s="10" t="s">
        <v>694</v>
      </c>
      <c r="G55" s="10" t="s">
        <v>700</v>
      </c>
      <c r="H55" s="11">
        <v>0</v>
      </c>
      <c r="I55" s="11">
        <v>0</v>
      </c>
    </row>
    <row r="56" spans="1:9" x14ac:dyDescent="0.3">
      <c r="A56" s="9" t="s">
        <v>142</v>
      </c>
      <c r="B56" s="10" t="s">
        <v>500</v>
      </c>
      <c r="C56" s="10" t="s">
        <v>20</v>
      </c>
      <c r="D56" s="10" t="s">
        <v>32</v>
      </c>
      <c r="E56" s="10" t="s">
        <v>693</v>
      </c>
      <c r="F56" s="10" t="s">
        <v>694</v>
      </c>
      <c r="G56" s="10" t="s">
        <v>696</v>
      </c>
      <c r="H56" s="11">
        <v>0</v>
      </c>
      <c r="I56" s="11">
        <v>0</v>
      </c>
    </row>
    <row r="57" spans="1:9" x14ac:dyDescent="0.3">
      <c r="A57" s="9" t="s">
        <v>58</v>
      </c>
      <c r="B57" s="10" t="s">
        <v>429</v>
      </c>
      <c r="C57" s="10" t="s">
        <v>22</v>
      </c>
      <c r="D57" s="10" t="s">
        <v>48</v>
      </c>
      <c r="E57" s="10" t="s">
        <v>693</v>
      </c>
      <c r="F57" s="10" t="s">
        <v>694</v>
      </c>
      <c r="G57" s="10" t="s">
        <v>699</v>
      </c>
      <c r="H57" s="11">
        <v>0</v>
      </c>
      <c r="I57" s="11">
        <v>0</v>
      </c>
    </row>
    <row r="58" spans="1:9" x14ac:dyDescent="0.3">
      <c r="A58" s="9" t="s">
        <v>143</v>
      </c>
      <c r="B58" s="10" t="s">
        <v>501</v>
      </c>
      <c r="C58" s="10" t="s">
        <v>22</v>
      </c>
      <c r="D58" s="10" t="s">
        <v>46</v>
      </c>
      <c r="E58" s="10" t="s">
        <v>693</v>
      </c>
      <c r="F58" s="10" t="s">
        <v>694</v>
      </c>
      <c r="G58" s="10" t="s">
        <v>700</v>
      </c>
      <c r="H58" s="11">
        <v>0</v>
      </c>
      <c r="I58" s="11">
        <v>0</v>
      </c>
    </row>
    <row r="59" spans="1:9" x14ac:dyDescent="0.3">
      <c r="A59" s="9" t="s">
        <v>74</v>
      </c>
      <c r="B59" s="10" t="s">
        <v>443</v>
      </c>
      <c r="C59" s="10" t="s">
        <v>20</v>
      </c>
      <c r="D59" s="10" t="s">
        <v>38</v>
      </c>
      <c r="E59" s="10" t="s">
        <v>693</v>
      </c>
      <c r="F59" s="10" t="s">
        <v>694</v>
      </c>
      <c r="G59" s="10" t="s">
        <v>696</v>
      </c>
      <c r="H59" s="11">
        <v>0</v>
      </c>
      <c r="I59" s="11">
        <v>0</v>
      </c>
    </row>
    <row r="60" spans="1:9" x14ac:dyDescent="0.3">
      <c r="A60" s="9" t="s">
        <v>62</v>
      </c>
      <c r="B60" s="10" t="s">
        <v>433</v>
      </c>
      <c r="C60" s="10" t="s">
        <v>20</v>
      </c>
      <c r="D60" s="10" t="s">
        <v>34</v>
      </c>
      <c r="E60" s="10" t="s">
        <v>693</v>
      </c>
      <c r="F60" s="10" t="s">
        <v>694</v>
      </c>
      <c r="G60" s="10" t="s">
        <v>697</v>
      </c>
      <c r="H60" s="11">
        <v>3</v>
      </c>
      <c r="I60" s="11">
        <v>0</v>
      </c>
    </row>
    <row r="61" spans="1:9" x14ac:dyDescent="0.3">
      <c r="A61" s="9" t="s">
        <v>144</v>
      </c>
      <c r="B61" s="10" t="s">
        <v>502</v>
      </c>
      <c r="C61" s="10" t="s">
        <v>22</v>
      </c>
      <c r="D61" s="10" t="s">
        <v>44</v>
      </c>
      <c r="E61" s="10" t="s">
        <v>693</v>
      </c>
      <c r="F61" s="10" t="s">
        <v>694</v>
      </c>
      <c r="G61" s="10" t="s">
        <v>695</v>
      </c>
      <c r="H61" s="11">
        <v>0</v>
      </c>
      <c r="I61" s="11">
        <v>0</v>
      </c>
    </row>
    <row r="62" spans="1:9" x14ac:dyDescent="0.3">
      <c r="A62" s="9" t="s">
        <v>103</v>
      </c>
      <c r="B62" s="10" t="s">
        <v>472</v>
      </c>
      <c r="C62" s="10" t="s">
        <v>22</v>
      </c>
      <c r="D62" s="10" t="s">
        <v>44</v>
      </c>
      <c r="E62" s="10" t="s">
        <v>693</v>
      </c>
      <c r="F62" s="10" t="s">
        <v>694</v>
      </c>
      <c r="G62" s="10" t="s">
        <v>695</v>
      </c>
      <c r="H62" s="11">
        <v>0</v>
      </c>
      <c r="I62" s="11">
        <v>0</v>
      </c>
    </row>
    <row r="63" spans="1:9" x14ac:dyDescent="0.3">
      <c r="A63" s="9" t="s">
        <v>76</v>
      </c>
      <c r="B63" s="10" t="s">
        <v>445</v>
      </c>
      <c r="C63" s="10" t="s">
        <v>22</v>
      </c>
      <c r="D63" s="10" t="s">
        <v>48</v>
      </c>
      <c r="E63" s="10" t="s">
        <v>693</v>
      </c>
      <c r="F63" s="10" t="s">
        <v>694</v>
      </c>
      <c r="G63" s="10" t="s">
        <v>699</v>
      </c>
      <c r="H63" s="11">
        <v>0</v>
      </c>
      <c r="I63" s="11">
        <v>0</v>
      </c>
    </row>
    <row r="64" spans="1:9" x14ac:dyDescent="0.3">
      <c r="A64" s="9" t="s">
        <v>145</v>
      </c>
      <c r="B64" s="10" t="s">
        <v>503</v>
      </c>
      <c r="C64" s="10" t="s">
        <v>20</v>
      </c>
      <c r="D64" s="10" t="s">
        <v>36</v>
      </c>
      <c r="E64" s="10" t="s">
        <v>693</v>
      </c>
      <c r="F64" s="10" t="s">
        <v>694</v>
      </c>
      <c r="G64" s="10" t="s">
        <v>697</v>
      </c>
      <c r="H64" s="11">
        <v>0</v>
      </c>
      <c r="I64" s="11">
        <v>0</v>
      </c>
    </row>
    <row r="65" spans="1:9" x14ac:dyDescent="0.3">
      <c r="A65" s="9" t="s">
        <v>146</v>
      </c>
      <c r="B65" s="10" t="s">
        <v>504</v>
      </c>
      <c r="C65" s="10" t="s">
        <v>20</v>
      </c>
      <c r="D65" s="10" t="s">
        <v>30</v>
      </c>
      <c r="E65" s="10" t="s">
        <v>693</v>
      </c>
      <c r="F65" s="10" t="s">
        <v>694</v>
      </c>
      <c r="G65" s="10" t="s">
        <v>696</v>
      </c>
      <c r="H65" s="11">
        <v>0</v>
      </c>
      <c r="I65" s="11">
        <v>0</v>
      </c>
    </row>
    <row r="66" spans="1:9" x14ac:dyDescent="0.3">
      <c r="A66" s="9" t="s">
        <v>27</v>
      </c>
      <c r="B66" s="10" t="s">
        <v>409</v>
      </c>
      <c r="C66" s="10" t="s">
        <v>20</v>
      </c>
      <c r="D66" s="10" t="s">
        <v>36</v>
      </c>
      <c r="E66" s="10" t="s">
        <v>693</v>
      </c>
      <c r="F66" s="10" t="s">
        <v>694</v>
      </c>
      <c r="G66" s="10" t="s">
        <v>697</v>
      </c>
      <c r="H66" s="11">
        <v>0</v>
      </c>
      <c r="I66" s="11">
        <v>0</v>
      </c>
    </row>
    <row r="67" spans="1:9" x14ac:dyDescent="0.3">
      <c r="A67" s="9" t="s">
        <v>84</v>
      </c>
      <c r="B67" s="10" t="s">
        <v>453</v>
      </c>
      <c r="C67" s="10" t="s">
        <v>22</v>
      </c>
      <c r="D67" s="10" t="s">
        <v>48</v>
      </c>
      <c r="E67" s="10" t="s">
        <v>693</v>
      </c>
      <c r="F67" s="10" t="s">
        <v>694</v>
      </c>
      <c r="G67" s="10" t="s">
        <v>699</v>
      </c>
      <c r="H67" s="11">
        <v>0</v>
      </c>
      <c r="I67" s="11">
        <v>0</v>
      </c>
    </row>
    <row r="68" spans="1:9" x14ac:dyDescent="0.3">
      <c r="A68" s="9" t="s">
        <v>26</v>
      </c>
      <c r="B68" s="10" t="s">
        <v>408</v>
      </c>
      <c r="C68" s="10" t="s">
        <v>20</v>
      </c>
      <c r="D68" s="10" t="s">
        <v>34</v>
      </c>
      <c r="E68" s="10" t="s">
        <v>693</v>
      </c>
      <c r="F68" s="10" t="s">
        <v>694</v>
      </c>
      <c r="G68" s="10" t="s">
        <v>697</v>
      </c>
      <c r="H68" s="11">
        <v>1</v>
      </c>
      <c r="I68" s="11">
        <v>0</v>
      </c>
    </row>
    <row r="69" spans="1:9" x14ac:dyDescent="0.3">
      <c r="A69" s="9" t="s">
        <v>78</v>
      </c>
      <c r="B69" s="10" t="s">
        <v>447</v>
      </c>
      <c r="C69" s="10" t="s">
        <v>20</v>
      </c>
      <c r="D69" s="10" t="s">
        <v>32</v>
      </c>
      <c r="E69" s="10" t="s">
        <v>693</v>
      </c>
      <c r="F69" s="10" t="s">
        <v>694</v>
      </c>
      <c r="G69" s="10" t="s">
        <v>696</v>
      </c>
      <c r="H69" s="11">
        <v>0</v>
      </c>
      <c r="I69" s="11">
        <v>0</v>
      </c>
    </row>
    <row r="70" spans="1:9" x14ac:dyDescent="0.3">
      <c r="A70" s="9" t="s">
        <v>83</v>
      </c>
      <c r="B70" s="10" t="s">
        <v>452</v>
      </c>
      <c r="C70" s="10" t="s">
        <v>22</v>
      </c>
      <c r="D70" s="10" t="s">
        <v>28</v>
      </c>
      <c r="E70" s="10" t="s">
        <v>693</v>
      </c>
      <c r="F70" s="10" t="s">
        <v>694</v>
      </c>
      <c r="G70" s="10" t="s">
        <v>695</v>
      </c>
      <c r="H70" s="11">
        <v>0</v>
      </c>
      <c r="I70" s="11">
        <v>0</v>
      </c>
    </row>
    <row r="71" spans="1:9" x14ac:dyDescent="0.3">
      <c r="A71" s="9" t="s">
        <v>100</v>
      </c>
      <c r="B71" s="10" t="s">
        <v>469</v>
      </c>
      <c r="C71" s="10" t="s">
        <v>20</v>
      </c>
      <c r="D71" s="10" t="s">
        <v>38</v>
      </c>
      <c r="E71" s="10" t="s">
        <v>693</v>
      </c>
      <c r="F71" s="10" t="s">
        <v>694</v>
      </c>
      <c r="G71" s="10" t="s">
        <v>696</v>
      </c>
      <c r="H71" s="11">
        <v>0</v>
      </c>
      <c r="I71" s="11">
        <v>0</v>
      </c>
    </row>
    <row r="72" spans="1:9" x14ac:dyDescent="0.3">
      <c r="A72" s="9" t="s">
        <v>70</v>
      </c>
      <c r="B72" s="10" t="s">
        <v>439</v>
      </c>
      <c r="C72" s="10" t="s">
        <v>20</v>
      </c>
      <c r="D72" s="10" t="s">
        <v>32</v>
      </c>
      <c r="E72" s="10" t="s">
        <v>693</v>
      </c>
      <c r="F72" s="10" t="s">
        <v>694</v>
      </c>
      <c r="G72" s="10" t="s">
        <v>696</v>
      </c>
      <c r="H72" s="11">
        <v>0</v>
      </c>
      <c r="I72" s="11">
        <v>0</v>
      </c>
    </row>
    <row r="73" spans="1:9" x14ac:dyDescent="0.3">
      <c r="A73" s="9" t="s">
        <v>87</v>
      </c>
      <c r="B73" s="10" t="s">
        <v>456</v>
      </c>
      <c r="C73" s="10" t="s">
        <v>20</v>
      </c>
      <c r="D73" s="10" t="s">
        <v>38</v>
      </c>
      <c r="E73" s="10" t="s">
        <v>693</v>
      </c>
      <c r="F73" s="10" t="s">
        <v>694</v>
      </c>
      <c r="G73" s="10" t="s">
        <v>696</v>
      </c>
      <c r="H73" s="11">
        <v>0</v>
      </c>
      <c r="I73" s="11">
        <v>0</v>
      </c>
    </row>
    <row r="74" spans="1:9" x14ac:dyDescent="0.3">
      <c r="A74" s="9" t="s">
        <v>148</v>
      </c>
      <c r="B74" s="10" t="s">
        <v>506</v>
      </c>
      <c r="C74" s="10" t="s">
        <v>22</v>
      </c>
      <c r="D74" s="10" t="s">
        <v>46</v>
      </c>
      <c r="E74" s="10" t="s">
        <v>693</v>
      </c>
      <c r="F74" s="10" t="s">
        <v>694</v>
      </c>
      <c r="G74" s="10" t="s">
        <v>700</v>
      </c>
      <c r="H74" s="11">
        <v>0</v>
      </c>
      <c r="I74" s="11">
        <v>0</v>
      </c>
    </row>
    <row r="75" spans="1:9" x14ac:dyDescent="0.3">
      <c r="A75" s="9" t="s">
        <v>72</v>
      </c>
      <c r="B75" s="10" t="s">
        <v>441</v>
      </c>
      <c r="C75" s="10" t="s">
        <v>20</v>
      </c>
      <c r="D75" s="10" t="s">
        <v>30</v>
      </c>
      <c r="E75" s="10" t="s">
        <v>693</v>
      </c>
      <c r="F75" s="10" t="s">
        <v>694</v>
      </c>
      <c r="G75" s="10" t="s">
        <v>696</v>
      </c>
      <c r="H75" s="11">
        <v>0</v>
      </c>
      <c r="I75" s="11">
        <v>0</v>
      </c>
    </row>
    <row r="76" spans="1:9" x14ac:dyDescent="0.3">
      <c r="A76" s="9" t="s">
        <v>147</v>
      </c>
      <c r="B76" s="10" t="s">
        <v>505</v>
      </c>
      <c r="C76" s="10" t="s">
        <v>22</v>
      </c>
      <c r="D76" s="10" t="s">
        <v>42</v>
      </c>
      <c r="E76" s="10" t="s">
        <v>693</v>
      </c>
      <c r="F76" s="10" t="s">
        <v>694</v>
      </c>
      <c r="G76" s="10" t="s">
        <v>699</v>
      </c>
      <c r="H76" s="11">
        <v>0</v>
      </c>
      <c r="I76" s="11">
        <v>0</v>
      </c>
    </row>
    <row r="77" spans="1:9" x14ac:dyDescent="0.3">
      <c r="A77" s="9" t="s">
        <v>86</v>
      </c>
      <c r="B77" s="10" t="s">
        <v>455</v>
      </c>
      <c r="C77" s="10" t="s">
        <v>22</v>
      </c>
      <c r="D77" s="10" t="s">
        <v>48</v>
      </c>
      <c r="E77" s="10" t="s">
        <v>693</v>
      </c>
      <c r="F77" s="10" t="s">
        <v>694</v>
      </c>
      <c r="G77" s="10" t="s">
        <v>699</v>
      </c>
      <c r="H77" s="11">
        <v>0</v>
      </c>
      <c r="I77" s="11">
        <v>0</v>
      </c>
    </row>
    <row r="78" spans="1:9" x14ac:dyDescent="0.3">
      <c r="A78" s="9" t="s">
        <v>149</v>
      </c>
      <c r="B78" s="10" t="s">
        <v>507</v>
      </c>
      <c r="C78" s="10" t="s">
        <v>22</v>
      </c>
      <c r="D78" s="10" t="s">
        <v>46</v>
      </c>
      <c r="E78" s="10" t="s">
        <v>693</v>
      </c>
      <c r="F78" s="10" t="s">
        <v>694</v>
      </c>
      <c r="G78" s="10" t="s">
        <v>700</v>
      </c>
      <c r="H78" s="11">
        <v>0</v>
      </c>
      <c r="I78" s="11">
        <v>0</v>
      </c>
    </row>
    <row r="79" spans="1:9" x14ac:dyDescent="0.3">
      <c r="A79" s="9" t="s">
        <v>93</v>
      </c>
      <c r="B79" s="10" t="s">
        <v>462</v>
      </c>
      <c r="C79" s="10" t="s">
        <v>22</v>
      </c>
      <c r="D79" s="10" t="s">
        <v>42</v>
      </c>
      <c r="E79" s="10" t="s">
        <v>693</v>
      </c>
      <c r="F79" s="10" t="s">
        <v>694</v>
      </c>
      <c r="G79" s="10" t="s">
        <v>699</v>
      </c>
      <c r="H79" s="11">
        <v>0</v>
      </c>
      <c r="I79" s="11">
        <v>0</v>
      </c>
    </row>
    <row r="80" spans="1:9" x14ac:dyDescent="0.3">
      <c r="A80" s="9" t="s">
        <v>85</v>
      </c>
      <c r="B80" s="10" t="s">
        <v>454</v>
      </c>
      <c r="C80" s="10" t="s">
        <v>22</v>
      </c>
      <c r="D80" s="10" t="s">
        <v>46</v>
      </c>
      <c r="E80" s="10" t="s">
        <v>693</v>
      </c>
      <c r="F80" s="10" t="s">
        <v>694</v>
      </c>
      <c r="G80" s="10" t="s">
        <v>700</v>
      </c>
      <c r="H80" s="11">
        <v>0</v>
      </c>
      <c r="I80" s="11">
        <v>0</v>
      </c>
    </row>
    <row r="81" spans="1:9" x14ac:dyDescent="0.3">
      <c r="A81" s="9" t="s">
        <v>150</v>
      </c>
      <c r="B81" s="10" t="s">
        <v>508</v>
      </c>
      <c r="C81" s="10" t="s">
        <v>20</v>
      </c>
      <c r="D81" s="10" t="s">
        <v>30</v>
      </c>
      <c r="E81" s="10" t="s">
        <v>693</v>
      </c>
      <c r="F81" s="10" t="s">
        <v>694</v>
      </c>
      <c r="G81" s="10" t="s">
        <v>696</v>
      </c>
      <c r="H81" s="11">
        <v>0</v>
      </c>
      <c r="I81" s="11">
        <v>0</v>
      </c>
    </row>
    <row r="82" spans="1:9" x14ac:dyDescent="0.3">
      <c r="A82" s="9" t="s">
        <v>97</v>
      </c>
      <c r="B82" s="10" t="s">
        <v>466</v>
      </c>
      <c r="C82" s="10" t="s">
        <v>20</v>
      </c>
      <c r="D82" s="10" t="s">
        <v>36</v>
      </c>
      <c r="E82" s="10" t="s">
        <v>693</v>
      </c>
      <c r="F82" s="10" t="s">
        <v>694</v>
      </c>
      <c r="G82" s="10" t="s">
        <v>697</v>
      </c>
      <c r="H82" s="11">
        <v>0</v>
      </c>
      <c r="I82" s="11">
        <v>0</v>
      </c>
    </row>
    <row r="83" spans="1:9" x14ac:dyDescent="0.3">
      <c r="A83" s="9" t="s">
        <v>69</v>
      </c>
      <c r="B83" s="10" t="s">
        <v>438</v>
      </c>
      <c r="C83" s="10" t="s">
        <v>20</v>
      </c>
      <c r="D83" s="10" t="s">
        <v>38</v>
      </c>
      <c r="E83" s="10" t="s">
        <v>693</v>
      </c>
      <c r="F83" s="10" t="s">
        <v>694</v>
      </c>
      <c r="G83" s="10" t="s">
        <v>696</v>
      </c>
      <c r="H83" s="11">
        <v>0</v>
      </c>
      <c r="I83" s="11">
        <v>0</v>
      </c>
    </row>
    <row r="84" spans="1:9" x14ac:dyDescent="0.3">
      <c r="A84" s="9" t="s">
        <v>95</v>
      </c>
      <c r="B84" s="10" t="s">
        <v>464</v>
      </c>
      <c r="C84" s="10" t="s">
        <v>20</v>
      </c>
      <c r="D84" s="10" t="s">
        <v>34</v>
      </c>
      <c r="E84" s="10" t="s">
        <v>693</v>
      </c>
      <c r="F84" s="10" t="s">
        <v>694</v>
      </c>
      <c r="G84" s="10" t="s">
        <v>697</v>
      </c>
      <c r="H84" s="11">
        <v>0</v>
      </c>
      <c r="I84" s="11">
        <v>0</v>
      </c>
    </row>
    <row r="85" spans="1:9" x14ac:dyDescent="0.3">
      <c r="A85" s="9" t="s">
        <v>88</v>
      </c>
      <c r="B85" s="10" t="s">
        <v>457</v>
      </c>
      <c r="C85" s="10" t="s">
        <v>22</v>
      </c>
      <c r="D85" s="10" t="s">
        <v>48</v>
      </c>
      <c r="E85" s="10" t="s">
        <v>693</v>
      </c>
      <c r="F85" s="10" t="s">
        <v>694</v>
      </c>
      <c r="G85" s="10" t="s">
        <v>699</v>
      </c>
      <c r="H85" s="11">
        <v>0</v>
      </c>
      <c r="I85" s="11">
        <v>0</v>
      </c>
    </row>
    <row r="86" spans="1:9" x14ac:dyDescent="0.3">
      <c r="A86" s="9" t="s">
        <v>77</v>
      </c>
      <c r="B86" s="10" t="s">
        <v>446</v>
      </c>
      <c r="C86" s="10" t="s">
        <v>20</v>
      </c>
      <c r="D86" s="10" t="s">
        <v>36</v>
      </c>
      <c r="E86" s="10" t="s">
        <v>693</v>
      </c>
      <c r="F86" s="10" t="s">
        <v>694</v>
      </c>
      <c r="G86" s="10" t="s">
        <v>697</v>
      </c>
      <c r="H86" s="11">
        <v>0</v>
      </c>
      <c r="I86" s="11">
        <v>0</v>
      </c>
    </row>
    <row r="87" spans="1:9" x14ac:dyDescent="0.3">
      <c r="A87" s="9" t="s">
        <v>107</v>
      </c>
      <c r="B87" s="10" t="s">
        <v>476</v>
      </c>
      <c r="C87" s="10" t="s">
        <v>22</v>
      </c>
      <c r="D87" s="10" t="s">
        <v>40</v>
      </c>
      <c r="E87" s="10" t="s">
        <v>693</v>
      </c>
      <c r="F87" s="10" t="s">
        <v>694</v>
      </c>
      <c r="G87" s="10" t="s">
        <v>698</v>
      </c>
      <c r="H87" s="11">
        <v>0</v>
      </c>
      <c r="I87" s="11">
        <v>0</v>
      </c>
    </row>
    <row r="88" spans="1:9" x14ac:dyDescent="0.3">
      <c r="A88" s="9" t="s">
        <v>104</v>
      </c>
      <c r="B88" s="10" t="s">
        <v>473</v>
      </c>
      <c r="C88" s="10" t="s">
        <v>22</v>
      </c>
      <c r="D88" s="10" t="s">
        <v>28</v>
      </c>
      <c r="E88" s="10" t="s">
        <v>693</v>
      </c>
      <c r="F88" s="10" t="s">
        <v>694</v>
      </c>
      <c r="G88" s="10" t="s">
        <v>695</v>
      </c>
      <c r="H88" s="11">
        <v>0</v>
      </c>
      <c r="I88" s="11">
        <v>0</v>
      </c>
    </row>
    <row r="89" spans="1:9" x14ac:dyDescent="0.3">
      <c r="A89" s="9" t="s">
        <v>81</v>
      </c>
      <c r="B89" s="10" t="s">
        <v>450</v>
      </c>
      <c r="C89" s="10" t="s">
        <v>22</v>
      </c>
      <c r="D89" s="10" t="s">
        <v>28</v>
      </c>
      <c r="E89" s="10" t="s">
        <v>693</v>
      </c>
      <c r="F89" s="10" t="s">
        <v>694</v>
      </c>
      <c r="G89" s="10" t="s">
        <v>695</v>
      </c>
      <c r="H89" s="11">
        <v>0</v>
      </c>
      <c r="I89" s="11">
        <v>0</v>
      </c>
    </row>
    <row r="90" spans="1:9" x14ac:dyDescent="0.3">
      <c r="A90" s="9" t="s">
        <v>101</v>
      </c>
      <c r="B90" s="10" t="s">
        <v>470</v>
      </c>
      <c r="C90" s="10" t="s">
        <v>22</v>
      </c>
      <c r="D90" s="10" t="s">
        <v>48</v>
      </c>
      <c r="E90" s="10" t="s">
        <v>693</v>
      </c>
      <c r="F90" s="10" t="s">
        <v>694</v>
      </c>
      <c r="G90" s="10" t="s">
        <v>699</v>
      </c>
      <c r="H90" s="11">
        <v>0</v>
      </c>
      <c r="I90" s="11">
        <v>0</v>
      </c>
    </row>
    <row r="91" spans="1:9" x14ac:dyDescent="0.3">
      <c r="A91" s="9" t="s">
        <v>37</v>
      </c>
      <c r="B91" s="10" t="s">
        <v>414</v>
      </c>
      <c r="C91" s="10" t="s">
        <v>20</v>
      </c>
      <c r="D91" s="10" t="s">
        <v>38</v>
      </c>
      <c r="E91" s="10" t="s">
        <v>693</v>
      </c>
      <c r="F91" s="10" t="s">
        <v>694</v>
      </c>
      <c r="G91" s="10" t="s">
        <v>696</v>
      </c>
      <c r="H91" s="11">
        <v>0</v>
      </c>
      <c r="I91" s="11">
        <v>0</v>
      </c>
    </row>
    <row r="92" spans="1:9" x14ac:dyDescent="0.3">
      <c r="A92" s="9" t="s">
        <v>94</v>
      </c>
      <c r="B92" s="10" t="s">
        <v>463</v>
      </c>
      <c r="C92" s="10" t="s">
        <v>22</v>
      </c>
      <c r="D92" s="10" t="s">
        <v>40</v>
      </c>
      <c r="E92" s="10" t="s">
        <v>693</v>
      </c>
      <c r="F92" s="10" t="s">
        <v>694</v>
      </c>
      <c r="G92" s="10" t="s">
        <v>698</v>
      </c>
      <c r="H92" s="11">
        <v>0</v>
      </c>
      <c r="I92" s="11">
        <v>0</v>
      </c>
    </row>
    <row r="93" spans="1:9" x14ac:dyDescent="0.3">
      <c r="A93" s="9" t="s">
        <v>155</v>
      </c>
      <c r="B93" s="10" t="s">
        <v>513</v>
      </c>
      <c r="C93" s="10" t="s">
        <v>22</v>
      </c>
      <c r="D93" s="10" t="s">
        <v>42</v>
      </c>
      <c r="E93" s="10" t="s">
        <v>693</v>
      </c>
      <c r="F93" s="10" t="s">
        <v>694</v>
      </c>
      <c r="G93" s="10" t="s">
        <v>699</v>
      </c>
      <c r="H93" s="11">
        <v>0</v>
      </c>
      <c r="I93" s="11">
        <v>0</v>
      </c>
    </row>
    <row r="94" spans="1:9" x14ac:dyDescent="0.3">
      <c r="A94" s="9" t="s">
        <v>82</v>
      </c>
      <c r="B94" s="10" t="s">
        <v>451</v>
      </c>
      <c r="C94" s="10" t="s">
        <v>22</v>
      </c>
      <c r="D94" s="10" t="s">
        <v>44</v>
      </c>
      <c r="E94" s="10" t="s">
        <v>693</v>
      </c>
      <c r="F94" s="10" t="s">
        <v>694</v>
      </c>
      <c r="G94" s="10" t="s">
        <v>698</v>
      </c>
      <c r="H94" s="11">
        <v>0</v>
      </c>
      <c r="I94" s="11">
        <v>0</v>
      </c>
    </row>
    <row r="95" spans="1:9" x14ac:dyDescent="0.3">
      <c r="A95" s="9" t="s">
        <v>99</v>
      </c>
      <c r="B95" s="10" t="s">
        <v>468</v>
      </c>
      <c r="C95" s="10" t="s">
        <v>22</v>
      </c>
      <c r="D95" s="10" t="s">
        <v>44</v>
      </c>
      <c r="E95" s="10" t="s">
        <v>693</v>
      </c>
      <c r="F95" s="10" t="s">
        <v>694</v>
      </c>
      <c r="G95" s="10" t="s">
        <v>698</v>
      </c>
      <c r="H95" s="11">
        <v>0</v>
      </c>
      <c r="I95" s="11">
        <v>0</v>
      </c>
    </row>
    <row r="96" spans="1:9" x14ac:dyDescent="0.3">
      <c r="A96" s="9" t="s">
        <v>259</v>
      </c>
      <c r="B96" s="10" t="s">
        <v>614</v>
      </c>
      <c r="C96" s="10" t="s">
        <v>20</v>
      </c>
      <c r="D96" s="10" t="s">
        <v>34</v>
      </c>
      <c r="E96" s="10" t="s">
        <v>707</v>
      </c>
      <c r="F96" s="10" t="s">
        <v>694</v>
      </c>
      <c r="G96" s="10" t="s">
        <v>697</v>
      </c>
      <c r="H96" s="11">
        <v>0</v>
      </c>
      <c r="I96" s="11">
        <v>0</v>
      </c>
    </row>
    <row r="97" spans="1:9" x14ac:dyDescent="0.3">
      <c r="A97" s="9" t="s">
        <v>80</v>
      </c>
      <c r="B97" s="10" t="s">
        <v>449</v>
      </c>
      <c r="C97" s="10" t="s">
        <v>22</v>
      </c>
      <c r="D97" s="10" t="s">
        <v>28</v>
      </c>
      <c r="E97" s="10" t="s">
        <v>693</v>
      </c>
      <c r="F97" s="10" t="s">
        <v>694</v>
      </c>
      <c r="G97" s="10" t="s">
        <v>695</v>
      </c>
      <c r="H97" s="11">
        <v>0</v>
      </c>
      <c r="I97" s="11">
        <v>0</v>
      </c>
    </row>
    <row r="98" spans="1:9" x14ac:dyDescent="0.3">
      <c r="A98" s="9" t="s">
        <v>153</v>
      </c>
      <c r="B98" s="10" t="s">
        <v>511</v>
      </c>
      <c r="C98" s="10" t="s">
        <v>22</v>
      </c>
      <c r="D98" s="10" t="s">
        <v>46</v>
      </c>
      <c r="E98" s="10" t="s">
        <v>693</v>
      </c>
      <c r="F98" s="10" t="s">
        <v>694</v>
      </c>
      <c r="G98" s="10" t="s">
        <v>700</v>
      </c>
      <c r="H98" s="11">
        <v>0</v>
      </c>
      <c r="I98" s="11">
        <v>0</v>
      </c>
    </row>
    <row r="99" spans="1:9" x14ac:dyDescent="0.3">
      <c r="A99" s="9" t="s">
        <v>152</v>
      </c>
      <c r="B99" s="10" t="s">
        <v>510</v>
      </c>
      <c r="C99" s="10" t="s">
        <v>22</v>
      </c>
      <c r="D99" s="10" t="s">
        <v>46</v>
      </c>
      <c r="E99" s="10" t="s">
        <v>693</v>
      </c>
      <c r="F99" s="10" t="s">
        <v>694</v>
      </c>
      <c r="G99" s="10" t="s">
        <v>700</v>
      </c>
      <c r="H99" s="11">
        <v>0</v>
      </c>
      <c r="I99" s="11">
        <v>0</v>
      </c>
    </row>
    <row r="100" spans="1:9" x14ac:dyDescent="0.3">
      <c r="A100" s="9" t="s">
        <v>89</v>
      </c>
      <c r="B100" s="10" t="s">
        <v>458</v>
      </c>
      <c r="C100" s="10" t="s">
        <v>22</v>
      </c>
      <c r="D100" s="10" t="s">
        <v>40</v>
      </c>
      <c r="E100" s="10" t="s">
        <v>693</v>
      </c>
      <c r="F100" s="10" t="s">
        <v>694</v>
      </c>
      <c r="G100" s="10" t="s">
        <v>698</v>
      </c>
      <c r="H100" s="11">
        <v>0</v>
      </c>
      <c r="I100" s="11">
        <v>0</v>
      </c>
    </row>
    <row r="101" spans="1:9" x14ac:dyDescent="0.3">
      <c r="A101" s="9" t="s">
        <v>96</v>
      </c>
      <c r="B101" s="10" t="s">
        <v>465</v>
      </c>
      <c r="C101" s="10" t="s">
        <v>22</v>
      </c>
      <c r="D101" s="10" t="s">
        <v>40</v>
      </c>
      <c r="E101" s="10" t="s">
        <v>693</v>
      </c>
      <c r="F101" s="10" t="s">
        <v>694</v>
      </c>
      <c r="G101" s="10" t="s">
        <v>698</v>
      </c>
      <c r="H101" s="11">
        <v>0</v>
      </c>
      <c r="I101" s="11">
        <v>0</v>
      </c>
    </row>
    <row r="102" spans="1:9" x14ac:dyDescent="0.3">
      <c r="A102" s="9" t="s">
        <v>110</v>
      </c>
      <c r="B102" s="10" t="s">
        <v>479</v>
      </c>
      <c r="C102" s="10" t="s">
        <v>22</v>
      </c>
      <c r="D102" s="10" t="s">
        <v>44</v>
      </c>
      <c r="E102" s="10" t="s">
        <v>693</v>
      </c>
      <c r="F102" s="10" t="s">
        <v>694</v>
      </c>
      <c r="G102" s="10" t="s">
        <v>698</v>
      </c>
      <c r="H102" s="11">
        <v>0</v>
      </c>
      <c r="I102" s="11">
        <v>0</v>
      </c>
    </row>
    <row r="103" spans="1:9" x14ac:dyDescent="0.3">
      <c r="A103" s="9" t="s">
        <v>108</v>
      </c>
      <c r="B103" s="10" t="s">
        <v>477</v>
      </c>
      <c r="C103" s="10" t="s">
        <v>22</v>
      </c>
      <c r="D103" s="10" t="s">
        <v>40</v>
      </c>
      <c r="E103" s="10" t="s">
        <v>693</v>
      </c>
      <c r="F103" s="10" t="s">
        <v>694</v>
      </c>
      <c r="G103" s="10" t="s">
        <v>698</v>
      </c>
      <c r="H103" s="11">
        <v>0</v>
      </c>
      <c r="I103" s="11">
        <v>0</v>
      </c>
    </row>
    <row r="104" spans="1:9" x14ac:dyDescent="0.3">
      <c r="A104" s="9" t="s">
        <v>91</v>
      </c>
      <c r="B104" s="10" t="s">
        <v>460</v>
      </c>
      <c r="C104" s="10" t="s">
        <v>20</v>
      </c>
      <c r="D104" s="10" t="s">
        <v>38</v>
      </c>
      <c r="E104" s="10" t="s">
        <v>693</v>
      </c>
      <c r="F104" s="10" t="s">
        <v>694</v>
      </c>
      <c r="G104" s="10" t="s">
        <v>696</v>
      </c>
      <c r="H104" s="11">
        <v>0</v>
      </c>
      <c r="I104" s="11">
        <v>0</v>
      </c>
    </row>
    <row r="105" spans="1:9" x14ac:dyDescent="0.3">
      <c r="A105" s="9" t="s">
        <v>114</v>
      </c>
      <c r="B105" s="10" t="s">
        <v>483</v>
      </c>
      <c r="C105" s="10" t="s">
        <v>22</v>
      </c>
      <c r="D105" s="10" t="s">
        <v>44</v>
      </c>
      <c r="E105" s="10" t="s">
        <v>693</v>
      </c>
      <c r="F105" s="10" t="s">
        <v>694</v>
      </c>
      <c r="G105" s="10" t="s">
        <v>698</v>
      </c>
      <c r="H105" s="11">
        <v>0</v>
      </c>
      <c r="I105" s="11">
        <v>0</v>
      </c>
    </row>
    <row r="106" spans="1:9" x14ac:dyDescent="0.3">
      <c r="A106" s="9" t="s">
        <v>156</v>
      </c>
      <c r="B106" s="10" t="s">
        <v>514</v>
      </c>
      <c r="C106" s="10" t="s">
        <v>22</v>
      </c>
      <c r="D106" s="10" t="s">
        <v>46</v>
      </c>
      <c r="E106" s="10" t="s">
        <v>693</v>
      </c>
      <c r="F106" s="10" t="s">
        <v>694</v>
      </c>
      <c r="G106" s="10" t="s">
        <v>700</v>
      </c>
      <c r="H106" s="11">
        <v>0</v>
      </c>
      <c r="I106" s="11">
        <v>0</v>
      </c>
    </row>
    <row r="107" spans="1:9" x14ac:dyDescent="0.3">
      <c r="A107" s="9" t="s">
        <v>71</v>
      </c>
      <c r="B107" s="10" t="s">
        <v>440</v>
      </c>
      <c r="C107" s="10" t="s">
        <v>20</v>
      </c>
      <c r="D107" s="10" t="s">
        <v>36</v>
      </c>
      <c r="E107" s="10" t="s">
        <v>693</v>
      </c>
      <c r="F107" s="10" t="s">
        <v>694</v>
      </c>
      <c r="G107" s="10" t="s">
        <v>697</v>
      </c>
      <c r="H107" s="11">
        <v>0</v>
      </c>
      <c r="I107" s="11">
        <v>0</v>
      </c>
    </row>
    <row r="108" spans="1:9" x14ac:dyDescent="0.3">
      <c r="A108" s="9" t="s">
        <v>112</v>
      </c>
      <c r="B108" s="10" t="s">
        <v>481</v>
      </c>
      <c r="C108" s="10" t="s">
        <v>20</v>
      </c>
      <c r="D108" s="10" t="s">
        <v>30</v>
      </c>
      <c r="E108" s="10" t="s">
        <v>693</v>
      </c>
      <c r="F108" s="10" t="s">
        <v>694</v>
      </c>
      <c r="G108" s="10" t="s">
        <v>696</v>
      </c>
      <c r="H108" s="11">
        <v>0</v>
      </c>
      <c r="I108" s="11">
        <v>0</v>
      </c>
    </row>
    <row r="109" spans="1:9" x14ac:dyDescent="0.3">
      <c r="A109" s="9" t="s">
        <v>79</v>
      </c>
      <c r="B109" s="10" t="s">
        <v>448</v>
      </c>
      <c r="C109" s="10" t="s">
        <v>22</v>
      </c>
      <c r="D109" s="10" t="s">
        <v>40</v>
      </c>
      <c r="E109" s="10" t="s">
        <v>693</v>
      </c>
      <c r="F109" s="10" t="s">
        <v>694</v>
      </c>
      <c r="G109" s="10" t="s">
        <v>698</v>
      </c>
      <c r="H109" s="11">
        <v>0</v>
      </c>
      <c r="I109" s="11">
        <v>0</v>
      </c>
    </row>
    <row r="110" spans="1:9" x14ac:dyDescent="0.3">
      <c r="A110" s="9" t="s">
        <v>154</v>
      </c>
      <c r="B110" s="10" t="s">
        <v>512</v>
      </c>
      <c r="C110" s="10" t="s">
        <v>22</v>
      </c>
      <c r="D110" s="10" t="s">
        <v>46</v>
      </c>
      <c r="E110" s="10" t="s">
        <v>693</v>
      </c>
      <c r="F110" s="10" t="s">
        <v>694</v>
      </c>
      <c r="G110" s="10" t="s">
        <v>700</v>
      </c>
      <c r="H110" s="11">
        <v>0</v>
      </c>
      <c r="I110" s="11">
        <v>0</v>
      </c>
    </row>
    <row r="111" spans="1:9" x14ac:dyDescent="0.3">
      <c r="A111" s="9" t="s">
        <v>73</v>
      </c>
      <c r="B111" s="10" t="s">
        <v>442</v>
      </c>
      <c r="C111" s="10" t="s">
        <v>22</v>
      </c>
      <c r="D111" s="10" t="s">
        <v>44</v>
      </c>
      <c r="E111" s="10" t="s">
        <v>693</v>
      </c>
      <c r="F111" s="10" t="s">
        <v>694</v>
      </c>
      <c r="G111" s="10" t="s">
        <v>699</v>
      </c>
      <c r="H111" s="11">
        <v>0</v>
      </c>
      <c r="I111" s="11">
        <v>0</v>
      </c>
    </row>
    <row r="112" spans="1:9" x14ac:dyDescent="0.3">
      <c r="A112" s="9" t="s">
        <v>106</v>
      </c>
      <c r="B112" s="10" t="s">
        <v>475</v>
      </c>
      <c r="C112" s="10" t="s">
        <v>20</v>
      </c>
      <c r="D112" s="10" t="s">
        <v>38</v>
      </c>
      <c r="E112" s="10" t="s">
        <v>693</v>
      </c>
      <c r="F112" s="10" t="s">
        <v>694</v>
      </c>
      <c r="G112" s="10" t="s">
        <v>696</v>
      </c>
      <c r="H112" s="11">
        <v>0</v>
      </c>
      <c r="I112" s="11">
        <v>0</v>
      </c>
    </row>
    <row r="113" spans="1:9" x14ac:dyDescent="0.3">
      <c r="A113" s="9" t="s">
        <v>39</v>
      </c>
      <c r="B113" s="10" t="s">
        <v>415</v>
      </c>
      <c r="C113" s="10" t="s">
        <v>22</v>
      </c>
      <c r="D113" s="10" t="s">
        <v>42</v>
      </c>
      <c r="E113" s="10" t="s">
        <v>693</v>
      </c>
      <c r="F113" s="10" t="s">
        <v>694</v>
      </c>
      <c r="G113" s="10" t="s">
        <v>699</v>
      </c>
      <c r="H113" s="11">
        <v>0</v>
      </c>
      <c r="I113" s="11">
        <v>0</v>
      </c>
    </row>
    <row r="114" spans="1:9" x14ac:dyDescent="0.3">
      <c r="A114" s="9" t="s">
        <v>105</v>
      </c>
      <c r="B114" s="10" t="s">
        <v>474</v>
      </c>
      <c r="C114" s="10" t="s">
        <v>20</v>
      </c>
      <c r="D114" s="10" t="s">
        <v>32</v>
      </c>
      <c r="E114" s="10" t="s">
        <v>693</v>
      </c>
      <c r="F114" s="10" t="s">
        <v>694</v>
      </c>
      <c r="G114" s="10" t="s">
        <v>696</v>
      </c>
      <c r="H114" s="11">
        <v>0</v>
      </c>
      <c r="I114" s="11">
        <v>0</v>
      </c>
    </row>
    <row r="115" spans="1:9" x14ac:dyDescent="0.3">
      <c r="A115" s="9" t="s">
        <v>98</v>
      </c>
      <c r="B115" s="10" t="s">
        <v>467</v>
      </c>
      <c r="C115" s="10" t="s">
        <v>20</v>
      </c>
      <c r="D115" s="10" t="s">
        <v>30</v>
      </c>
      <c r="E115" s="10" t="s">
        <v>693</v>
      </c>
      <c r="F115" s="10" t="s">
        <v>694</v>
      </c>
      <c r="G115" s="10" t="s">
        <v>696</v>
      </c>
      <c r="H115" s="11">
        <v>0</v>
      </c>
      <c r="I115" s="11">
        <v>0</v>
      </c>
    </row>
    <row r="116" spans="1:9" x14ac:dyDescent="0.3">
      <c r="A116" s="9" t="s">
        <v>113</v>
      </c>
      <c r="B116" s="10" t="s">
        <v>482</v>
      </c>
      <c r="C116" s="10" t="s">
        <v>20</v>
      </c>
      <c r="D116" s="10" t="s">
        <v>30</v>
      </c>
      <c r="E116" s="10" t="s">
        <v>693</v>
      </c>
      <c r="F116" s="10" t="s">
        <v>694</v>
      </c>
      <c r="G116" s="10" t="s">
        <v>696</v>
      </c>
      <c r="H116" s="11">
        <v>0</v>
      </c>
      <c r="I116" s="11">
        <v>0</v>
      </c>
    </row>
    <row r="117" spans="1:9" x14ac:dyDescent="0.3">
      <c r="A117" s="9" t="s">
        <v>157</v>
      </c>
      <c r="B117" s="10" t="s">
        <v>515</v>
      </c>
      <c r="C117" s="10" t="s">
        <v>20</v>
      </c>
      <c r="D117" s="10" t="s">
        <v>32</v>
      </c>
      <c r="E117" s="10" t="s">
        <v>693</v>
      </c>
      <c r="F117" s="10" t="s">
        <v>694</v>
      </c>
      <c r="G117" s="10" t="s">
        <v>696</v>
      </c>
      <c r="H117" s="11">
        <v>0</v>
      </c>
      <c r="I117" s="11">
        <v>0</v>
      </c>
    </row>
    <row r="118" spans="1:9" x14ac:dyDescent="0.3">
      <c r="A118" s="9" t="s">
        <v>111</v>
      </c>
      <c r="B118" s="10" t="s">
        <v>480</v>
      </c>
      <c r="C118" s="10" t="s">
        <v>20</v>
      </c>
      <c r="D118" s="10" t="s">
        <v>38</v>
      </c>
      <c r="E118" s="10" t="s">
        <v>693</v>
      </c>
      <c r="F118" s="10" t="s">
        <v>694</v>
      </c>
      <c r="G118" s="10" t="s">
        <v>696</v>
      </c>
      <c r="H118" s="11">
        <v>0</v>
      </c>
      <c r="I118" s="11">
        <v>0</v>
      </c>
    </row>
    <row r="119" spans="1:9" x14ac:dyDescent="0.3">
      <c r="A119" s="9" t="s">
        <v>75</v>
      </c>
      <c r="B119" s="10" t="s">
        <v>444</v>
      </c>
      <c r="C119" s="10" t="s">
        <v>22</v>
      </c>
      <c r="D119" s="10" t="s">
        <v>28</v>
      </c>
      <c r="E119" s="10" t="s">
        <v>693</v>
      </c>
      <c r="F119" s="10" t="s">
        <v>694</v>
      </c>
      <c r="G119" s="10" t="s">
        <v>695</v>
      </c>
      <c r="H119" s="11">
        <v>0</v>
      </c>
      <c r="I119" s="11">
        <v>0</v>
      </c>
    </row>
    <row r="120" spans="1:9" x14ac:dyDescent="0.3">
      <c r="A120" s="9" t="s">
        <v>109</v>
      </c>
      <c r="B120" s="10" t="s">
        <v>478</v>
      </c>
      <c r="C120" s="10" t="s">
        <v>20</v>
      </c>
      <c r="D120" s="10" t="s">
        <v>30</v>
      </c>
      <c r="E120" s="10" t="s">
        <v>693</v>
      </c>
      <c r="F120" s="10" t="s">
        <v>694</v>
      </c>
      <c r="G120" s="10" t="s">
        <v>696</v>
      </c>
      <c r="H120" s="11">
        <v>0</v>
      </c>
      <c r="I120" s="11">
        <v>0</v>
      </c>
    </row>
    <row r="121" spans="1:9" x14ac:dyDescent="0.3">
      <c r="A121" s="9" t="s">
        <v>90</v>
      </c>
      <c r="B121" s="10" t="s">
        <v>459</v>
      </c>
      <c r="C121" s="10" t="s">
        <v>22</v>
      </c>
      <c r="D121" s="10" t="s">
        <v>42</v>
      </c>
      <c r="E121" s="10" t="s">
        <v>693</v>
      </c>
      <c r="F121" s="10" t="s">
        <v>694</v>
      </c>
      <c r="G121" s="10" t="s">
        <v>699</v>
      </c>
      <c r="H121" s="11">
        <v>0</v>
      </c>
      <c r="I121" s="11">
        <v>0</v>
      </c>
    </row>
    <row r="122" spans="1:9" x14ac:dyDescent="0.3">
      <c r="A122" s="9" t="s">
        <v>102</v>
      </c>
      <c r="B122" s="10" t="s">
        <v>471</v>
      </c>
      <c r="C122" s="10" t="s">
        <v>22</v>
      </c>
      <c r="D122" s="10" t="s">
        <v>28</v>
      </c>
      <c r="E122" s="10" t="s">
        <v>693</v>
      </c>
      <c r="F122" s="10" t="s">
        <v>694</v>
      </c>
      <c r="G122" s="10" t="s">
        <v>695</v>
      </c>
      <c r="H122" s="11">
        <v>0</v>
      </c>
      <c r="I122" s="11">
        <v>0</v>
      </c>
    </row>
    <row r="123" spans="1:9" x14ac:dyDescent="0.3">
      <c r="A123" s="9" t="s">
        <v>262</v>
      </c>
      <c r="B123" s="10" t="s">
        <v>617</v>
      </c>
      <c r="C123" s="10" t="s">
        <v>20</v>
      </c>
      <c r="D123" s="10" t="s">
        <v>34</v>
      </c>
      <c r="E123" s="10" t="s">
        <v>707</v>
      </c>
      <c r="F123" s="10" t="s">
        <v>694</v>
      </c>
      <c r="G123" s="10" t="s">
        <v>697</v>
      </c>
      <c r="H123" s="11">
        <v>0</v>
      </c>
      <c r="I123" s="11">
        <v>0</v>
      </c>
    </row>
    <row r="124" spans="1:9" x14ac:dyDescent="0.3">
      <c r="A124" s="9" t="s">
        <v>158</v>
      </c>
      <c r="B124" s="10" t="s">
        <v>516</v>
      </c>
      <c r="C124" s="10" t="s">
        <v>22</v>
      </c>
      <c r="D124" s="10" t="s">
        <v>40</v>
      </c>
      <c r="E124" s="10" t="s">
        <v>693</v>
      </c>
      <c r="F124" s="10" t="s">
        <v>694</v>
      </c>
      <c r="G124" s="10" t="s">
        <v>698</v>
      </c>
      <c r="H124" s="11">
        <v>0</v>
      </c>
      <c r="I124" s="11">
        <v>0</v>
      </c>
    </row>
    <row r="125" spans="1:9" x14ac:dyDescent="0.3">
      <c r="A125" s="9" t="s">
        <v>115</v>
      </c>
      <c r="B125" s="10" t="s">
        <v>484</v>
      </c>
      <c r="C125" s="10" t="s">
        <v>22</v>
      </c>
      <c r="D125" s="10" t="s">
        <v>40</v>
      </c>
      <c r="E125" s="10" t="s">
        <v>693</v>
      </c>
      <c r="F125" s="10" t="s">
        <v>694</v>
      </c>
      <c r="G125" s="10" t="s">
        <v>698</v>
      </c>
      <c r="H125" s="11">
        <v>0</v>
      </c>
      <c r="I125" s="11">
        <v>0</v>
      </c>
    </row>
    <row r="126" spans="1:9" x14ac:dyDescent="0.3">
      <c r="A126" s="9" t="s">
        <v>61</v>
      </c>
      <c r="B126" s="10" t="s">
        <v>432</v>
      </c>
      <c r="C126" s="10" t="s">
        <v>22</v>
      </c>
      <c r="D126" s="10" t="s">
        <v>48</v>
      </c>
      <c r="E126" s="10" t="s">
        <v>693</v>
      </c>
      <c r="F126" s="10" t="s">
        <v>694</v>
      </c>
      <c r="G126" s="10" t="s">
        <v>699</v>
      </c>
      <c r="H126" s="11">
        <v>0</v>
      </c>
      <c r="I126" s="11">
        <v>0</v>
      </c>
    </row>
    <row r="127" spans="1:9" x14ac:dyDescent="0.3">
      <c r="A127" s="9" t="s">
        <v>160</v>
      </c>
      <c r="B127" s="10" t="s">
        <v>518</v>
      </c>
      <c r="C127" s="10" t="s">
        <v>22</v>
      </c>
      <c r="D127" s="10" t="s">
        <v>40</v>
      </c>
      <c r="E127" s="10" t="s">
        <v>693</v>
      </c>
      <c r="F127" s="10" t="s">
        <v>694</v>
      </c>
      <c r="G127" s="10" t="s">
        <v>698</v>
      </c>
      <c r="H127" s="11">
        <v>0</v>
      </c>
      <c r="I127" s="11">
        <v>0</v>
      </c>
    </row>
    <row r="128" spans="1:9" x14ac:dyDescent="0.3">
      <c r="A128" s="9" t="s">
        <v>287</v>
      </c>
      <c r="B128" s="10" t="s">
        <v>642</v>
      </c>
      <c r="C128" s="10" t="s">
        <v>20</v>
      </c>
      <c r="D128" s="10" t="s">
        <v>34</v>
      </c>
      <c r="E128" s="10" t="s">
        <v>708</v>
      </c>
      <c r="F128" s="10" t="s">
        <v>694</v>
      </c>
      <c r="G128" s="10" t="s">
        <v>697</v>
      </c>
      <c r="H128" s="11">
        <v>0</v>
      </c>
      <c r="I128" s="11">
        <v>0</v>
      </c>
    </row>
    <row r="129" spans="1:9" x14ac:dyDescent="0.3">
      <c r="A129" s="9" t="s">
        <v>159</v>
      </c>
      <c r="B129" s="10" t="s">
        <v>517</v>
      </c>
      <c r="C129" s="10" t="s">
        <v>20</v>
      </c>
      <c r="D129" s="10" t="s">
        <v>34</v>
      </c>
      <c r="E129" s="10" t="s">
        <v>693</v>
      </c>
      <c r="F129" s="10" t="s">
        <v>694</v>
      </c>
      <c r="G129" s="10" t="s">
        <v>697</v>
      </c>
      <c r="H129" s="11">
        <v>0</v>
      </c>
      <c r="I129" s="11">
        <v>0</v>
      </c>
    </row>
    <row r="130" spans="1:9" x14ac:dyDescent="0.3">
      <c r="A130" s="9" t="s">
        <v>29</v>
      </c>
      <c r="B130" s="10" t="s">
        <v>410</v>
      </c>
      <c r="C130" s="10" t="s">
        <v>20</v>
      </c>
      <c r="D130" s="10" t="s">
        <v>38</v>
      </c>
      <c r="E130" s="10" t="s">
        <v>693</v>
      </c>
      <c r="F130" s="10" t="s">
        <v>694</v>
      </c>
      <c r="G130" s="10" t="s">
        <v>696</v>
      </c>
      <c r="H130" s="11">
        <v>0</v>
      </c>
      <c r="I130" s="11">
        <v>0</v>
      </c>
    </row>
    <row r="131" spans="1:9" x14ac:dyDescent="0.3">
      <c r="A131" s="9" t="s">
        <v>55</v>
      </c>
      <c r="B131" s="10" t="s">
        <v>426</v>
      </c>
      <c r="C131" s="10" t="s">
        <v>20</v>
      </c>
      <c r="D131" s="10" t="s">
        <v>36</v>
      </c>
      <c r="E131" s="10" t="s">
        <v>693</v>
      </c>
      <c r="F131" s="10" t="s">
        <v>694</v>
      </c>
      <c r="G131" s="10" t="s">
        <v>697</v>
      </c>
      <c r="H131" s="11">
        <v>0</v>
      </c>
      <c r="I131" s="11">
        <v>0</v>
      </c>
    </row>
    <row r="132" spans="1:9" x14ac:dyDescent="0.3">
      <c r="A132" s="9" t="s">
        <v>193</v>
      </c>
      <c r="B132" s="10" t="s">
        <v>551</v>
      </c>
      <c r="C132" s="10" t="s">
        <v>22</v>
      </c>
      <c r="D132" s="10" t="s">
        <v>44</v>
      </c>
      <c r="E132" s="10" t="s">
        <v>693</v>
      </c>
      <c r="F132" s="10" t="s">
        <v>694</v>
      </c>
      <c r="G132" s="10" t="s">
        <v>698</v>
      </c>
      <c r="H132" s="11">
        <v>0</v>
      </c>
      <c r="I132" s="11">
        <v>0</v>
      </c>
    </row>
    <row r="133" spans="1:9" x14ac:dyDescent="0.3">
      <c r="A133" s="9" t="s">
        <v>218</v>
      </c>
      <c r="B133" s="10" t="s">
        <v>576</v>
      </c>
      <c r="C133" s="10" t="s">
        <v>118</v>
      </c>
      <c r="D133" s="10" t="s">
        <v>123</v>
      </c>
      <c r="E133" s="10" t="s">
        <v>702</v>
      </c>
      <c r="F133" s="10" t="s">
        <v>694</v>
      </c>
      <c r="G133" s="10" t="s">
        <v>696</v>
      </c>
      <c r="H133" s="11">
        <v>4</v>
      </c>
      <c r="I133" s="11">
        <v>0</v>
      </c>
    </row>
    <row r="134" spans="1:9" x14ac:dyDescent="0.3">
      <c r="A134" s="9" t="s">
        <v>220</v>
      </c>
      <c r="B134" s="10" t="s">
        <v>578</v>
      </c>
      <c r="C134" s="10" t="s">
        <v>20</v>
      </c>
      <c r="D134" s="10" t="s">
        <v>30</v>
      </c>
      <c r="E134" s="10" t="s">
        <v>693</v>
      </c>
      <c r="F134" s="10" t="s">
        <v>694</v>
      </c>
      <c r="G134" s="10" t="s">
        <v>696</v>
      </c>
      <c r="H134" s="11">
        <v>0</v>
      </c>
      <c r="I134" s="11">
        <v>0</v>
      </c>
    </row>
    <row r="135" spans="1:9" x14ac:dyDescent="0.3">
      <c r="A135" s="9" t="s">
        <v>222</v>
      </c>
      <c r="B135" s="10" t="s">
        <v>580</v>
      </c>
      <c r="C135" s="10" t="s">
        <v>20</v>
      </c>
      <c r="D135" s="10" t="s">
        <v>36</v>
      </c>
      <c r="E135" s="10" t="s">
        <v>693</v>
      </c>
      <c r="F135" s="10" t="s">
        <v>694</v>
      </c>
      <c r="G135" s="10" t="s">
        <v>697</v>
      </c>
      <c r="H135" s="11">
        <v>0</v>
      </c>
      <c r="I135" s="11">
        <v>0</v>
      </c>
    </row>
    <row r="136" spans="1:9" x14ac:dyDescent="0.3">
      <c r="A136" s="9" t="s">
        <v>227</v>
      </c>
      <c r="B136" s="10" t="s">
        <v>585</v>
      </c>
      <c r="C136" s="10" t="s">
        <v>118</v>
      </c>
      <c r="D136" s="10" t="s">
        <v>123</v>
      </c>
      <c r="E136" s="10" t="s">
        <v>702</v>
      </c>
      <c r="F136" s="10" t="s">
        <v>694</v>
      </c>
      <c r="G136" s="10" t="s">
        <v>697</v>
      </c>
      <c r="H136" s="11">
        <v>6</v>
      </c>
      <c r="I136" s="11">
        <v>0</v>
      </c>
    </row>
    <row r="137" spans="1:9" x14ac:dyDescent="0.3">
      <c r="A137" s="9" t="s">
        <v>233</v>
      </c>
      <c r="B137" s="10" t="s">
        <v>591</v>
      </c>
      <c r="C137" s="10" t="s">
        <v>118</v>
      </c>
      <c r="D137" s="10" t="s">
        <v>123</v>
      </c>
      <c r="E137" s="10" t="s">
        <v>702</v>
      </c>
      <c r="F137" s="10" t="s">
        <v>694</v>
      </c>
      <c r="G137" s="10" t="s">
        <v>696</v>
      </c>
      <c r="H137" s="11">
        <v>6</v>
      </c>
      <c r="I137" s="11">
        <v>0</v>
      </c>
    </row>
    <row r="138" spans="1:9" x14ac:dyDescent="0.3">
      <c r="A138" s="5" t="s">
        <v>24</v>
      </c>
      <c r="B138" s="8"/>
      <c r="C138" s="8"/>
      <c r="D138" s="8"/>
      <c r="E138" s="8"/>
      <c r="F138" s="8"/>
      <c r="G138" s="8"/>
      <c r="H138" s="13">
        <f>SUM(H5:H137)</f>
        <v>56</v>
      </c>
      <c r="I138" s="13">
        <f>SUM(I5:I137)</f>
        <v>0</v>
      </c>
    </row>
    <row r="151" spans="1:14" s="16" customFormat="1" ht="23.35" customHeight="1" x14ac:dyDescent="0.3">
      <c r="A151"/>
      <c r="B151"/>
      <c r="C151"/>
      <c r="D151"/>
      <c r="E151"/>
      <c r="F151"/>
      <c r="G151"/>
      <c r="H151"/>
      <c r="I151"/>
      <c r="L151"/>
      <c r="M151"/>
      <c r="N151"/>
    </row>
  </sheetData>
  <autoFilter ref="A4:I138" xr:uid="{7112F136-7E13-4E11-908D-A58E5915C6DC}"/>
  <mergeCells count="3">
    <mergeCell ref="A3:I3"/>
    <mergeCell ref="L3:N3"/>
    <mergeCell ref="P3:R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3FCF-104C-46E1-8B44-290AB4C833C2}">
  <dimension ref="A1:AP171"/>
  <sheetViews>
    <sheetView showGridLines="0" zoomScale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1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11" width="16" customWidth="1"/>
    <col min="12" max="19" width="16" hidden="1" customWidth="1"/>
    <col min="20" max="23" width="16" customWidth="1"/>
    <col min="24" max="25" width="0" hidden="1" customWidth="1"/>
    <col min="26" max="26" width="23" hidden="1" customWidth="1"/>
    <col min="27" max="29" width="13.88671875" hidden="1" customWidth="1"/>
    <col min="30" max="31" width="16.44140625" hidden="1" customWidth="1"/>
    <col min="32" max="35" width="16.44140625" customWidth="1"/>
    <col min="36" max="38" width="16.44140625" hidden="1" customWidth="1"/>
    <col min="39" max="42" width="16.5546875" hidden="1" customWidth="1"/>
    <col min="43" max="43" width="0" hidden="1" customWidth="1"/>
    <col min="51" max="58" width="0" hidden="1" customWidth="1"/>
    <col min="63" max="70" width="0" hidden="1" customWidth="1"/>
    <col min="75" max="82" width="0" hidden="1" customWidth="1"/>
  </cols>
  <sheetData>
    <row r="1" spans="1:42" x14ac:dyDescent="0.3">
      <c r="A1" s="1">
        <v>29</v>
      </c>
      <c r="B1" s="1">
        <v>30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42" x14ac:dyDescent="0.3">
      <c r="A2" s="1">
        <v>25</v>
      </c>
      <c r="B2" s="17"/>
    </row>
    <row r="3" spans="1:42" s="4" customFormat="1" ht="23.5" customHeight="1" x14ac:dyDescent="0.3">
      <c r="A3" s="2" t="str">
        <f>"RACING SAMSUNG (01 - "&amp;A1&amp;" SEPTEMBER 2026)"</f>
        <v>RACING SAMSUNG (01 - 29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Z3" s="2" t="str">
        <f>A3</f>
        <v>RACING SAMSUNG (01 - 29 SEPTEMBER 2026)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386</v>
      </c>
      <c r="I4" s="8" t="s">
        <v>387</v>
      </c>
      <c r="J4" s="8" t="s">
        <v>388</v>
      </c>
      <c r="K4" s="8" t="s">
        <v>389</v>
      </c>
      <c r="L4" s="8" t="s">
        <v>390</v>
      </c>
      <c r="M4" s="8" t="s">
        <v>391</v>
      </c>
      <c r="N4" s="8" t="s">
        <v>392</v>
      </c>
      <c r="O4" s="8" t="s">
        <v>393</v>
      </c>
      <c r="P4" s="8" t="s">
        <v>394</v>
      </c>
      <c r="Q4" s="8" t="s">
        <v>395</v>
      </c>
      <c r="R4" s="8" t="s">
        <v>396</v>
      </c>
      <c r="S4" s="8" t="s">
        <v>397</v>
      </c>
      <c r="T4" s="8" t="s">
        <v>398</v>
      </c>
      <c r="U4" s="8" t="s">
        <v>399</v>
      </c>
      <c r="V4" s="8" t="s">
        <v>400</v>
      </c>
      <c r="W4" s="8" t="s">
        <v>401</v>
      </c>
      <c r="Z4" s="8" t="s">
        <v>2</v>
      </c>
      <c r="AA4" s="8" t="s">
        <v>386</v>
      </c>
      <c r="AB4" s="8" t="s">
        <v>387</v>
      </c>
      <c r="AC4" s="8" t="s">
        <v>388</v>
      </c>
      <c r="AD4" s="8" t="s">
        <v>389</v>
      </c>
      <c r="AE4" s="8" t="s">
        <v>390</v>
      </c>
      <c r="AF4" s="8" t="s">
        <v>391</v>
      </c>
      <c r="AG4" s="8" t="s">
        <v>392</v>
      </c>
      <c r="AH4" s="8" t="s">
        <v>393</v>
      </c>
      <c r="AI4" s="8" t="s">
        <v>394</v>
      </c>
      <c r="AJ4" s="8" t="s">
        <v>395</v>
      </c>
      <c r="AK4" s="8" t="s">
        <v>396</v>
      </c>
      <c r="AL4" s="8" t="s">
        <v>397</v>
      </c>
      <c r="AM4" s="8" t="s">
        <v>398</v>
      </c>
      <c r="AN4" s="8" t="s">
        <v>399</v>
      </c>
      <c r="AO4" s="8" t="s">
        <v>400</v>
      </c>
      <c r="AP4" s="8" t="s">
        <v>401</v>
      </c>
    </row>
    <row r="5" spans="1:42" x14ac:dyDescent="0.3">
      <c r="A5" s="9" t="s">
        <v>82</v>
      </c>
      <c r="B5" s="10" t="s">
        <v>451</v>
      </c>
      <c r="C5" s="10" t="s">
        <v>22</v>
      </c>
      <c r="D5" s="10" t="s">
        <v>44</v>
      </c>
      <c r="E5" s="10" t="s">
        <v>693</v>
      </c>
      <c r="F5" s="10" t="s">
        <v>694</v>
      </c>
      <c r="G5" s="10" t="s">
        <v>698</v>
      </c>
      <c r="H5" s="11">
        <v>5</v>
      </c>
      <c r="I5" s="11">
        <v>5</v>
      </c>
      <c r="J5" s="11">
        <v>10</v>
      </c>
      <c r="K5" s="11">
        <v>4</v>
      </c>
      <c r="L5" s="11">
        <v>4</v>
      </c>
      <c r="M5" s="11">
        <v>2</v>
      </c>
      <c r="N5" s="11">
        <v>2</v>
      </c>
      <c r="O5" s="11">
        <v>2</v>
      </c>
      <c r="P5" s="11">
        <f>IFERROR((L5/$A$2*$B$1),0)</f>
        <v>4.8</v>
      </c>
      <c r="Q5" s="11">
        <f t="shared" ref="Q5:S20" si="0">IFERROR((M5/$A$2*$B$1),0)</f>
        <v>2.4</v>
      </c>
      <c r="R5" s="11">
        <f t="shared" si="0"/>
        <v>2.4</v>
      </c>
      <c r="S5" s="11">
        <f>IFERROR((O5/$A$2*$B$1),0)</f>
        <v>2.4</v>
      </c>
      <c r="T5" s="18">
        <f>IFERROR(P5/H5,0)</f>
        <v>0.96</v>
      </c>
      <c r="U5" s="18">
        <f t="shared" ref="U5:W20" si="1">IFERROR(Q5/I5,0)</f>
        <v>0.48</v>
      </c>
      <c r="V5" s="18">
        <f t="shared" si="1"/>
        <v>0.24</v>
      </c>
      <c r="W5" s="18">
        <f t="shared" si="1"/>
        <v>0.6</v>
      </c>
      <c r="Z5" s="10" t="s">
        <v>20</v>
      </c>
      <c r="AA5" s="11">
        <f>SUMIF($C:$C,$Z5,H:H)</f>
        <v>362</v>
      </c>
      <c r="AB5" s="11">
        <f t="shared" ref="AB5:AL7" si="2">SUMIF($C:$C,$Z5,I:I)</f>
        <v>332</v>
      </c>
      <c r="AC5" s="11">
        <f t="shared" si="2"/>
        <v>399</v>
      </c>
      <c r="AD5" s="11">
        <f t="shared" si="2"/>
        <v>246</v>
      </c>
      <c r="AE5" s="11">
        <f t="shared" si="2"/>
        <v>207</v>
      </c>
      <c r="AF5" s="11">
        <f t="shared" si="2"/>
        <v>168</v>
      </c>
      <c r="AG5" s="11">
        <f t="shared" si="2"/>
        <v>153</v>
      </c>
      <c r="AH5" s="11">
        <f t="shared" si="2"/>
        <v>188</v>
      </c>
      <c r="AI5" s="11">
        <f t="shared" si="2"/>
        <v>248.39999999999998</v>
      </c>
      <c r="AJ5" s="11">
        <f t="shared" si="2"/>
        <v>201.59999999999994</v>
      </c>
      <c r="AK5" s="11">
        <f t="shared" si="2"/>
        <v>183.59999999999991</v>
      </c>
      <c r="AL5" s="11">
        <f t="shared" si="2"/>
        <v>225.60000000000005</v>
      </c>
      <c r="AM5" s="18">
        <f>IFERROR(AI5/AA5,0)</f>
        <v>0.68618784530386734</v>
      </c>
      <c r="AN5" s="18">
        <f t="shared" ref="AN5:AP8" si="3">IFERROR(AJ5/AB5,0)</f>
        <v>0.60722891566265036</v>
      </c>
      <c r="AO5" s="18">
        <f t="shared" si="3"/>
        <v>0.46015037593984942</v>
      </c>
      <c r="AP5" s="18">
        <f t="shared" si="3"/>
        <v>0.91707317073170758</v>
      </c>
    </row>
    <row r="6" spans="1:42" x14ac:dyDescent="0.3">
      <c r="A6" s="9" t="s">
        <v>121</v>
      </c>
      <c r="B6" s="10" t="s">
        <v>488</v>
      </c>
      <c r="C6" s="10" t="s">
        <v>20</v>
      </c>
      <c r="D6" s="10" t="s">
        <v>36</v>
      </c>
      <c r="E6" s="10" t="s">
        <v>693</v>
      </c>
      <c r="F6" s="10" t="s">
        <v>694</v>
      </c>
      <c r="G6" s="10" t="s">
        <v>697</v>
      </c>
      <c r="H6" s="11">
        <v>5</v>
      </c>
      <c r="I6" s="11">
        <v>5</v>
      </c>
      <c r="J6" s="11">
        <v>7</v>
      </c>
      <c r="K6" s="11">
        <v>7</v>
      </c>
      <c r="L6" s="11">
        <v>3</v>
      </c>
      <c r="M6" s="11">
        <v>5</v>
      </c>
      <c r="N6" s="11">
        <v>1</v>
      </c>
      <c r="O6" s="11">
        <v>7</v>
      </c>
      <c r="P6" s="11">
        <f t="shared" ref="P6:S69" si="4">IFERROR((L6/$A$2*$B$1),0)</f>
        <v>3.5999999999999996</v>
      </c>
      <c r="Q6" s="11">
        <f t="shared" si="0"/>
        <v>6</v>
      </c>
      <c r="R6" s="11">
        <f t="shared" si="0"/>
        <v>1.2</v>
      </c>
      <c r="S6" s="11">
        <f t="shared" si="0"/>
        <v>8.4</v>
      </c>
      <c r="T6" s="18">
        <f t="shared" ref="T6:W69" si="5">IFERROR(P6/H6,0)</f>
        <v>0.72</v>
      </c>
      <c r="U6" s="18">
        <f t="shared" si="1"/>
        <v>1.2</v>
      </c>
      <c r="V6" s="18">
        <f t="shared" si="1"/>
        <v>0.17142857142857143</v>
      </c>
      <c r="W6" s="18">
        <f t="shared" si="1"/>
        <v>1.2</v>
      </c>
      <c r="Z6" s="10" t="s">
        <v>22</v>
      </c>
      <c r="AA6" s="11">
        <f>SUMIF($C:$C,$Z6,H:H)</f>
        <v>571</v>
      </c>
      <c r="AB6" s="11">
        <f t="shared" si="2"/>
        <v>470</v>
      </c>
      <c r="AC6" s="11">
        <f t="shared" si="2"/>
        <v>586</v>
      </c>
      <c r="AD6" s="11">
        <f t="shared" si="2"/>
        <v>393</v>
      </c>
      <c r="AE6" s="11">
        <f t="shared" si="2"/>
        <v>350</v>
      </c>
      <c r="AF6" s="11">
        <f t="shared" si="2"/>
        <v>296</v>
      </c>
      <c r="AG6" s="11">
        <f t="shared" si="2"/>
        <v>241</v>
      </c>
      <c r="AH6" s="11">
        <f t="shared" si="2"/>
        <v>264</v>
      </c>
      <c r="AI6" s="11">
        <f t="shared" si="2"/>
        <v>420</v>
      </c>
      <c r="AJ6" s="11">
        <f t="shared" si="2"/>
        <v>355.2</v>
      </c>
      <c r="AK6" s="11">
        <f t="shared" si="2"/>
        <v>289.2</v>
      </c>
      <c r="AL6" s="11">
        <f t="shared" si="2"/>
        <v>316.8</v>
      </c>
      <c r="AM6" s="18">
        <f>IFERROR(AI6/AA6,0)</f>
        <v>0.73555166374781089</v>
      </c>
      <c r="AN6" s="18">
        <f t="shared" si="3"/>
        <v>0.75574468085106383</v>
      </c>
      <c r="AO6" s="18">
        <f t="shared" si="3"/>
        <v>0.49351535836177474</v>
      </c>
      <c r="AP6" s="18">
        <f t="shared" si="3"/>
        <v>0.80610687022900762</v>
      </c>
    </row>
    <row r="7" spans="1:42" x14ac:dyDescent="0.3">
      <c r="A7" s="9" t="s">
        <v>49</v>
      </c>
      <c r="B7" s="10" t="s">
        <v>420</v>
      </c>
      <c r="C7" s="10" t="s">
        <v>22</v>
      </c>
      <c r="D7" s="10" t="s">
        <v>46</v>
      </c>
      <c r="E7" s="10" t="s">
        <v>693</v>
      </c>
      <c r="F7" s="10" t="s">
        <v>694</v>
      </c>
      <c r="G7" s="10" t="s">
        <v>700</v>
      </c>
      <c r="H7" s="11">
        <v>11</v>
      </c>
      <c r="I7" s="11">
        <v>5</v>
      </c>
      <c r="J7" s="11">
        <v>15</v>
      </c>
      <c r="K7" s="11">
        <v>3</v>
      </c>
      <c r="L7" s="11">
        <v>2</v>
      </c>
      <c r="M7" s="11">
        <v>5</v>
      </c>
      <c r="N7" s="11">
        <v>5</v>
      </c>
      <c r="O7" s="11">
        <v>8</v>
      </c>
      <c r="P7" s="11">
        <f t="shared" si="4"/>
        <v>2.4</v>
      </c>
      <c r="Q7" s="11">
        <f t="shared" si="0"/>
        <v>6</v>
      </c>
      <c r="R7" s="11">
        <f t="shared" si="0"/>
        <v>6</v>
      </c>
      <c r="S7" s="11">
        <f t="shared" si="0"/>
        <v>9.6</v>
      </c>
      <c r="T7" s="18">
        <f t="shared" si="5"/>
        <v>0.21818181818181817</v>
      </c>
      <c r="U7" s="18">
        <f t="shared" si="1"/>
        <v>1.2</v>
      </c>
      <c r="V7" s="18">
        <f t="shared" si="1"/>
        <v>0.4</v>
      </c>
      <c r="W7" s="18">
        <f t="shared" si="1"/>
        <v>3.1999999999999997</v>
      </c>
      <c r="Z7" s="10" t="s">
        <v>118</v>
      </c>
      <c r="AA7" s="11">
        <f>SUMIF($C:$C,$Z7,H:H)</f>
        <v>266</v>
      </c>
      <c r="AB7" s="11">
        <f t="shared" si="2"/>
        <v>396</v>
      </c>
      <c r="AC7" s="11">
        <f t="shared" si="2"/>
        <v>369</v>
      </c>
      <c r="AD7" s="11">
        <f t="shared" si="2"/>
        <v>424</v>
      </c>
      <c r="AE7" s="11">
        <f t="shared" si="2"/>
        <v>266</v>
      </c>
      <c r="AF7" s="11">
        <f t="shared" si="2"/>
        <v>281</v>
      </c>
      <c r="AG7" s="11">
        <f t="shared" si="2"/>
        <v>338</v>
      </c>
      <c r="AH7" s="11">
        <f t="shared" si="2"/>
        <v>639</v>
      </c>
      <c r="AI7" s="11">
        <f t="shared" si="2"/>
        <v>319.19999999999993</v>
      </c>
      <c r="AJ7" s="11">
        <f t="shared" si="2"/>
        <v>337.19999999999993</v>
      </c>
      <c r="AK7" s="11">
        <f t="shared" si="2"/>
        <v>405.6</v>
      </c>
      <c r="AL7" s="11">
        <f t="shared" si="2"/>
        <v>766.80000000000007</v>
      </c>
      <c r="AM7" s="18">
        <f>IFERROR(AI7/AA7,0)</f>
        <v>1.1999999999999997</v>
      </c>
      <c r="AN7" s="18">
        <f t="shared" si="3"/>
        <v>0.85151515151515134</v>
      </c>
      <c r="AO7" s="18">
        <f t="shared" si="3"/>
        <v>1.0991869918699189</v>
      </c>
      <c r="AP7" s="18">
        <f t="shared" si="3"/>
        <v>1.8084905660377359</v>
      </c>
    </row>
    <row r="8" spans="1:42" x14ac:dyDescent="0.3">
      <c r="A8" s="9" t="s">
        <v>125</v>
      </c>
      <c r="B8" s="10" t="s">
        <v>491</v>
      </c>
      <c r="C8" s="10" t="s">
        <v>22</v>
      </c>
      <c r="D8" s="10" t="s">
        <v>42</v>
      </c>
      <c r="E8" s="10" t="s">
        <v>693</v>
      </c>
      <c r="F8" s="10" t="s">
        <v>694</v>
      </c>
      <c r="G8" s="10" t="s">
        <v>698</v>
      </c>
      <c r="H8" s="11">
        <v>7</v>
      </c>
      <c r="I8" s="11">
        <v>12</v>
      </c>
      <c r="J8" s="11">
        <v>16</v>
      </c>
      <c r="K8" s="11">
        <v>13</v>
      </c>
      <c r="L8" s="11">
        <v>3</v>
      </c>
      <c r="M8" s="11">
        <v>8</v>
      </c>
      <c r="N8" s="11">
        <v>8</v>
      </c>
      <c r="O8" s="11">
        <v>19</v>
      </c>
      <c r="P8" s="11">
        <f t="shared" si="4"/>
        <v>3.5999999999999996</v>
      </c>
      <c r="Q8" s="11">
        <f t="shared" si="0"/>
        <v>9.6</v>
      </c>
      <c r="R8" s="11">
        <f t="shared" si="0"/>
        <v>9.6</v>
      </c>
      <c r="S8" s="11">
        <f t="shared" si="0"/>
        <v>22.8</v>
      </c>
      <c r="T8" s="18">
        <f t="shared" si="5"/>
        <v>0.51428571428571423</v>
      </c>
      <c r="U8" s="18">
        <f t="shared" si="1"/>
        <v>0.79999999999999993</v>
      </c>
      <c r="V8" s="18">
        <f t="shared" si="1"/>
        <v>0.6</v>
      </c>
      <c r="W8" s="18">
        <f t="shared" si="1"/>
        <v>1.7538461538461538</v>
      </c>
      <c r="Z8" s="5" t="s">
        <v>67</v>
      </c>
      <c r="AA8" s="13">
        <f>SUM(AA5:AA7)</f>
        <v>1199</v>
      </c>
      <c r="AB8" s="13">
        <f t="shared" ref="AB8:AL8" si="6">SUM(AB5:AB7)</f>
        <v>1198</v>
      </c>
      <c r="AC8" s="13">
        <f t="shared" si="6"/>
        <v>1354</v>
      </c>
      <c r="AD8" s="13">
        <f t="shared" si="6"/>
        <v>1063</v>
      </c>
      <c r="AE8" s="13">
        <f t="shared" si="6"/>
        <v>823</v>
      </c>
      <c r="AF8" s="13">
        <f t="shared" si="6"/>
        <v>745</v>
      </c>
      <c r="AG8" s="13">
        <f t="shared" si="6"/>
        <v>732</v>
      </c>
      <c r="AH8" s="13">
        <f t="shared" si="6"/>
        <v>1091</v>
      </c>
      <c r="AI8" s="13">
        <f t="shared" si="6"/>
        <v>987.59999999999991</v>
      </c>
      <c r="AJ8" s="13">
        <f t="shared" si="6"/>
        <v>893.99999999999989</v>
      </c>
      <c r="AK8" s="13">
        <f t="shared" si="6"/>
        <v>878.39999999999986</v>
      </c>
      <c r="AL8" s="13">
        <f t="shared" si="6"/>
        <v>1309.2000000000003</v>
      </c>
      <c r="AM8" s="14">
        <f>IFERROR(AI8/AA8,0)</f>
        <v>0.82368640533778137</v>
      </c>
      <c r="AN8" s="14">
        <f t="shared" si="3"/>
        <v>0.74624373956594314</v>
      </c>
      <c r="AO8" s="14">
        <f t="shared" si="3"/>
        <v>0.64874446085672077</v>
      </c>
      <c r="AP8" s="14">
        <f t="shared" si="3"/>
        <v>1.2316086547507059</v>
      </c>
    </row>
    <row r="9" spans="1:42" x14ac:dyDescent="0.3">
      <c r="A9" s="9" t="s">
        <v>56</v>
      </c>
      <c r="B9" s="10" t="s">
        <v>427</v>
      </c>
      <c r="C9" s="10" t="s">
        <v>22</v>
      </c>
      <c r="D9" s="10" t="s">
        <v>48</v>
      </c>
      <c r="E9" s="10" t="s">
        <v>693</v>
      </c>
      <c r="F9" s="10" t="s">
        <v>694</v>
      </c>
      <c r="G9" s="10" t="s">
        <v>699</v>
      </c>
      <c r="H9" s="11">
        <v>9</v>
      </c>
      <c r="I9" s="11">
        <v>7</v>
      </c>
      <c r="J9" s="11">
        <v>10</v>
      </c>
      <c r="K9" s="11">
        <v>3</v>
      </c>
      <c r="L9" s="11">
        <v>9</v>
      </c>
      <c r="M9" s="11">
        <v>2</v>
      </c>
      <c r="N9" s="11">
        <v>2</v>
      </c>
      <c r="O9" s="11">
        <v>3</v>
      </c>
      <c r="P9" s="11">
        <f t="shared" si="4"/>
        <v>10.799999999999999</v>
      </c>
      <c r="Q9" s="11">
        <f t="shared" si="0"/>
        <v>2.4</v>
      </c>
      <c r="R9" s="11">
        <f t="shared" si="0"/>
        <v>2.4</v>
      </c>
      <c r="S9" s="11">
        <f t="shared" si="0"/>
        <v>3.5999999999999996</v>
      </c>
      <c r="T9" s="18">
        <f t="shared" si="5"/>
        <v>1.2</v>
      </c>
      <c r="U9" s="18">
        <f t="shared" si="1"/>
        <v>0.34285714285714286</v>
      </c>
      <c r="V9" s="18">
        <f t="shared" si="1"/>
        <v>0.24</v>
      </c>
      <c r="W9" s="18">
        <f t="shared" si="1"/>
        <v>1.2</v>
      </c>
    </row>
    <row r="10" spans="1:42" x14ac:dyDescent="0.3">
      <c r="A10" s="9" t="s">
        <v>57</v>
      </c>
      <c r="B10" s="10" t="s">
        <v>428</v>
      </c>
      <c r="C10" s="10" t="s">
        <v>22</v>
      </c>
      <c r="D10" s="10" t="s">
        <v>46</v>
      </c>
      <c r="E10" s="10" t="s">
        <v>693</v>
      </c>
      <c r="F10" s="10" t="s">
        <v>694</v>
      </c>
      <c r="G10" s="10" t="s">
        <v>700</v>
      </c>
      <c r="H10" s="11">
        <v>9</v>
      </c>
      <c r="I10" s="11">
        <v>7</v>
      </c>
      <c r="J10" s="11">
        <v>11</v>
      </c>
      <c r="K10" s="11">
        <v>7</v>
      </c>
      <c r="L10" s="11">
        <v>8</v>
      </c>
      <c r="M10" s="11">
        <v>4</v>
      </c>
      <c r="N10" s="11">
        <v>3</v>
      </c>
      <c r="O10" s="11">
        <v>11</v>
      </c>
      <c r="P10" s="11">
        <f t="shared" si="4"/>
        <v>9.6</v>
      </c>
      <c r="Q10" s="11">
        <f t="shared" si="0"/>
        <v>4.8</v>
      </c>
      <c r="R10" s="11">
        <f t="shared" si="0"/>
        <v>3.5999999999999996</v>
      </c>
      <c r="S10" s="11">
        <f t="shared" si="0"/>
        <v>13.2</v>
      </c>
      <c r="T10" s="18">
        <f t="shared" si="5"/>
        <v>1.0666666666666667</v>
      </c>
      <c r="U10" s="18">
        <f t="shared" si="1"/>
        <v>0.68571428571428572</v>
      </c>
      <c r="V10" s="18">
        <f t="shared" si="1"/>
        <v>0.32727272727272722</v>
      </c>
      <c r="W10" s="18">
        <f t="shared" si="1"/>
        <v>1.8857142857142857</v>
      </c>
      <c r="Z10" s="8" t="s">
        <v>3</v>
      </c>
      <c r="AA10" s="8" t="s">
        <v>386</v>
      </c>
      <c r="AB10" s="8" t="s">
        <v>387</v>
      </c>
      <c r="AC10" s="8" t="s">
        <v>388</v>
      </c>
      <c r="AD10" s="8" t="s">
        <v>389</v>
      </c>
      <c r="AE10" s="8" t="s">
        <v>390</v>
      </c>
      <c r="AF10" s="8" t="s">
        <v>391</v>
      </c>
      <c r="AG10" s="8" t="s">
        <v>392</v>
      </c>
      <c r="AH10" s="8" t="s">
        <v>393</v>
      </c>
      <c r="AI10" s="8" t="s">
        <v>394</v>
      </c>
      <c r="AJ10" s="8" t="s">
        <v>395</v>
      </c>
      <c r="AK10" s="8" t="s">
        <v>396</v>
      </c>
      <c r="AL10" s="8" t="s">
        <v>397</v>
      </c>
      <c r="AM10" s="8" t="s">
        <v>398</v>
      </c>
      <c r="AN10" s="8" t="s">
        <v>399</v>
      </c>
      <c r="AO10" s="8" t="s">
        <v>400</v>
      </c>
      <c r="AP10" s="8" t="s">
        <v>401</v>
      </c>
    </row>
    <row r="11" spans="1:42" x14ac:dyDescent="0.3">
      <c r="A11" s="9" t="s">
        <v>124</v>
      </c>
      <c r="B11" s="10" t="s">
        <v>490</v>
      </c>
      <c r="C11" s="10" t="s">
        <v>22</v>
      </c>
      <c r="D11" s="10" t="s">
        <v>42</v>
      </c>
      <c r="E11" s="10" t="s">
        <v>693</v>
      </c>
      <c r="F11" s="10" t="s">
        <v>694</v>
      </c>
      <c r="G11" s="10" t="s">
        <v>699</v>
      </c>
      <c r="H11" s="11">
        <v>5</v>
      </c>
      <c r="I11" s="11">
        <v>5</v>
      </c>
      <c r="J11" s="11">
        <v>8</v>
      </c>
      <c r="K11" s="11">
        <v>3</v>
      </c>
      <c r="L11" s="11">
        <v>3</v>
      </c>
      <c r="M11" s="11">
        <v>5</v>
      </c>
      <c r="N11" s="11">
        <v>3</v>
      </c>
      <c r="O11" s="11">
        <v>1</v>
      </c>
      <c r="P11" s="11">
        <f t="shared" si="4"/>
        <v>3.5999999999999996</v>
      </c>
      <c r="Q11" s="11">
        <f t="shared" si="0"/>
        <v>6</v>
      </c>
      <c r="R11" s="11">
        <f t="shared" si="0"/>
        <v>3.5999999999999996</v>
      </c>
      <c r="S11" s="11">
        <f t="shared" si="0"/>
        <v>1.2</v>
      </c>
      <c r="T11" s="18">
        <f t="shared" si="5"/>
        <v>0.72</v>
      </c>
      <c r="U11" s="18">
        <f t="shared" si="1"/>
        <v>1.2</v>
      </c>
      <c r="V11" s="18">
        <f t="shared" si="1"/>
        <v>0.44999999999999996</v>
      </c>
      <c r="W11" s="18">
        <f t="shared" si="1"/>
        <v>0.39999999999999997</v>
      </c>
      <c r="Z11" s="10" t="s">
        <v>28</v>
      </c>
      <c r="AA11" s="11">
        <f t="shared" ref="AA11:AL24" si="7">SUMIF($D:$D,$Z11,H:H)</f>
        <v>112</v>
      </c>
      <c r="AB11" s="11">
        <f t="shared" si="7"/>
        <v>95</v>
      </c>
      <c r="AC11" s="11">
        <f t="shared" si="7"/>
        <v>99</v>
      </c>
      <c r="AD11" s="11">
        <f t="shared" si="7"/>
        <v>76</v>
      </c>
      <c r="AE11" s="11">
        <f t="shared" si="7"/>
        <v>58</v>
      </c>
      <c r="AF11" s="11">
        <f t="shared" si="7"/>
        <v>62</v>
      </c>
      <c r="AG11" s="11">
        <f t="shared" si="7"/>
        <v>36</v>
      </c>
      <c r="AH11" s="11">
        <f t="shared" si="7"/>
        <v>41</v>
      </c>
      <c r="AI11" s="11">
        <f t="shared" si="7"/>
        <v>69.600000000000009</v>
      </c>
      <c r="AJ11" s="11">
        <f t="shared" si="7"/>
        <v>74.399999999999991</v>
      </c>
      <c r="AK11" s="11">
        <f t="shared" si="7"/>
        <v>43.2</v>
      </c>
      <c r="AL11" s="11">
        <f t="shared" si="7"/>
        <v>49.20000000000001</v>
      </c>
      <c r="AM11" s="18">
        <f t="shared" ref="AM11:AP25" si="8">IFERROR(AI11/AA11,0)</f>
        <v>0.62142857142857155</v>
      </c>
      <c r="AN11" s="18">
        <f t="shared" si="8"/>
        <v>0.78315789473684205</v>
      </c>
      <c r="AO11" s="18">
        <f t="shared" si="8"/>
        <v>0.4363636363636364</v>
      </c>
      <c r="AP11" s="18">
        <f t="shared" si="8"/>
        <v>0.6473684210526317</v>
      </c>
    </row>
    <row r="12" spans="1:42" x14ac:dyDescent="0.3">
      <c r="A12" s="9" t="s">
        <v>155</v>
      </c>
      <c r="B12" s="10" t="s">
        <v>513</v>
      </c>
      <c r="C12" s="10" t="s">
        <v>22</v>
      </c>
      <c r="D12" s="10" t="s">
        <v>42</v>
      </c>
      <c r="E12" s="10" t="s">
        <v>693</v>
      </c>
      <c r="F12" s="10" t="s">
        <v>694</v>
      </c>
      <c r="G12" s="10" t="s">
        <v>699</v>
      </c>
      <c r="H12" s="11">
        <v>8</v>
      </c>
      <c r="I12" s="11">
        <v>5</v>
      </c>
      <c r="J12" s="11">
        <v>5</v>
      </c>
      <c r="K12" s="11">
        <v>3</v>
      </c>
      <c r="L12" s="11">
        <v>0</v>
      </c>
      <c r="M12" s="11">
        <v>1</v>
      </c>
      <c r="N12" s="11">
        <v>2</v>
      </c>
      <c r="O12" s="11">
        <v>1</v>
      </c>
      <c r="P12" s="11">
        <f t="shared" si="4"/>
        <v>0</v>
      </c>
      <c r="Q12" s="11">
        <f t="shared" si="0"/>
        <v>1.2</v>
      </c>
      <c r="R12" s="11">
        <f t="shared" si="0"/>
        <v>2.4</v>
      </c>
      <c r="S12" s="11">
        <f t="shared" si="0"/>
        <v>1.2</v>
      </c>
      <c r="T12" s="18">
        <f t="shared" si="5"/>
        <v>0</v>
      </c>
      <c r="U12" s="18">
        <f t="shared" si="1"/>
        <v>0.24</v>
      </c>
      <c r="V12" s="18">
        <f t="shared" si="1"/>
        <v>0.48</v>
      </c>
      <c r="W12" s="18">
        <f t="shared" si="1"/>
        <v>0.39999999999999997</v>
      </c>
      <c r="Z12" s="10" t="s">
        <v>48</v>
      </c>
      <c r="AA12" s="11">
        <f t="shared" si="7"/>
        <v>94</v>
      </c>
      <c r="AB12" s="11">
        <f t="shared" si="7"/>
        <v>80</v>
      </c>
      <c r="AC12" s="11">
        <f t="shared" si="7"/>
        <v>94</v>
      </c>
      <c r="AD12" s="11">
        <f t="shared" si="7"/>
        <v>77</v>
      </c>
      <c r="AE12" s="11">
        <f t="shared" si="7"/>
        <v>74</v>
      </c>
      <c r="AF12" s="11">
        <f t="shared" si="7"/>
        <v>47</v>
      </c>
      <c r="AG12" s="11">
        <f t="shared" si="7"/>
        <v>37</v>
      </c>
      <c r="AH12" s="11">
        <f t="shared" si="7"/>
        <v>39</v>
      </c>
      <c r="AI12" s="11">
        <f t="shared" si="7"/>
        <v>88.8</v>
      </c>
      <c r="AJ12" s="11">
        <f t="shared" si="7"/>
        <v>56.4</v>
      </c>
      <c r="AK12" s="11">
        <f t="shared" si="7"/>
        <v>44.4</v>
      </c>
      <c r="AL12" s="11">
        <f t="shared" si="7"/>
        <v>46.8</v>
      </c>
      <c r="AM12" s="18">
        <f t="shared" si="8"/>
        <v>0.94468085106382971</v>
      </c>
      <c r="AN12" s="18">
        <f t="shared" si="8"/>
        <v>0.70499999999999996</v>
      </c>
      <c r="AO12" s="18">
        <f t="shared" si="8"/>
        <v>0.47234042553191485</v>
      </c>
      <c r="AP12" s="18">
        <f t="shared" si="8"/>
        <v>0.60779220779220777</v>
      </c>
    </row>
    <row r="13" spans="1:42" x14ac:dyDescent="0.3">
      <c r="A13" s="9" t="s">
        <v>93</v>
      </c>
      <c r="B13" s="10" t="s">
        <v>462</v>
      </c>
      <c r="C13" s="10" t="s">
        <v>22</v>
      </c>
      <c r="D13" s="10" t="s">
        <v>42</v>
      </c>
      <c r="E13" s="10" t="s">
        <v>693</v>
      </c>
      <c r="F13" s="10" t="s">
        <v>694</v>
      </c>
      <c r="G13" s="10" t="s">
        <v>699</v>
      </c>
      <c r="H13" s="11">
        <v>5</v>
      </c>
      <c r="I13" s="11">
        <v>6</v>
      </c>
      <c r="J13" s="11">
        <v>5</v>
      </c>
      <c r="K13" s="11">
        <v>3</v>
      </c>
      <c r="L13" s="11">
        <v>7</v>
      </c>
      <c r="M13" s="11">
        <v>4</v>
      </c>
      <c r="N13" s="11">
        <v>6</v>
      </c>
      <c r="O13" s="11">
        <v>3</v>
      </c>
      <c r="P13" s="11">
        <f t="shared" si="4"/>
        <v>8.4</v>
      </c>
      <c r="Q13" s="11">
        <f t="shared" si="0"/>
        <v>4.8</v>
      </c>
      <c r="R13" s="11">
        <f t="shared" si="0"/>
        <v>7.1999999999999993</v>
      </c>
      <c r="S13" s="11">
        <f t="shared" si="0"/>
        <v>3.5999999999999996</v>
      </c>
      <c r="T13" s="18">
        <f t="shared" si="5"/>
        <v>1.6800000000000002</v>
      </c>
      <c r="U13" s="18">
        <f t="shared" si="1"/>
        <v>0.79999999999999993</v>
      </c>
      <c r="V13" s="18">
        <f t="shared" si="1"/>
        <v>1.44</v>
      </c>
      <c r="W13" s="18">
        <f t="shared" si="1"/>
        <v>1.2</v>
      </c>
      <c r="Z13" s="10" t="s">
        <v>42</v>
      </c>
      <c r="AA13" s="11">
        <f t="shared" si="7"/>
        <v>74</v>
      </c>
      <c r="AB13" s="11">
        <f t="shared" si="7"/>
        <v>64</v>
      </c>
      <c r="AC13" s="11">
        <f t="shared" si="7"/>
        <v>78</v>
      </c>
      <c r="AD13" s="11">
        <f t="shared" si="7"/>
        <v>63</v>
      </c>
      <c r="AE13" s="11">
        <f t="shared" si="7"/>
        <v>30</v>
      </c>
      <c r="AF13" s="11">
        <f t="shared" si="7"/>
        <v>35</v>
      </c>
      <c r="AG13" s="11">
        <f t="shared" si="7"/>
        <v>36</v>
      </c>
      <c r="AH13" s="11">
        <f t="shared" si="7"/>
        <v>49</v>
      </c>
      <c r="AI13" s="11">
        <f t="shared" si="7"/>
        <v>35.999999999999993</v>
      </c>
      <c r="AJ13" s="11">
        <f t="shared" si="7"/>
        <v>42</v>
      </c>
      <c r="AK13" s="11">
        <f t="shared" si="7"/>
        <v>43.199999999999989</v>
      </c>
      <c r="AL13" s="11">
        <f t="shared" si="7"/>
        <v>58.79999999999999</v>
      </c>
      <c r="AM13" s="18">
        <f t="shared" si="8"/>
        <v>0.4864864864864864</v>
      </c>
      <c r="AN13" s="18">
        <f t="shared" si="8"/>
        <v>0.65625</v>
      </c>
      <c r="AO13" s="18">
        <f t="shared" si="8"/>
        <v>0.55384615384615365</v>
      </c>
      <c r="AP13" s="18">
        <f t="shared" si="8"/>
        <v>0.93333333333333313</v>
      </c>
    </row>
    <row r="14" spans="1:42" x14ac:dyDescent="0.3">
      <c r="A14" s="9" t="s">
        <v>101</v>
      </c>
      <c r="B14" s="10" t="s">
        <v>470</v>
      </c>
      <c r="C14" s="10" t="s">
        <v>22</v>
      </c>
      <c r="D14" s="10" t="s">
        <v>48</v>
      </c>
      <c r="E14" s="10" t="s">
        <v>693</v>
      </c>
      <c r="F14" s="10" t="s">
        <v>694</v>
      </c>
      <c r="G14" s="10" t="s">
        <v>699</v>
      </c>
      <c r="H14" s="11">
        <v>6</v>
      </c>
      <c r="I14" s="11">
        <v>9</v>
      </c>
      <c r="J14" s="11">
        <v>5</v>
      </c>
      <c r="K14" s="11">
        <v>9</v>
      </c>
      <c r="L14" s="11">
        <v>2</v>
      </c>
      <c r="M14" s="11">
        <v>5</v>
      </c>
      <c r="N14" s="11">
        <v>2</v>
      </c>
      <c r="O14" s="11">
        <v>0</v>
      </c>
      <c r="P14" s="11">
        <f t="shared" si="4"/>
        <v>2.4</v>
      </c>
      <c r="Q14" s="11">
        <f t="shared" si="0"/>
        <v>6</v>
      </c>
      <c r="R14" s="11">
        <f t="shared" si="0"/>
        <v>2.4</v>
      </c>
      <c r="S14" s="11">
        <f t="shared" si="0"/>
        <v>0</v>
      </c>
      <c r="T14" s="18">
        <f t="shared" si="5"/>
        <v>0.39999999999999997</v>
      </c>
      <c r="U14" s="18">
        <f t="shared" si="1"/>
        <v>0.66666666666666663</v>
      </c>
      <c r="V14" s="18">
        <f t="shared" si="1"/>
        <v>0.48</v>
      </c>
      <c r="W14" s="18">
        <f t="shared" si="1"/>
        <v>0</v>
      </c>
      <c r="Z14" s="10" t="s">
        <v>38</v>
      </c>
      <c r="AA14" s="11">
        <f t="shared" si="7"/>
        <v>75</v>
      </c>
      <c r="AB14" s="11">
        <f t="shared" si="7"/>
        <v>73</v>
      </c>
      <c r="AC14" s="11">
        <f t="shared" si="7"/>
        <v>94</v>
      </c>
      <c r="AD14" s="11">
        <f t="shared" si="7"/>
        <v>54</v>
      </c>
      <c r="AE14" s="11">
        <f t="shared" si="7"/>
        <v>33</v>
      </c>
      <c r="AF14" s="11">
        <f t="shared" si="7"/>
        <v>47</v>
      </c>
      <c r="AG14" s="11">
        <f t="shared" si="7"/>
        <v>36</v>
      </c>
      <c r="AH14" s="11">
        <f t="shared" si="7"/>
        <v>55</v>
      </c>
      <c r="AI14" s="11">
        <f t="shared" si="7"/>
        <v>39.6</v>
      </c>
      <c r="AJ14" s="11">
        <f t="shared" si="7"/>
        <v>56.400000000000006</v>
      </c>
      <c r="AK14" s="11">
        <f t="shared" si="7"/>
        <v>43.20000000000001</v>
      </c>
      <c r="AL14" s="11">
        <f t="shared" si="7"/>
        <v>66</v>
      </c>
      <c r="AM14" s="18">
        <f t="shared" si="8"/>
        <v>0.52800000000000002</v>
      </c>
      <c r="AN14" s="18">
        <f t="shared" si="8"/>
        <v>0.77260273972602744</v>
      </c>
      <c r="AO14" s="18">
        <f t="shared" si="8"/>
        <v>0.45957446808510649</v>
      </c>
      <c r="AP14" s="18">
        <f t="shared" si="8"/>
        <v>1.2222222222222223</v>
      </c>
    </row>
    <row r="15" spans="1:42" x14ac:dyDescent="0.3">
      <c r="A15" s="9" t="s">
        <v>54</v>
      </c>
      <c r="B15" s="10" t="s">
        <v>425</v>
      </c>
      <c r="C15" s="10" t="s">
        <v>22</v>
      </c>
      <c r="D15" s="10" t="s">
        <v>48</v>
      </c>
      <c r="E15" s="10" t="s">
        <v>693</v>
      </c>
      <c r="F15" s="10" t="s">
        <v>694</v>
      </c>
      <c r="G15" s="10" t="s">
        <v>699</v>
      </c>
      <c r="H15" s="11">
        <v>5</v>
      </c>
      <c r="I15" s="11">
        <v>9</v>
      </c>
      <c r="J15" s="11">
        <v>8</v>
      </c>
      <c r="K15" s="11">
        <v>3</v>
      </c>
      <c r="L15" s="11">
        <v>11</v>
      </c>
      <c r="M15" s="11">
        <v>6</v>
      </c>
      <c r="N15" s="11">
        <v>4</v>
      </c>
      <c r="O15" s="11">
        <v>2</v>
      </c>
      <c r="P15" s="11">
        <f t="shared" si="4"/>
        <v>13.2</v>
      </c>
      <c r="Q15" s="11">
        <f t="shared" si="0"/>
        <v>7.1999999999999993</v>
      </c>
      <c r="R15" s="11">
        <f t="shared" si="0"/>
        <v>4.8</v>
      </c>
      <c r="S15" s="11">
        <f t="shared" si="0"/>
        <v>2.4</v>
      </c>
      <c r="T15" s="18">
        <f t="shared" si="5"/>
        <v>2.6399999999999997</v>
      </c>
      <c r="U15" s="18">
        <f t="shared" si="1"/>
        <v>0.79999999999999993</v>
      </c>
      <c r="V15" s="18">
        <f t="shared" si="1"/>
        <v>0.6</v>
      </c>
      <c r="W15" s="18">
        <f t="shared" si="1"/>
        <v>0.79999999999999993</v>
      </c>
      <c r="Z15" s="10" t="s">
        <v>32</v>
      </c>
      <c r="AA15" s="11">
        <f t="shared" si="7"/>
        <v>62</v>
      </c>
      <c r="AB15" s="11">
        <f t="shared" si="7"/>
        <v>62</v>
      </c>
      <c r="AC15" s="11">
        <f t="shared" si="7"/>
        <v>71</v>
      </c>
      <c r="AD15" s="11">
        <f t="shared" si="7"/>
        <v>30</v>
      </c>
      <c r="AE15" s="11">
        <f t="shared" si="7"/>
        <v>50</v>
      </c>
      <c r="AF15" s="11">
        <f t="shared" si="7"/>
        <v>34</v>
      </c>
      <c r="AG15" s="11">
        <f t="shared" si="7"/>
        <v>38</v>
      </c>
      <c r="AH15" s="11">
        <f t="shared" si="7"/>
        <v>15</v>
      </c>
      <c r="AI15" s="11">
        <f t="shared" si="7"/>
        <v>60</v>
      </c>
      <c r="AJ15" s="11">
        <f t="shared" si="7"/>
        <v>40.799999999999997</v>
      </c>
      <c r="AK15" s="11">
        <f t="shared" si="7"/>
        <v>45.6</v>
      </c>
      <c r="AL15" s="11">
        <f t="shared" si="7"/>
        <v>18</v>
      </c>
      <c r="AM15" s="18">
        <f t="shared" si="8"/>
        <v>0.967741935483871</v>
      </c>
      <c r="AN15" s="18">
        <f t="shared" si="8"/>
        <v>0.65806451612903216</v>
      </c>
      <c r="AO15" s="18">
        <f t="shared" si="8"/>
        <v>0.6422535211267606</v>
      </c>
      <c r="AP15" s="18">
        <f t="shared" si="8"/>
        <v>0.6</v>
      </c>
    </row>
    <row r="16" spans="1:42" x14ac:dyDescent="0.3">
      <c r="A16" s="9" t="s">
        <v>154</v>
      </c>
      <c r="B16" s="10" t="s">
        <v>512</v>
      </c>
      <c r="C16" s="10" t="s">
        <v>22</v>
      </c>
      <c r="D16" s="10" t="s">
        <v>46</v>
      </c>
      <c r="E16" s="10" t="s">
        <v>693</v>
      </c>
      <c r="F16" s="10" t="s">
        <v>694</v>
      </c>
      <c r="G16" s="10" t="s">
        <v>700</v>
      </c>
      <c r="H16" s="11">
        <v>5</v>
      </c>
      <c r="I16" s="11">
        <v>8</v>
      </c>
      <c r="J16" s="11">
        <v>10</v>
      </c>
      <c r="K16" s="11">
        <v>3</v>
      </c>
      <c r="L16" s="11">
        <v>8</v>
      </c>
      <c r="M16" s="11">
        <v>1</v>
      </c>
      <c r="N16" s="11">
        <v>0</v>
      </c>
      <c r="O16" s="11">
        <v>0</v>
      </c>
      <c r="P16" s="11">
        <f t="shared" si="4"/>
        <v>9.6</v>
      </c>
      <c r="Q16" s="11">
        <f t="shared" si="0"/>
        <v>1.2</v>
      </c>
      <c r="R16" s="11">
        <f t="shared" si="0"/>
        <v>0</v>
      </c>
      <c r="S16" s="11">
        <f t="shared" si="0"/>
        <v>0</v>
      </c>
      <c r="T16" s="18">
        <f t="shared" si="5"/>
        <v>1.92</v>
      </c>
      <c r="U16" s="18">
        <f t="shared" si="1"/>
        <v>0.15</v>
      </c>
      <c r="V16" s="18">
        <f t="shared" si="1"/>
        <v>0</v>
      </c>
      <c r="W16" s="18">
        <f t="shared" si="1"/>
        <v>0</v>
      </c>
      <c r="Z16" s="10" t="s">
        <v>36</v>
      </c>
      <c r="AA16" s="11">
        <f t="shared" si="7"/>
        <v>81</v>
      </c>
      <c r="AB16" s="11">
        <f t="shared" si="7"/>
        <v>64</v>
      </c>
      <c r="AC16" s="11">
        <f t="shared" si="7"/>
        <v>67</v>
      </c>
      <c r="AD16" s="11">
        <f t="shared" si="7"/>
        <v>50</v>
      </c>
      <c r="AE16" s="11">
        <f t="shared" si="7"/>
        <v>43</v>
      </c>
      <c r="AF16" s="11">
        <f t="shared" si="7"/>
        <v>36</v>
      </c>
      <c r="AG16" s="11">
        <f t="shared" si="7"/>
        <v>25</v>
      </c>
      <c r="AH16" s="11">
        <f t="shared" si="7"/>
        <v>36</v>
      </c>
      <c r="AI16" s="11">
        <f t="shared" si="7"/>
        <v>51.599999999999994</v>
      </c>
      <c r="AJ16" s="11">
        <f t="shared" si="7"/>
        <v>43.199999999999996</v>
      </c>
      <c r="AK16" s="11">
        <f t="shared" si="7"/>
        <v>29.999999999999996</v>
      </c>
      <c r="AL16" s="11">
        <f t="shared" si="7"/>
        <v>43.2</v>
      </c>
      <c r="AM16" s="18">
        <f t="shared" si="8"/>
        <v>0.63703703703703696</v>
      </c>
      <c r="AN16" s="18">
        <f t="shared" si="8"/>
        <v>0.67499999999999993</v>
      </c>
      <c r="AO16" s="18">
        <f t="shared" si="8"/>
        <v>0.44776119402985071</v>
      </c>
      <c r="AP16" s="18">
        <f t="shared" si="8"/>
        <v>0.8640000000000001</v>
      </c>
    </row>
    <row r="17" spans="1:42" x14ac:dyDescent="0.3">
      <c r="A17" s="9" t="s">
        <v>81</v>
      </c>
      <c r="B17" s="10" t="s">
        <v>450</v>
      </c>
      <c r="C17" s="10" t="s">
        <v>22</v>
      </c>
      <c r="D17" s="10" t="s">
        <v>28</v>
      </c>
      <c r="E17" s="10" t="s">
        <v>693</v>
      </c>
      <c r="F17" s="10" t="s">
        <v>694</v>
      </c>
      <c r="G17" s="10" t="s">
        <v>695</v>
      </c>
      <c r="H17" s="11">
        <v>6</v>
      </c>
      <c r="I17" s="11">
        <v>5</v>
      </c>
      <c r="J17" s="11">
        <v>8</v>
      </c>
      <c r="K17" s="11">
        <v>3</v>
      </c>
      <c r="L17" s="11">
        <v>5</v>
      </c>
      <c r="M17" s="11">
        <v>2</v>
      </c>
      <c r="N17" s="11">
        <v>3</v>
      </c>
      <c r="O17" s="11">
        <v>1</v>
      </c>
      <c r="P17" s="11">
        <f t="shared" si="4"/>
        <v>6</v>
      </c>
      <c r="Q17" s="11">
        <f t="shared" si="0"/>
        <v>2.4</v>
      </c>
      <c r="R17" s="11">
        <f t="shared" si="0"/>
        <v>3.5999999999999996</v>
      </c>
      <c r="S17" s="11">
        <f t="shared" si="0"/>
        <v>1.2</v>
      </c>
      <c r="T17" s="18">
        <f t="shared" si="5"/>
        <v>1</v>
      </c>
      <c r="U17" s="18">
        <f t="shared" si="1"/>
        <v>0.48</v>
      </c>
      <c r="V17" s="18">
        <f t="shared" si="1"/>
        <v>0.44999999999999996</v>
      </c>
      <c r="W17" s="18">
        <f t="shared" si="1"/>
        <v>0.39999999999999997</v>
      </c>
      <c r="Z17" s="10" t="s">
        <v>34</v>
      </c>
      <c r="AA17" s="11">
        <f t="shared" si="7"/>
        <v>63</v>
      </c>
      <c r="AB17" s="11">
        <f t="shared" si="7"/>
        <v>56</v>
      </c>
      <c r="AC17" s="11">
        <f t="shared" si="7"/>
        <v>71</v>
      </c>
      <c r="AD17" s="11">
        <f t="shared" si="7"/>
        <v>59</v>
      </c>
      <c r="AE17" s="11">
        <f t="shared" si="7"/>
        <v>32</v>
      </c>
      <c r="AF17" s="11">
        <f t="shared" si="7"/>
        <v>16</v>
      </c>
      <c r="AG17" s="11">
        <f t="shared" si="7"/>
        <v>21</v>
      </c>
      <c r="AH17" s="11">
        <f t="shared" si="7"/>
        <v>30</v>
      </c>
      <c r="AI17" s="11">
        <f t="shared" si="7"/>
        <v>38.4</v>
      </c>
      <c r="AJ17" s="11">
        <f t="shared" si="7"/>
        <v>19.199999999999996</v>
      </c>
      <c r="AK17" s="11">
        <f t="shared" si="7"/>
        <v>25.199999999999996</v>
      </c>
      <c r="AL17" s="11">
        <f t="shared" si="7"/>
        <v>35.999999999999993</v>
      </c>
      <c r="AM17" s="18">
        <f t="shared" si="8"/>
        <v>0.60952380952380947</v>
      </c>
      <c r="AN17" s="18">
        <f t="shared" si="8"/>
        <v>0.3428571428571428</v>
      </c>
      <c r="AO17" s="18">
        <f t="shared" si="8"/>
        <v>0.35492957746478865</v>
      </c>
      <c r="AP17" s="18">
        <f t="shared" si="8"/>
        <v>0.61016949152542366</v>
      </c>
    </row>
    <row r="18" spans="1:42" x14ac:dyDescent="0.3">
      <c r="A18" s="9" t="s">
        <v>102</v>
      </c>
      <c r="B18" s="10" t="s">
        <v>471</v>
      </c>
      <c r="C18" s="10" t="s">
        <v>22</v>
      </c>
      <c r="D18" s="10" t="s">
        <v>28</v>
      </c>
      <c r="E18" s="10" t="s">
        <v>693</v>
      </c>
      <c r="F18" s="10" t="s">
        <v>694</v>
      </c>
      <c r="G18" s="10" t="s">
        <v>695</v>
      </c>
      <c r="H18" s="11">
        <v>7</v>
      </c>
      <c r="I18" s="11">
        <v>5</v>
      </c>
      <c r="J18" s="11">
        <v>5</v>
      </c>
      <c r="K18" s="11">
        <v>3</v>
      </c>
      <c r="L18" s="11">
        <v>4</v>
      </c>
      <c r="M18" s="11">
        <v>4</v>
      </c>
      <c r="N18" s="11">
        <v>1</v>
      </c>
      <c r="O18" s="11">
        <v>0</v>
      </c>
      <c r="P18" s="11">
        <f t="shared" si="4"/>
        <v>4.8</v>
      </c>
      <c r="Q18" s="11">
        <f t="shared" si="0"/>
        <v>4.8</v>
      </c>
      <c r="R18" s="11">
        <f t="shared" si="0"/>
        <v>1.2</v>
      </c>
      <c r="S18" s="11">
        <f t="shared" si="0"/>
        <v>0</v>
      </c>
      <c r="T18" s="18">
        <f t="shared" si="5"/>
        <v>0.68571428571428572</v>
      </c>
      <c r="U18" s="18">
        <f t="shared" si="1"/>
        <v>0.96</v>
      </c>
      <c r="V18" s="18">
        <f t="shared" si="1"/>
        <v>0.24</v>
      </c>
      <c r="W18" s="18">
        <f t="shared" si="1"/>
        <v>0</v>
      </c>
      <c r="Z18" s="10" t="s">
        <v>46</v>
      </c>
      <c r="AA18" s="11">
        <f t="shared" si="7"/>
        <v>110</v>
      </c>
      <c r="AB18" s="11">
        <f t="shared" si="7"/>
        <v>88</v>
      </c>
      <c r="AC18" s="11">
        <f t="shared" si="7"/>
        <v>124</v>
      </c>
      <c r="AD18" s="11">
        <f t="shared" si="7"/>
        <v>54</v>
      </c>
      <c r="AE18" s="11">
        <f t="shared" si="7"/>
        <v>74</v>
      </c>
      <c r="AF18" s="11">
        <f t="shared" si="7"/>
        <v>38</v>
      </c>
      <c r="AG18" s="11">
        <f t="shared" si="7"/>
        <v>40</v>
      </c>
      <c r="AH18" s="11">
        <f t="shared" si="7"/>
        <v>41</v>
      </c>
      <c r="AI18" s="11">
        <f t="shared" si="7"/>
        <v>88.800000000000011</v>
      </c>
      <c r="AJ18" s="11">
        <f t="shared" si="7"/>
        <v>45.6</v>
      </c>
      <c r="AK18" s="11">
        <f t="shared" si="7"/>
        <v>47.999999999999986</v>
      </c>
      <c r="AL18" s="11">
        <f t="shared" si="7"/>
        <v>49.199999999999989</v>
      </c>
      <c r="AM18" s="18">
        <f t="shared" si="8"/>
        <v>0.80727272727272736</v>
      </c>
      <c r="AN18" s="18">
        <f t="shared" si="8"/>
        <v>0.51818181818181819</v>
      </c>
      <c r="AO18" s="18">
        <f t="shared" si="8"/>
        <v>0.38709677419354827</v>
      </c>
      <c r="AP18" s="18">
        <f t="shared" si="8"/>
        <v>0.91111111111111087</v>
      </c>
    </row>
    <row r="19" spans="1:42" x14ac:dyDescent="0.3">
      <c r="A19" s="9" t="s">
        <v>104</v>
      </c>
      <c r="B19" s="10" t="s">
        <v>473</v>
      </c>
      <c r="C19" s="10" t="s">
        <v>22</v>
      </c>
      <c r="D19" s="10" t="s">
        <v>28</v>
      </c>
      <c r="E19" s="10" t="s">
        <v>693</v>
      </c>
      <c r="F19" s="10" t="s">
        <v>694</v>
      </c>
      <c r="G19" s="10" t="s">
        <v>695</v>
      </c>
      <c r="H19" s="11">
        <v>5</v>
      </c>
      <c r="I19" s="11">
        <v>5</v>
      </c>
      <c r="J19" s="11">
        <v>5</v>
      </c>
      <c r="K19" s="11">
        <v>3</v>
      </c>
      <c r="L19" s="11">
        <v>4</v>
      </c>
      <c r="M19" s="11">
        <v>0</v>
      </c>
      <c r="N19" s="11">
        <v>0</v>
      </c>
      <c r="O19" s="11">
        <v>0</v>
      </c>
      <c r="P19" s="11">
        <f t="shared" si="4"/>
        <v>4.8</v>
      </c>
      <c r="Q19" s="11">
        <f t="shared" si="0"/>
        <v>0</v>
      </c>
      <c r="R19" s="11">
        <f t="shared" si="0"/>
        <v>0</v>
      </c>
      <c r="S19" s="11">
        <f t="shared" si="0"/>
        <v>0</v>
      </c>
      <c r="T19" s="18">
        <f t="shared" si="5"/>
        <v>0.96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Z19" s="10" t="s">
        <v>40</v>
      </c>
      <c r="AA19" s="11">
        <f t="shared" si="7"/>
        <v>108</v>
      </c>
      <c r="AB19" s="11">
        <f t="shared" si="7"/>
        <v>75</v>
      </c>
      <c r="AC19" s="11">
        <f t="shared" si="7"/>
        <v>90</v>
      </c>
      <c r="AD19" s="11">
        <f t="shared" si="7"/>
        <v>58</v>
      </c>
      <c r="AE19" s="11">
        <f t="shared" si="7"/>
        <v>68</v>
      </c>
      <c r="AF19" s="11">
        <f t="shared" si="7"/>
        <v>64</v>
      </c>
      <c r="AG19" s="11">
        <f t="shared" si="7"/>
        <v>54</v>
      </c>
      <c r="AH19" s="11">
        <f t="shared" si="7"/>
        <v>38</v>
      </c>
      <c r="AI19" s="11">
        <f t="shared" si="7"/>
        <v>81.600000000000009</v>
      </c>
      <c r="AJ19" s="11">
        <f t="shared" si="7"/>
        <v>76.8</v>
      </c>
      <c r="AK19" s="11">
        <f t="shared" si="7"/>
        <v>64.799999999999983</v>
      </c>
      <c r="AL19" s="11">
        <f t="shared" si="7"/>
        <v>45.6</v>
      </c>
      <c r="AM19" s="18">
        <f t="shared" si="8"/>
        <v>0.75555555555555565</v>
      </c>
      <c r="AN19" s="18">
        <f t="shared" si="8"/>
        <v>1.024</v>
      </c>
      <c r="AO19" s="18">
        <f t="shared" si="8"/>
        <v>0.71999999999999986</v>
      </c>
      <c r="AP19" s="18">
        <f t="shared" si="8"/>
        <v>0.78620689655172415</v>
      </c>
    </row>
    <row r="20" spans="1:42" x14ac:dyDescent="0.3">
      <c r="A20" s="9" t="s">
        <v>58</v>
      </c>
      <c r="B20" s="10" t="s">
        <v>429</v>
      </c>
      <c r="C20" s="10" t="s">
        <v>22</v>
      </c>
      <c r="D20" s="10" t="s">
        <v>48</v>
      </c>
      <c r="E20" s="10" t="s">
        <v>693</v>
      </c>
      <c r="F20" s="10" t="s">
        <v>694</v>
      </c>
      <c r="G20" s="10" t="s">
        <v>699</v>
      </c>
      <c r="H20" s="11">
        <v>13</v>
      </c>
      <c r="I20" s="11">
        <v>6</v>
      </c>
      <c r="J20" s="11">
        <v>9</v>
      </c>
      <c r="K20" s="11">
        <v>3</v>
      </c>
      <c r="L20" s="11">
        <v>12</v>
      </c>
      <c r="M20" s="11">
        <v>6</v>
      </c>
      <c r="N20" s="11">
        <v>8</v>
      </c>
      <c r="O20" s="11">
        <v>2</v>
      </c>
      <c r="P20" s="11">
        <f t="shared" si="4"/>
        <v>14.399999999999999</v>
      </c>
      <c r="Q20" s="11">
        <f t="shared" si="0"/>
        <v>7.1999999999999993</v>
      </c>
      <c r="R20" s="11">
        <f t="shared" si="0"/>
        <v>9.6</v>
      </c>
      <c r="S20" s="11">
        <f t="shared" si="0"/>
        <v>2.4</v>
      </c>
      <c r="T20" s="18">
        <f t="shared" si="5"/>
        <v>1.1076923076923075</v>
      </c>
      <c r="U20" s="18">
        <f t="shared" si="1"/>
        <v>1.2</v>
      </c>
      <c r="V20" s="18">
        <f t="shared" si="1"/>
        <v>1.0666666666666667</v>
      </c>
      <c r="W20" s="18">
        <f t="shared" si="1"/>
        <v>0.79999999999999993</v>
      </c>
      <c r="Z20" s="10" t="s">
        <v>30</v>
      </c>
      <c r="AA20" s="11">
        <f t="shared" si="7"/>
        <v>81</v>
      </c>
      <c r="AB20" s="11">
        <f t="shared" si="7"/>
        <v>77</v>
      </c>
      <c r="AC20" s="11">
        <f t="shared" si="7"/>
        <v>96</v>
      </c>
      <c r="AD20" s="11">
        <f t="shared" si="7"/>
        <v>53</v>
      </c>
      <c r="AE20" s="11">
        <f t="shared" si="7"/>
        <v>49</v>
      </c>
      <c r="AF20" s="11">
        <f t="shared" si="7"/>
        <v>35</v>
      </c>
      <c r="AG20" s="11">
        <f t="shared" si="7"/>
        <v>33</v>
      </c>
      <c r="AH20" s="11">
        <f t="shared" si="7"/>
        <v>52</v>
      </c>
      <c r="AI20" s="11">
        <f t="shared" si="7"/>
        <v>58.800000000000004</v>
      </c>
      <c r="AJ20" s="11">
        <f t="shared" si="7"/>
        <v>42.000000000000007</v>
      </c>
      <c r="AK20" s="11">
        <f t="shared" si="7"/>
        <v>39.599999999999994</v>
      </c>
      <c r="AL20" s="11">
        <f t="shared" si="7"/>
        <v>62.4</v>
      </c>
      <c r="AM20" s="18">
        <f t="shared" si="8"/>
        <v>0.72592592592592597</v>
      </c>
      <c r="AN20" s="18">
        <f t="shared" si="8"/>
        <v>0.54545454545454553</v>
      </c>
      <c r="AO20" s="18">
        <f t="shared" si="8"/>
        <v>0.41249999999999992</v>
      </c>
      <c r="AP20" s="18">
        <f t="shared" si="8"/>
        <v>1.1773584905660377</v>
      </c>
    </row>
    <row r="21" spans="1:42" x14ac:dyDescent="0.3">
      <c r="A21" s="9" t="s">
        <v>88</v>
      </c>
      <c r="B21" s="10" t="s">
        <v>457</v>
      </c>
      <c r="C21" s="10" t="s">
        <v>22</v>
      </c>
      <c r="D21" s="10" t="s">
        <v>48</v>
      </c>
      <c r="E21" s="10" t="s">
        <v>693</v>
      </c>
      <c r="F21" s="10" t="s">
        <v>694</v>
      </c>
      <c r="G21" s="10" t="s">
        <v>699</v>
      </c>
      <c r="H21" s="11">
        <v>8</v>
      </c>
      <c r="I21" s="11">
        <v>5</v>
      </c>
      <c r="J21" s="11">
        <v>5</v>
      </c>
      <c r="K21" s="11">
        <v>3</v>
      </c>
      <c r="L21" s="11">
        <v>7</v>
      </c>
      <c r="M21" s="11">
        <v>2</v>
      </c>
      <c r="N21" s="11">
        <v>3</v>
      </c>
      <c r="O21" s="11">
        <v>1</v>
      </c>
      <c r="P21" s="11">
        <f t="shared" si="4"/>
        <v>8.4</v>
      </c>
      <c r="Q21" s="11">
        <f t="shared" si="4"/>
        <v>2.4</v>
      </c>
      <c r="R21" s="11">
        <f t="shared" si="4"/>
        <v>3.5999999999999996</v>
      </c>
      <c r="S21" s="11">
        <f t="shared" si="4"/>
        <v>1.2</v>
      </c>
      <c r="T21" s="18">
        <f t="shared" si="5"/>
        <v>1.05</v>
      </c>
      <c r="U21" s="18">
        <f t="shared" si="5"/>
        <v>0.48</v>
      </c>
      <c r="V21" s="18">
        <f t="shared" si="5"/>
        <v>0.72</v>
      </c>
      <c r="W21" s="18">
        <f t="shared" si="5"/>
        <v>0.39999999999999997</v>
      </c>
      <c r="Z21" s="10" t="s">
        <v>44</v>
      </c>
      <c r="AA21" s="11">
        <f t="shared" si="7"/>
        <v>73</v>
      </c>
      <c r="AB21" s="11">
        <f t="shared" si="7"/>
        <v>68</v>
      </c>
      <c r="AC21" s="11">
        <f t="shared" si="7"/>
        <v>101</v>
      </c>
      <c r="AD21" s="11">
        <f t="shared" si="7"/>
        <v>65</v>
      </c>
      <c r="AE21" s="11">
        <f t="shared" si="7"/>
        <v>46</v>
      </c>
      <c r="AF21" s="11">
        <f t="shared" si="7"/>
        <v>50</v>
      </c>
      <c r="AG21" s="11">
        <f t="shared" si="7"/>
        <v>38</v>
      </c>
      <c r="AH21" s="11">
        <f t="shared" si="7"/>
        <v>56</v>
      </c>
      <c r="AI21" s="11">
        <f t="shared" si="7"/>
        <v>55.199999999999996</v>
      </c>
      <c r="AJ21" s="11">
        <f t="shared" si="7"/>
        <v>60</v>
      </c>
      <c r="AK21" s="11">
        <f t="shared" si="7"/>
        <v>45.6</v>
      </c>
      <c r="AL21" s="11">
        <f t="shared" si="7"/>
        <v>67.199999999999989</v>
      </c>
      <c r="AM21" s="18">
        <f t="shared" si="8"/>
        <v>0.75616438356164373</v>
      </c>
      <c r="AN21" s="18">
        <f t="shared" si="8"/>
        <v>0.88235294117647056</v>
      </c>
      <c r="AO21" s="18">
        <f t="shared" si="8"/>
        <v>0.4514851485148515</v>
      </c>
      <c r="AP21" s="18">
        <f t="shared" si="8"/>
        <v>1.0338461538461536</v>
      </c>
    </row>
    <row r="22" spans="1:42" x14ac:dyDescent="0.3">
      <c r="A22" s="9" t="s">
        <v>152</v>
      </c>
      <c r="B22" s="10" t="s">
        <v>510</v>
      </c>
      <c r="C22" s="10" t="s">
        <v>22</v>
      </c>
      <c r="D22" s="10" t="s">
        <v>46</v>
      </c>
      <c r="E22" s="10" t="s">
        <v>693</v>
      </c>
      <c r="F22" s="10" t="s">
        <v>694</v>
      </c>
      <c r="G22" s="10" t="s">
        <v>700</v>
      </c>
      <c r="H22" s="11">
        <v>7</v>
      </c>
      <c r="I22" s="11">
        <v>6</v>
      </c>
      <c r="J22" s="11">
        <v>9</v>
      </c>
      <c r="K22" s="11">
        <v>3</v>
      </c>
      <c r="L22" s="11">
        <v>2</v>
      </c>
      <c r="M22" s="11">
        <v>3</v>
      </c>
      <c r="N22" s="11">
        <v>3</v>
      </c>
      <c r="O22" s="11">
        <v>1</v>
      </c>
      <c r="P22" s="11">
        <f t="shared" si="4"/>
        <v>2.4</v>
      </c>
      <c r="Q22" s="11">
        <f t="shared" si="4"/>
        <v>3.5999999999999996</v>
      </c>
      <c r="R22" s="11">
        <f t="shared" si="4"/>
        <v>3.5999999999999996</v>
      </c>
      <c r="S22" s="11">
        <f t="shared" si="4"/>
        <v>1.2</v>
      </c>
      <c r="T22" s="18">
        <f t="shared" si="5"/>
        <v>0.34285714285714286</v>
      </c>
      <c r="U22" s="18">
        <f t="shared" si="5"/>
        <v>0.6</v>
      </c>
      <c r="V22" s="18">
        <f t="shared" si="5"/>
        <v>0.39999999999999997</v>
      </c>
      <c r="W22" s="18">
        <f t="shared" si="5"/>
        <v>0.39999999999999997</v>
      </c>
      <c r="Z22" s="10" t="s">
        <v>134</v>
      </c>
      <c r="AA22" s="11">
        <f t="shared" si="7"/>
        <v>106</v>
      </c>
      <c r="AB22" s="11">
        <f t="shared" si="7"/>
        <v>188</v>
      </c>
      <c r="AC22" s="11">
        <f t="shared" si="7"/>
        <v>173</v>
      </c>
      <c r="AD22" s="11">
        <f t="shared" si="7"/>
        <v>201</v>
      </c>
      <c r="AE22" s="11">
        <f t="shared" si="7"/>
        <v>121</v>
      </c>
      <c r="AF22" s="11">
        <f t="shared" si="7"/>
        <v>146</v>
      </c>
      <c r="AG22" s="11">
        <f t="shared" si="7"/>
        <v>168</v>
      </c>
      <c r="AH22" s="11">
        <f t="shared" si="7"/>
        <v>279</v>
      </c>
      <c r="AI22" s="11">
        <f t="shared" si="7"/>
        <v>145.20000000000002</v>
      </c>
      <c r="AJ22" s="11">
        <f t="shared" si="7"/>
        <v>175.2</v>
      </c>
      <c r="AK22" s="11">
        <f t="shared" si="7"/>
        <v>201.60000000000002</v>
      </c>
      <c r="AL22" s="11">
        <f t="shared" si="7"/>
        <v>334.8</v>
      </c>
      <c r="AM22" s="18">
        <f t="shared" si="8"/>
        <v>1.3698113207547171</v>
      </c>
      <c r="AN22" s="18">
        <f t="shared" si="8"/>
        <v>0.93191489361702118</v>
      </c>
      <c r="AO22" s="18">
        <f t="shared" si="8"/>
        <v>1.1653179190751446</v>
      </c>
      <c r="AP22" s="18">
        <f t="shared" si="8"/>
        <v>1.6656716417910449</v>
      </c>
    </row>
    <row r="23" spans="1:42" x14ac:dyDescent="0.3">
      <c r="A23" s="9" t="s">
        <v>110</v>
      </c>
      <c r="B23" s="10" t="s">
        <v>479</v>
      </c>
      <c r="C23" s="10" t="s">
        <v>22</v>
      </c>
      <c r="D23" s="10" t="s">
        <v>44</v>
      </c>
      <c r="E23" s="10" t="s">
        <v>693</v>
      </c>
      <c r="F23" s="10" t="s">
        <v>694</v>
      </c>
      <c r="G23" s="10" t="s">
        <v>698</v>
      </c>
      <c r="H23" s="11">
        <v>5</v>
      </c>
      <c r="I23" s="11">
        <v>5</v>
      </c>
      <c r="J23" s="11">
        <v>5</v>
      </c>
      <c r="K23" s="11">
        <v>3</v>
      </c>
      <c r="L23" s="11">
        <v>1</v>
      </c>
      <c r="M23" s="11">
        <v>0</v>
      </c>
      <c r="N23" s="11">
        <v>0</v>
      </c>
      <c r="O23" s="11">
        <v>0</v>
      </c>
      <c r="P23" s="11">
        <f t="shared" si="4"/>
        <v>1.2</v>
      </c>
      <c r="Q23" s="11">
        <f t="shared" si="4"/>
        <v>0</v>
      </c>
      <c r="R23" s="11">
        <f t="shared" si="4"/>
        <v>0</v>
      </c>
      <c r="S23" s="11">
        <f t="shared" si="4"/>
        <v>0</v>
      </c>
      <c r="T23" s="18">
        <f t="shared" si="5"/>
        <v>0.24</v>
      </c>
      <c r="U23" s="18">
        <f t="shared" si="5"/>
        <v>0</v>
      </c>
      <c r="V23" s="18">
        <f t="shared" si="5"/>
        <v>0</v>
      </c>
      <c r="W23" s="18">
        <f t="shared" si="5"/>
        <v>0</v>
      </c>
      <c r="Z23" s="10" t="s">
        <v>136</v>
      </c>
      <c r="AA23" s="11">
        <f>SUMIF($D:$D,$Z23,H:H)</f>
        <v>150</v>
      </c>
      <c r="AB23" s="11">
        <f t="shared" si="7"/>
        <v>198</v>
      </c>
      <c r="AC23" s="11">
        <f t="shared" si="7"/>
        <v>186</v>
      </c>
      <c r="AD23" s="11">
        <f t="shared" si="7"/>
        <v>218</v>
      </c>
      <c r="AE23" s="11">
        <f t="shared" si="7"/>
        <v>141</v>
      </c>
      <c r="AF23" s="11">
        <f t="shared" si="7"/>
        <v>131</v>
      </c>
      <c r="AG23" s="11">
        <f t="shared" si="7"/>
        <v>167</v>
      </c>
      <c r="AH23" s="11">
        <f t="shared" si="7"/>
        <v>355</v>
      </c>
      <c r="AI23" s="11">
        <f t="shared" si="7"/>
        <v>169.20000000000007</v>
      </c>
      <c r="AJ23" s="11">
        <f t="shared" si="7"/>
        <v>157.20000000000002</v>
      </c>
      <c r="AK23" s="11">
        <f t="shared" si="7"/>
        <v>200.4</v>
      </c>
      <c r="AL23" s="11">
        <f>SUMIF($D:$D,$Z23,S:S)</f>
        <v>425.99999999999994</v>
      </c>
      <c r="AM23" s="18">
        <f>IFERROR(AI23/AA23,0)</f>
        <v>1.1280000000000006</v>
      </c>
      <c r="AN23" s="18">
        <f t="shared" si="8"/>
        <v>0.79393939393939406</v>
      </c>
      <c r="AO23" s="18">
        <f t="shared" si="8"/>
        <v>1.0774193548387097</v>
      </c>
      <c r="AP23" s="18">
        <f t="shared" si="8"/>
        <v>1.9541284403669723</v>
      </c>
    </row>
    <row r="24" spans="1:42" x14ac:dyDescent="0.3">
      <c r="A24" s="9" t="s">
        <v>160</v>
      </c>
      <c r="B24" s="10" t="s">
        <v>518</v>
      </c>
      <c r="C24" s="10" t="s">
        <v>22</v>
      </c>
      <c r="D24" s="10" t="s">
        <v>40</v>
      </c>
      <c r="E24" s="10" t="s">
        <v>693</v>
      </c>
      <c r="F24" s="10" t="s">
        <v>694</v>
      </c>
      <c r="G24" s="10" t="s">
        <v>698</v>
      </c>
      <c r="H24" s="11">
        <v>10</v>
      </c>
      <c r="I24" s="11">
        <v>5</v>
      </c>
      <c r="J24" s="11">
        <v>5</v>
      </c>
      <c r="K24" s="11">
        <v>3</v>
      </c>
      <c r="L24" s="11">
        <v>7</v>
      </c>
      <c r="M24" s="11">
        <v>5</v>
      </c>
      <c r="N24" s="11">
        <v>4</v>
      </c>
      <c r="O24" s="11">
        <v>1</v>
      </c>
      <c r="P24" s="11">
        <f t="shared" si="4"/>
        <v>8.4</v>
      </c>
      <c r="Q24" s="11">
        <f t="shared" si="4"/>
        <v>6</v>
      </c>
      <c r="R24" s="11">
        <f t="shared" si="4"/>
        <v>4.8</v>
      </c>
      <c r="S24" s="11">
        <f t="shared" si="4"/>
        <v>1.2</v>
      </c>
      <c r="T24" s="18">
        <f t="shared" si="5"/>
        <v>0.84000000000000008</v>
      </c>
      <c r="U24" s="18">
        <f t="shared" si="5"/>
        <v>1.2</v>
      </c>
      <c r="V24" s="18">
        <f t="shared" si="5"/>
        <v>0.96</v>
      </c>
      <c r="W24" s="18">
        <f t="shared" si="5"/>
        <v>0.39999999999999997</v>
      </c>
      <c r="Z24" s="10" t="s">
        <v>128</v>
      </c>
      <c r="AA24" s="11">
        <f>SUMIF($D:$D,$Z24,H:H)</f>
        <v>10</v>
      </c>
      <c r="AB24" s="11">
        <f t="shared" si="7"/>
        <v>10</v>
      </c>
      <c r="AC24" s="11">
        <f t="shared" si="7"/>
        <v>10</v>
      </c>
      <c r="AD24" s="11">
        <f t="shared" si="7"/>
        <v>5</v>
      </c>
      <c r="AE24" s="11">
        <f t="shared" si="7"/>
        <v>4</v>
      </c>
      <c r="AF24" s="11">
        <f t="shared" si="7"/>
        <v>4</v>
      </c>
      <c r="AG24" s="11">
        <f t="shared" si="7"/>
        <v>3</v>
      </c>
      <c r="AH24" s="11">
        <f t="shared" si="7"/>
        <v>5</v>
      </c>
      <c r="AI24" s="11">
        <f t="shared" si="7"/>
        <v>4.8</v>
      </c>
      <c r="AJ24" s="11">
        <f t="shared" si="7"/>
        <v>4.8</v>
      </c>
      <c r="AK24" s="11">
        <f t="shared" si="7"/>
        <v>3.5999999999999996</v>
      </c>
      <c r="AL24" s="11">
        <f>SUMIF($D:$D,$Z24,S:S)</f>
        <v>6</v>
      </c>
      <c r="AM24" s="18">
        <f>IFERROR(AI24/AA24,0)</f>
        <v>0.48</v>
      </c>
      <c r="AN24" s="18">
        <f t="shared" si="8"/>
        <v>0.48</v>
      </c>
      <c r="AO24" s="18">
        <f t="shared" si="8"/>
        <v>0.36</v>
      </c>
      <c r="AP24" s="18">
        <f t="shared" si="8"/>
        <v>1.2</v>
      </c>
    </row>
    <row r="25" spans="1:42" x14ac:dyDescent="0.3">
      <c r="A25" s="9" t="s">
        <v>156</v>
      </c>
      <c r="B25" s="10" t="s">
        <v>514</v>
      </c>
      <c r="C25" s="10" t="s">
        <v>22</v>
      </c>
      <c r="D25" s="10" t="s">
        <v>46</v>
      </c>
      <c r="E25" s="10" t="s">
        <v>693</v>
      </c>
      <c r="F25" s="10" t="s">
        <v>694</v>
      </c>
      <c r="G25" s="10" t="s">
        <v>700</v>
      </c>
      <c r="H25" s="11">
        <v>5</v>
      </c>
      <c r="I25" s="11">
        <v>5</v>
      </c>
      <c r="J25" s="11">
        <v>5</v>
      </c>
      <c r="K25" s="11">
        <v>3</v>
      </c>
      <c r="L25" s="11">
        <v>7</v>
      </c>
      <c r="M25" s="11">
        <v>0</v>
      </c>
      <c r="N25" s="11">
        <v>1</v>
      </c>
      <c r="O25" s="11">
        <v>0</v>
      </c>
      <c r="P25" s="11">
        <f t="shared" si="4"/>
        <v>8.4</v>
      </c>
      <c r="Q25" s="11">
        <f t="shared" si="4"/>
        <v>0</v>
      </c>
      <c r="R25" s="11">
        <f t="shared" si="4"/>
        <v>1.2</v>
      </c>
      <c r="S25" s="11">
        <f t="shared" si="4"/>
        <v>0</v>
      </c>
      <c r="T25" s="18">
        <f t="shared" si="5"/>
        <v>1.6800000000000002</v>
      </c>
      <c r="U25" s="18">
        <f t="shared" si="5"/>
        <v>0</v>
      </c>
      <c r="V25" s="18">
        <f t="shared" si="5"/>
        <v>0.24</v>
      </c>
      <c r="W25" s="18">
        <f t="shared" si="5"/>
        <v>0</v>
      </c>
      <c r="Z25" s="5" t="s">
        <v>67</v>
      </c>
      <c r="AA25" s="13">
        <f>SUM(AA11:AA24)</f>
        <v>1199</v>
      </c>
      <c r="AB25" s="13">
        <f t="shared" ref="AB25:AK25" si="9">SUM(AB11:AB24)</f>
        <v>1198</v>
      </c>
      <c r="AC25" s="13">
        <f t="shared" si="9"/>
        <v>1354</v>
      </c>
      <c r="AD25" s="13">
        <f t="shared" si="9"/>
        <v>1063</v>
      </c>
      <c r="AE25" s="13">
        <f t="shared" si="9"/>
        <v>823</v>
      </c>
      <c r="AF25" s="13">
        <f t="shared" si="9"/>
        <v>745</v>
      </c>
      <c r="AG25" s="13">
        <f t="shared" si="9"/>
        <v>732</v>
      </c>
      <c r="AH25" s="13">
        <f t="shared" si="9"/>
        <v>1091</v>
      </c>
      <c r="AI25" s="13">
        <f t="shared" si="9"/>
        <v>987.6</v>
      </c>
      <c r="AJ25" s="13">
        <f t="shared" si="9"/>
        <v>894</v>
      </c>
      <c r="AK25" s="13">
        <f t="shared" si="9"/>
        <v>878.40000000000009</v>
      </c>
      <c r="AL25" s="13">
        <f>SUM(AL11:AL24)</f>
        <v>1309.2</v>
      </c>
      <c r="AM25" s="14">
        <f>IFERROR(AI25/AA25,0)</f>
        <v>0.82368640533778148</v>
      </c>
      <c r="AN25" s="14">
        <f t="shared" si="8"/>
        <v>0.74624373956594325</v>
      </c>
      <c r="AO25" s="14">
        <f t="shared" si="8"/>
        <v>0.64874446085672088</v>
      </c>
      <c r="AP25" s="14">
        <f t="shared" si="8"/>
        <v>1.2316086547507057</v>
      </c>
    </row>
    <row r="26" spans="1:42" x14ac:dyDescent="0.3">
      <c r="A26" s="9" t="s">
        <v>114</v>
      </c>
      <c r="B26" s="10" t="s">
        <v>483</v>
      </c>
      <c r="C26" s="10" t="s">
        <v>22</v>
      </c>
      <c r="D26" s="10" t="s">
        <v>44</v>
      </c>
      <c r="E26" s="10" t="s">
        <v>693</v>
      </c>
      <c r="F26" s="10" t="s">
        <v>694</v>
      </c>
      <c r="G26" s="10" t="s">
        <v>698</v>
      </c>
      <c r="H26" s="11">
        <v>5</v>
      </c>
      <c r="I26" s="11">
        <v>5</v>
      </c>
      <c r="J26" s="11">
        <v>6</v>
      </c>
      <c r="K26" s="11">
        <v>3</v>
      </c>
      <c r="L26" s="11">
        <v>7</v>
      </c>
      <c r="M26" s="11">
        <v>2</v>
      </c>
      <c r="N26" s="11">
        <v>2</v>
      </c>
      <c r="O26" s="11">
        <v>1</v>
      </c>
      <c r="P26" s="11">
        <f t="shared" si="4"/>
        <v>8.4</v>
      </c>
      <c r="Q26" s="11">
        <f t="shared" si="4"/>
        <v>2.4</v>
      </c>
      <c r="R26" s="11">
        <f t="shared" si="4"/>
        <v>2.4</v>
      </c>
      <c r="S26" s="11">
        <f t="shared" si="4"/>
        <v>1.2</v>
      </c>
      <c r="T26" s="18">
        <f t="shared" si="5"/>
        <v>1.6800000000000002</v>
      </c>
      <c r="U26" s="18">
        <f t="shared" si="5"/>
        <v>0.48</v>
      </c>
      <c r="V26" s="18">
        <f t="shared" si="5"/>
        <v>0.39999999999999997</v>
      </c>
      <c r="W26" s="18">
        <f t="shared" si="5"/>
        <v>0.39999999999999997</v>
      </c>
    </row>
    <row r="27" spans="1:42" x14ac:dyDescent="0.3">
      <c r="A27" s="9" t="s">
        <v>108</v>
      </c>
      <c r="B27" s="10" t="s">
        <v>477</v>
      </c>
      <c r="C27" s="10" t="s">
        <v>22</v>
      </c>
      <c r="D27" s="10" t="s">
        <v>40</v>
      </c>
      <c r="E27" s="10" t="s">
        <v>693</v>
      </c>
      <c r="F27" s="10" t="s">
        <v>694</v>
      </c>
      <c r="G27" s="10" t="s">
        <v>698</v>
      </c>
      <c r="H27" s="11">
        <v>6</v>
      </c>
      <c r="I27" s="11">
        <v>5</v>
      </c>
      <c r="J27" s="11">
        <v>5</v>
      </c>
      <c r="K27" s="11">
        <v>7</v>
      </c>
      <c r="L27" s="11">
        <v>7</v>
      </c>
      <c r="M27" s="11">
        <v>2</v>
      </c>
      <c r="N27" s="11">
        <v>2</v>
      </c>
      <c r="O27" s="11">
        <v>5</v>
      </c>
      <c r="P27" s="11">
        <f t="shared" si="4"/>
        <v>8.4</v>
      </c>
      <c r="Q27" s="11">
        <f t="shared" si="4"/>
        <v>2.4</v>
      </c>
      <c r="R27" s="11">
        <f t="shared" si="4"/>
        <v>2.4</v>
      </c>
      <c r="S27" s="11">
        <f t="shared" si="4"/>
        <v>6</v>
      </c>
      <c r="T27" s="18">
        <f t="shared" si="5"/>
        <v>1.4000000000000001</v>
      </c>
      <c r="U27" s="18">
        <f t="shared" si="5"/>
        <v>0.48</v>
      </c>
      <c r="V27" s="18">
        <f t="shared" si="5"/>
        <v>0.48</v>
      </c>
      <c r="W27" s="18">
        <f t="shared" si="5"/>
        <v>0.8571428571428571</v>
      </c>
    </row>
    <row r="28" spans="1:42" x14ac:dyDescent="0.3">
      <c r="A28" s="9" t="s">
        <v>153</v>
      </c>
      <c r="B28" s="10" t="s">
        <v>511</v>
      </c>
      <c r="C28" s="10" t="s">
        <v>22</v>
      </c>
      <c r="D28" s="10" t="s">
        <v>46</v>
      </c>
      <c r="E28" s="10" t="s">
        <v>693</v>
      </c>
      <c r="F28" s="10" t="s">
        <v>694</v>
      </c>
      <c r="G28" s="10" t="s">
        <v>700</v>
      </c>
      <c r="H28" s="11">
        <v>5</v>
      </c>
      <c r="I28" s="11">
        <v>7</v>
      </c>
      <c r="J28" s="11">
        <v>10</v>
      </c>
      <c r="K28" s="11">
        <v>7</v>
      </c>
      <c r="L28" s="11">
        <v>3</v>
      </c>
      <c r="M28" s="11">
        <v>1</v>
      </c>
      <c r="N28" s="11">
        <v>4</v>
      </c>
      <c r="O28" s="11">
        <v>2</v>
      </c>
      <c r="P28" s="11">
        <f t="shared" si="4"/>
        <v>3.5999999999999996</v>
      </c>
      <c r="Q28" s="11">
        <f t="shared" si="4"/>
        <v>1.2</v>
      </c>
      <c r="R28" s="11">
        <f t="shared" si="4"/>
        <v>4.8</v>
      </c>
      <c r="S28" s="11">
        <f t="shared" si="4"/>
        <v>2.4</v>
      </c>
      <c r="T28" s="18">
        <f t="shared" si="5"/>
        <v>0.72</v>
      </c>
      <c r="U28" s="18">
        <f t="shared" si="5"/>
        <v>0.17142857142857143</v>
      </c>
      <c r="V28" s="18">
        <f t="shared" si="5"/>
        <v>0.48</v>
      </c>
      <c r="W28" s="18">
        <f t="shared" si="5"/>
        <v>0.34285714285714286</v>
      </c>
    </row>
    <row r="29" spans="1:42" x14ac:dyDescent="0.3">
      <c r="A29" s="9" t="s">
        <v>39</v>
      </c>
      <c r="B29" s="10" t="s">
        <v>415</v>
      </c>
      <c r="C29" s="10" t="s">
        <v>22</v>
      </c>
      <c r="D29" s="10" t="s">
        <v>42</v>
      </c>
      <c r="E29" s="10" t="s">
        <v>693</v>
      </c>
      <c r="F29" s="10" t="s">
        <v>694</v>
      </c>
      <c r="G29" s="10" t="s">
        <v>699</v>
      </c>
      <c r="H29" s="11">
        <v>5</v>
      </c>
      <c r="I29" s="11">
        <v>5</v>
      </c>
      <c r="J29" s="11">
        <v>5</v>
      </c>
      <c r="K29" s="11">
        <v>3</v>
      </c>
      <c r="L29" s="11">
        <v>1</v>
      </c>
      <c r="M29" s="11">
        <v>1</v>
      </c>
      <c r="N29" s="11">
        <v>2</v>
      </c>
      <c r="O29" s="11">
        <v>1</v>
      </c>
      <c r="P29" s="11">
        <f t="shared" si="4"/>
        <v>1.2</v>
      </c>
      <c r="Q29" s="11">
        <f t="shared" si="4"/>
        <v>1.2</v>
      </c>
      <c r="R29" s="11">
        <f t="shared" si="4"/>
        <v>2.4</v>
      </c>
      <c r="S29" s="11">
        <f t="shared" si="4"/>
        <v>1.2</v>
      </c>
      <c r="T29" s="18">
        <f t="shared" si="5"/>
        <v>0.24</v>
      </c>
      <c r="U29" s="18">
        <f t="shared" si="5"/>
        <v>0.24</v>
      </c>
      <c r="V29" s="18">
        <f t="shared" si="5"/>
        <v>0.48</v>
      </c>
      <c r="W29" s="18">
        <f t="shared" si="5"/>
        <v>0.39999999999999997</v>
      </c>
    </row>
    <row r="30" spans="1:42" x14ac:dyDescent="0.3">
      <c r="A30" s="9" t="s">
        <v>89</v>
      </c>
      <c r="B30" s="10" t="s">
        <v>458</v>
      </c>
      <c r="C30" s="10" t="s">
        <v>22</v>
      </c>
      <c r="D30" s="10" t="s">
        <v>40</v>
      </c>
      <c r="E30" s="10" t="s">
        <v>693</v>
      </c>
      <c r="F30" s="10" t="s">
        <v>694</v>
      </c>
      <c r="G30" s="10" t="s">
        <v>698</v>
      </c>
      <c r="H30" s="11">
        <v>9</v>
      </c>
      <c r="I30" s="11">
        <v>6</v>
      </c>
      <c r="J30" s="11">
        <v>7</v>
      </c>
      <c r="K30" s="11">
        <v>3</v>
      </c>
      <c r="L30" s="11">
        <v>11</v>
      </c>
      <c r="M30" s="11">
        <v>11</v>
      </c>
      <c r="N30" s="11">
        <v>5</v>
      </c>
      <c r="O30" s="11">
        <v>3</v>
      </c>
      <c r="P30" s="11">
        <f t="shared" si="4"/>
        <v>13.2</v>
      </c>
      <c r="Q30" s="11">
        <f t="shared" si="4"/>
        <v>13.2</v>
      </c>
      <c r="R30" s="11">
        <f t="shared" si="4"/>
        <v>6</v>
      </c>
      <c r="S30" s="11">
        <f t="shared" si="4"/>
        <v>3.5999999999999996</v>
      </c>
      <c r="T30" s="18">
        <f t="shared" si="5"/>
        <v>1.4666666666666666</v>
      </c>
      <c r="U30" s="18">
        <f t="shared" si="5"/>
        <v>2.1999999999999997</v>
      </c>
      <c r="V30" s="18">
        <f t="shared" si="5"/>
        <v>0.8571428571428571</v>
      </c>
      <c r="W30" s="18">
        <f t="shared" si="5"/>
        <v>1.2</v>
      </c>
    </row>
    <row r="31" spans="1:42" x14ac:dyDescent="0.3">
      <c r="A31" s="9" t="s">
        <v>80</v>
      </c>
      <c r="B31" s="10" t="s">
        <v>449</v>
      </c>
      <c r="C31" s="10" t="s">
        <v>22</v>
      </c>
      <c r="D31" s="10" t="s">
        <v>28</v>
      </c>
      <c r="E31" s="10" t="s">
        <v>693</v>
      </c>
      <c r="F31" s="10" t="s">
        <v>694</v>
      </c>
      <c r="G31" s="10" t="s">
        <v>695</v>
      </c>
      <c r="H31" s="11">
        <v>7</v>
      </c>
      <c r="I31" s="11">
        <v>5</v>
      </c>
      <c r="J31" s="11">
        <v>6</v>
      </c>
      <c r="K31" s="11">
        <v>3</v>
      </c>
      <c r="L31" s="11">
        <v>6</v>
      </c>
      <c r="M31" s="11">
        <v>1</v>
      </c>
      <c r="N31" s="11">
        <v>1</v>
      </c>
      <c r="O31" s="11">
        <v>1</v>
      </c>
      <c r="P31" s="11">
        <f t="shared" si="4"/>
        <v>7.1999999999999993</v>
      </c>
      <c r="Q31" s="11">
        <f t="shared" si="4"/>
        <v>1.2</v>
      </c>
      <c r="R31" s="11">
        <f t="shared" si="4"/>
        <v>1.2</v>
      </c>
      <c r="S31" s="11">
        <f t="shared" si="4"/>
        <v>1.2</v>
      </c>
      <c r="T31" s="18">
        <f t="shared" si="5"/>
        <v>1.0285714285714285</v>
      </c>
      <c r="U31" s="18">
        <f t="shared" si="5"/>
        <v>0.24</v>
      </c>
      <c r="V31" s="18">
        <f t="shared" si="5"/>
        <v>0.19999999999999998</v>
      </c>
      <c r="W31" s="18">
        <f t="shared" si="5"/>
        <v>0.39999999999999997</v>
      </c>
    </row>
    <row r="32" spans="1:42" x14ac:dyDescent="0.3">
      <c r="A32" s="9" t="s">
        <v>99</v>
      </c>
      <c r="B32" s="10" t="s">
        <v>468</v>
      </c>
      <c r="C32" s="10" t="s">
        <v>22</v>
      </c>
      <c r="D32" s="10" t="s">
        <v>44</v>
      </c>
      <c r="E32" s="10" t="s">
        <v>693</v>
      </c>
      <c r="F32" s="10" t="s">
        <v>694</v>
      </c>
      <c r="G32" s="10" t="s">
        <v>698</v>
      </c>
      <c r="H32" s="11">
        <v>9</v>
      </c>
      <c r="I32" s="11">
        <v>5</v>
      </c>
      <c r="J32" s="11">
        <v>6</v>
      </c>
      <c r="K32" s="11">
        <v>5</v>
      </c>
      <c r="L32" s="11">
        <v>7</v>
      </c>
      <c r="M32" s="11">
        <v>7</v>
      </c>
      <c r="N32" s="11">
        <v>1</v>
      </c>
      <c r="O32" s="11">
        <v>4</v>
      </c>
      <c r="P32" s="11">
        <f t="shared" si="4"/>
        <v>8.4</v>
      </c>
      <c r="Q32" s="11">
        <f t="shared" si="4"/>
        <v>8.4</v>
      </c>
      <c r="R32" s="11">
        <f t="shared" si="4"/>
        <v>1.2</v>
      </c>
      <c r="S32" s="11">
        <f t="shared" si="4"/>
        <v>4.8</v>
      </c>
      <c r="T32" s="18">
        <f t="shared" si="5"/>
        <v>0.93333333333333335</v>
      </c>
      <c r="U32" s="18">
        <f t="shared" si="5"/>
        <v>1.6800000000000002</v>
      </c>
      <c r="V32" s="18">
        <f t="shared" si="5"/>
        <v>0.19999999999999998</v>
      </c>
      <c r="W32" s="18">
        <f t="shared" si="5"/>
        <v>0.96</v>
      </c>
    </row>
    <row r="33" spans="1:23" x14ac:dyDescent="0.3">
      <c r="A33" s="9" t="s">
        <v>90</v>
      </c>
      <c r="B33" s="10" t="s">
        <v>459</v>
      </c>
      <c r="C33" s="10" t="s">
        <v>22</v>
      </c>
      <c r="D33" s="10" t="s">
        <v>42</v>
      </c>
      <c r="E33" s="10" t="s">
        <v>693</v>
      </c>
      <c r="F33" s="10" t="s">
        <v>694</v>
      </c>
      <c r="G33" s="10" t="s">
        <v>699</v>
      </c>
      <c r="H33" s="11">
        <v>5</v>
      </c>
      <c r="I33" s="11">
        <v>5</v>
      </c>
      <c r="J33" s="11">
        <v>5</v>
      </c>
      <c r="K33" s="11">
        <v>3</v>
      </c>
      <c r="L33" s="11">
        <v>2</v>
      </c>
      <c r="M33" s="11">
        <v>0</v>
      </c>
      <c r="N33" s="11">
        <v>3</v>
      </c>
      <c r="O33" s="11">
        <v>1</v>
      </c>
      <c r="P33" s="11">
        <f t="shared" si="4"/>
        <v>2.4</v>
      </c>
      <c r="Q33" s="11">
        <f t="shared" si="4"/>
        <v>0</v>
      </c>
      <c r="R33" s="11">
        <f t="shared" si="4"/>
        <v>3.5999999999999996</v>
      </c>
      <c r="S33" s="11">
        <f t="shared" si="4"/>
        <v>1.2</v>
      </c>
      <c r="T33" s="18">
        <f t="shared" si="5"/>
        <v>0.48</v>
      </c>
      <c r="U33" s="18">
        <f t="shared" si="5"/>
        <v>0</v>
      </c>
      <c r="V33" s="18">
        <f t="shared" si="5"/>
        <v>0.72</v>
      </c>
      <c r="W33" s="18">
        <f t="shared" si="5"/>
        <v>0.39999999999999997</v>
      </c>
    </row>
    <row r="34" spans="1:23" x14ac:dyDescent="0.3">
      <c r="A34" s="9" t="s">
        <v>85</v>
      </c>
      <c r="B34" s="10" t="s">
        <v>454</v>
      </c>
      <c r="C34" s="10" t="s">
        <v>22</v>
      </c>
      <c r="D34" s="10" t="s">
        <v>46</v>
      </c>
      <c r="E34" s="10" t="s">
        <v>693</v>
      </c>
      <c r="F34" s="10" t="s">
        <v>694</v>
      </c>
      <c r="G34" s="10" t="s">
        <v>700</v>
      </c>
      <c r="H34" s="11">
        <v>5</v>
      </c>
      <c r="I34" s="11">
        <v>6</v>
      </c>
      <c r="J34" s="11">
        <v>6</v>
      </c>
      <c r="K34" s="11">
        <v>9</v>
      </c>
      <c r="L34" s="11">
        <v>2</v>
      </c>
      <c r="M34" s="11">
        <v>1</v>
      </c>
      <c r="N34" s="11">
        <v>1</v>
      </c>
      <c r="O34" s="11">
        <v>2</v>
      </c>
      <c r="P34" s="11">
        <f t="shared" si="4"/>
        <v>2.4</v>
      </c>
      <c r="Q34" s="11">
        <f t="shared" si="4"/>
        <v>1.2</v>
      </c>
      <c r="R34" s="11">
        <f t="shared" si="4"/>
        <v>1.2</v>
      </c>
      <c r="S34" s="11">
        <f t="shared" si="4"/>
        <v>2.4</v>
      </c>
      <c r="T34" s="18">
        <f t="shared" si="5"/>
        <v>0.48</v>
      </c>
      <c r="U34" s="18">
        <f t="shared" si="5"/>
        <v>0.19999999999999998</v>
      </c>
      <c r="V34" s="18">
        <f t="shared" si="5"/>
        <v>0.19999999999999998</v>
      </c>
      <c r="W34" s="18">
        <f t="shared" si="5"/>
        <v>0.26666666666666666</v>
      </c>
    </row>
    <row r="35" spans="1:23" x14ac:dyDescent="0.3">
      <c r="A35" s="9" t="s">
        <v>158</v>
      </c>
      <c r="B35" s="10" t="s">
        <v>516</v>
      </c>
      <c r="C35" s="10" t="s">
        <v>22</v>
      </c>
      <c r="D35" s="10" t="s">
        <v>40</v>
      </c>
      <c r="E35" s="10" t="s">
        <v>693</v>
      </c>
      <c r="F35" s="10" t="s">
        <v>694</v>
      </c>
      <c r="G35" s="10" t="s">
        <v>698</v>
      </c>
      <c r="H35" s="11">
        <v>12</v>
      </c>
      <c r="I35" s="11">
        <v>6</v>
      </c>
      <c r="J35" s="11">
        <v>5</v>
      </c>
      <c r="K35" s="11">
        <v>3</v>
      </c>
      <c r="L35" s="11">
        <v>9</v>
      </c>
      <c r="M35" s="11">
        <v>5</v>
      </c>
      <c r="N35" s="11">
        <v>5</v>
      </c>
      <c r="O35" s="11">
        <v>1</v>
      </c>
      <c r="P35" s="11">
        <f t="shared" si="4"/>
        <v>10.799999999999999</v>
      </c>
      <c r="Q35" s="11">
        <f t="shared" si="4"/>
        <v>6</v>
      </c>
      <c r="R35" s="11">
        <f t="shared" si="4"/>
        <v>6</v>
      </c>
      <c r="S35" s="11">
        <f t="shared" si="4"/>
        <v>1.2</v>
      </c>
      <c r="T35" s="18">
        <f t="shared" si="5"/>
        <v>0.89999999999999991</v>
      </c>
      <c r="U35" s="18">
        <f t="shared" si="5"/>
        <v>1</v>
      </c>
      <c r="V35" s="18">
        <f t="shared" si="5"/>
        <v>1.2</v>
      </c>
      <c r="W35" s="18">
        <f t="shared" si="5"/>
        <v>0.39999999999999997</v>
      </c>
    </row>
    <row r="36" spans="1:23" x14ac:dyDescent="0.3">
      <c r="A36" s="9" t="s">
        <v>115</v>
      </c>
      <c r="B36" s="10" t="s">
        <v>484</v>
      </c>
      <c r="C36" s="10" t="s">
        <v>22</v>
      </c>
      <c r="D36" s="10" t="s">
        <v>40</v>
      </c>
      <c r="E36" s="10" t="s">
        <v>693</v>
      </c>
      <c r="F36" s="10" t="s">
        <v>694</v>
      </c>
      <c r="G36" s="10" t="s">
        <v>698</v>
      </c>
      <c r="H36" s="11">
        <v>5</v>
      </c>
      <c r="I36" s="11">
        <v>5</v>
      </c>
      <c r="J36" s="11">
        <v>5</v>
      </c>
      <c r="K36" s="11">
        <v>3</v>
      </c>
      <c r="L36" s="11">
        <v>0</v>
      </c>
      <c r="M36" s="11">
        <v>3</v>
      </c>
      <c r="N36" s="11">
        <v>3</v>
      </c>
      <c r="O36" s="11">
        <v>3</v>
      </c>
      <c r="P36" s="11">
        <f t="shared" si="4"/>
        <v>0</v>
      </c>
      <c r="Q36" s="11">
        <f t="shared" si="4"/>
        <v>3.5999999999999996</v>
      </c>
      <c r="R36" s="11">
        <f t="shared" si="4"/>
        <v>3.5999999999999996</v>
      </c>
      <c r="S36" s="11">
        <f t="shared" si="4"/>
        <v>3.5999999999999996</v>
      </c>
      <c r="T36" s="18">
        <f t="shared" si="5"/>
        <v>0</v>
      </c>
      <c r="U36" s="18">
        <f t="shared" si="5"/>
        <v>0.72</v>
      </c>
      <c r="V36" s="18">
        <f t="shared" si="5"/>
        <v>0.72</v>
      </c>
      <c r="W36" s="18">
        <f t="shared" si="5"/>
        <v>1.2</v>
      </c>
    </row>
    <row r="37" spans="1:23" x14ac:dyDescent="0.3">
      <c r="A37" s="9" t="s">
        <v>94</v>
      </c>
      <c r="B37" s="10" t="s">
        <v>463</v>
      </c>
      <c r="C37" s="10" t="s">
        <v>22</v>
      </c>
      <c r="D37" s="10" t="s">
        <v>40</v>
      </c>
      <c r="E37" s="10" t="s">
        <v>693</v>
      </c>
      <c r="F37" s="10" t="s">
        <v>694</v>
      </c>
      <c r="G37" s="10" t="s">
        <v>698</v>
      </c>
      <c r="H37" s="11">
        <v>5</v>
      </c>
      <c r="I37" s="11">
        <v>5</v>
      </c>
      <c r="J37" s="11">
        <v>5</v>
      </c>
      <c r="K37" s="11">
        <v>6</v>
      </c>
      <c r="L37" s="11">
        <v>3</v>
      </c>
      <c r="M37" s="11">
        <v>3</v>
      </c>
      <c r="N37" s="11">
        <v>0</v>
      </c>
      <c r="O37" s="11">
        <v>2</v>
      </c>
      <c r="P37" s="11">
        <f t="shared" si="4"/>
        <v>3.5999999999999996</v>
      </c>
      <c r="Q37" s="11">
        <f t="shared" si="4"/>
        <v>3.5999999999999996</v>
      </c>
      <c r="R37" s="11">
        <f t="shared" si="4"/>
        <v>0</v>
      </c>
      <c r="S37" s="11">
        <f t="shared" si="4"/>
        <v>2.4</v>
      </c>
      <c r="T37" s="18">
        <f t="shared" si="5"/>
        <v>0.72</v>
      </c>
      <c r="U37" s="18">
        <f t="shared" si="5"/>
        <v>0.72</v>
      </c>
      <c r="V37" s="18">
        <f t="shared" si="5"/>
        <v>0</v>
      </c>
      <c r="W37" s="18">
        <f t="shared" si="5"/>
        <v>0.39999999999999997</v>
      </c>
    </row>
    <row r="38" spans="1:23" x14ac:dyDescent="0.3">
      <c r="A38" s="9" t="s">
        <v>144</v>
      </c>
      <c r="B38" s="10" t="s">
        <v>502</v>
      </c>
      <c r="C38" s="10" t="s">
        <v>22</v>
      </c>
      <c r="D38" s="10" t="s">
        <v>44</v>
      </c>
      <c r="E38" s="10" t="s">
        <v>693</v>
      </c>
      <c r="F38" s="10" t="s">
        <v>694</v>
      </c>
      <c r="G38" s="10" t="s">
        <v>695</v>
      </c>
      <c r="H38" s="11">
        <v>5</v>
      </c>
      <c r="I38" s="11">
        <v>5</v>
      </c>
      <c r="J38" s="11">
        <v>5</v>
      </c>
      <c r="K38" s="11">
        <v>3</v>
      </c>
      <c r="L38" s="11">
        <v>1</v>
      </c>
      <c r="M38" s="11">
        <v>2</v>
      </c>
      <c r="N38" s="11">
        <v>1</v>
      </c>
      <c r="O38" s="11">
        <v>0</v>
      </c>
      <c r="P38" s="11">
        <f t="shared" si="4"/>
        <v>1.2</v>
      </c>
      <c r="Q38" s="11">
        <f t="shared" si="4"/>
        <v>2.4</v>
      </c>
      <c r="R38" s="11">
        <f t="shared" si="4"/>
        <v>1.2</v>
      </c>
      <c r="S38" s="11">
        <f t="shared" si="4"/>
        <v>0</v>
      </c>
      <c r="T38" s="18">
        <f t="shared" si="5"/>
        <v>0.24</v>
      </c>
      <c r="U38" s="18">
        <f t="shared" si="5"/>
        <v>0.48</v>
      </c>
      <c r="V38" s="18">
        <f t="shared" si="5"/>
        <v>0.24</v>
      </c>
      <c r="W38" s="18">
        <f t="shared" si="5"/>
        <v>0</v>
      </c>
    </row>
    <row r="39" spans="1:23" x14ac:dyDescent="0.3">
      <c r="A39" s="9" t="s">
        <v>103</v>
      </c>
      <c r="B39" s="10" t="s">
        <v>472</v>
      </c>
      <c r="C39" s="10" t="s">
        <v>22</v>
      </c>
      <c r="D39" s="10" t="s">
        <v>44</v>
      </c>
      <c r="E39" s="10" t="s">
        <v>693</v>
      </c>
      <c r="F39" s="10" t="s">
        <v>694</v>
      </c>
      <c r="G39" s="10" t="s">
        <v>695</v>
      </c>
      <c r="H39" s="11">
        <v>7</v>
      </c>
      <c r="I39" s="11">
        <v>5</v>
      </c>
      <c r="J39" s="11">
        <v>5</v>
      </c>
      <c r="K39" s="11">
        <v>3</v>
      </c>
      <c r="L39" s="11">
        <v>2</v>
      </c>
      <c r="M39" s="11">
        <v>1</v>
      </c>
      <c r="N39" s="11">
        <v>0</v>
      </c>
      <c r="O39" s="11">
        <v>1</v>
      </c>
      <c r="P39" s="11">
        <f t="shared" si="4"/>
        <v>2.4</v>
      </c>
      <c r="Q39" s="11">
        <f t="shared" si="4"/>
        <v>1.2</v>
      </c>
      <c r="R39" s="11">
        <f t="shared" si="4"/>
        <v>0</v>
      </c>
      <c r="S39" s="11">
        <f t="shared" si="4"/>
        <v>1.2</v>
      </c>
      <c r="T39" s="18">
        <f t="shared" si="5"/>
        <v>0.34285714285714286</v>
      </c>
      <c r="U39" s="18">
        <f t="shared" si="5"/>
        <v>0.24</v>
      </c>
      <c r="V39" s="18">
        <f t="shared" si="5"/>
        <v>0</v>
      </c>
      <c r="W39" s="18">
        <f t="shared" si="5"/>
        <v>0.39999999999999997</v>
      </c>
    </row>
    <row r="40" spans="1:23" x14ac:dyDescent="0.3">
      <c r="A40" s="9" t="s">
        <v>51</v>
      </c>
      <c r="B40" s="10" t="s">
        <v>422</v>
      </c>
      <c r="C40" s="10" t="s">
        <v>22</v>
      </c>
      <c r="D40" s="10" t="s">
        <v>28</v>
      </c>
      <c r="E40" s="10" t="s">
        <v>693</v>
      </c>
      <c r="F40" s="10" t="s">
        <v>694</v>
      </c>
      <c r="G40" s="10" t="s">
        <v>695</v>
      </c>
      <c r="H40" s="11">
        <v>10</v>
      </c>
      <c r="I40" s="11">
        <v>9</v>
      </c>
      <c r="J40" s="11">
        <v>11</v>
      </c>
      <c r="K40" s="11">
        <v>3</v>
      </c>
      <c r="L40" s="11">
        <v>8</v>
      </c>
      <c r="M40" s="11">
        <v>2</v>
      </c>
      <c r="N40" s="11">
        <v>2</v>
      </c>
      <c r="O40" s="11">
        <v>7</v>
      </c>
      <c r="P40" s="11">
        <f t="shared" si="4"/>
        <v>9.6</v>
      </c>
      <c r="Q40" s="11">
        <f t="shared" si="4"/>
        <v>2.4</v>
      </c>
      <c r="R40" s="11">
        <f t="shared" si="4"/>
        <v>2.4</v>
      </c>
      <c r="S40" s="11">
        <f t="shared" si="4"/>
        <v>8.4</v>
      </c>
      <c r="T40" s="18">
        <f t="shared" si="5"/>
        <v>0.96</v>
      </c>
      <c r="U40" s="18">
        <f t="shared" si="5"/>
        <v>0.26666666666666666</v>
      </c>
      <c r="V40" s="18">
        <f t="shared" si="5"/>
        <v>0.21818181818181817</v>
      </c>
      <c r="W40" s="18">
        <f t="shared" si="5"/>
        <v>2.8000000000000003</v>
      </c>
    </row>
    <row r="41" spans="1:23" x14ac:dyDescent="0.3">
      <c r="A41" s="9" t="s">
        <v>86</v>
      </c>
      <c r="B41" s="10" t="s">
        <v>455</v>
      </c>
      <c r="C41" s="10" t="s">
        <v>22</v>
      </c>
      <c r="D41" s="10" t="s">
        <v>48</v>
      </c>
      <c r="E41" s="10" t="s">
        <v>693</v>
      </c>
      <c r="F41" s="10" t="s">
        <v>694</v>
      </c>
      <c r="G41" s="10" t="s">
        <v>699</v>
      </c>
      <c r="H41" s="11">
        <v>7</v>
      </c>
      <c r="I41" s="11">
        <v>6</v>
      </c>
      <c r="J41" s="11">
        <v>5</v>
      </c>
      <c r="K41" s="11">
        <v>3</v>
      </c>
      <c r="L41" s="11">
        <v>1</v>
      </c>
      <c r="M41" s="11">
        <v>4</v>
      </c>
      <c r="N41" s="11">
        <v>0</v>
      </c>
      <c r="O41" s="11">
        <v>2</v>
      </c>
      <c r="P41" s="11">
        <f t="shared" si="4"/>
        <v>1.2</v>
      </c>
      <c r="Q41" s="11">
        <f t="shared" si="4"/>
        <v>4.8</v>
      </c>
      <c r="R41" s="11">
        <f t="shared" si="4"/>
        <v>0</v>
      </c>
      <c r="S41" s="11">
        <f t="shared" si="4"/>
        <v>2.4</v>
      </c>
      <c r="T41" s="18">
        <f t="shared" si="5"/>
        <v>0.17142857142857143</v>
      </c>
      <c r="U41" s="18">
        <f t="shared" si="5"/>
        <v>0.79999999999999993</v>
      </c>
      <c r="V41" s="18">
        <f t="shared" si="5"/>
        <v>0</v>
      </c>
      <c r="W41" s="18">
        <f t="shared" si="5"/>
        <v>0.79999999999999993</v>
      </c>
    </row>
    <row r="42" spans="1:23" x14ac:dyDescent="0.3">
      <c r="A42" s="9" t="s">
        <v>41</v>
      </c>
      <c r="B42" s="10" t="s">
        <v>416</v>
      </c>
      <c r="C42" s="10" t="s">
        <v>22</v>
      </c>
      <c r="D42" s="10" t="s">
        <v>40</v>
      </c>
      <c r="E42" s="10" t="s">
        <v>693</v>
      </c>
      <c r="F42" s="10" t="s">
        <v>694</v>
      </c>
      <c r="G42" s="10" t="s">
        <v>698</v>
      </c>
      <c r="H42" s="11">
        <v>9</v>
      </c>
      <c r="I42" s="11">
        <v>9</v>
      </c>
      <c r="J42" s="11">
        <v>8</v>
      </c>
      <c r="K42" s="11">
        <v>3</v>
      </c>
      <c r="L42" s="11">
        <v>1</v>
      </c>
      <c r="M42" s="11">
        <v>7</v>
      </c>
      <c r="N42" s="11">
        <v>3</v>
      </c>
      <c r="O42" s="11">
        <v>3</v>
      </c>
      <c r="P42" s="11">
        <f t="shared" si="4"/>
        <v>1.2</v>
      </c>
      <c r="Q42" s="11">
        <f t="shared" si="4"/>
        <v>8.4</v>
      </c>
      <c r="R42" s="11">
        <f t="shared" si="4"/>
        <v>3.5999999999999996</v>
      </c>
      <c r="S42" s="11">
        <f t="shared" si="4"/>
        <v>3.5999999999999996</v>
      </c>
      <c r="T42" s="18">
        <f t="shared" si="5"/>
        <v>0.13333333333333333</v>
      </c>
      <c r="U42" s="18">
        <f t="shared" si="5"/>
        <v>0.93333333333333335</v>
      </c>
      <c r="V42" s="18">
        <f t="shared" si="5"/>
        <v>0.44999999999999996</v>
      </c>
      <c r="W42" s="18">
        <f t="shared" si="5"/>
        <v>1.2</v>
      </c>
    </row>
    <row r="43" spans="1:23" x14ac:dyDescent="0.3">
      <c r="A43" s="9" t="s">
        <v>141</v>
      </c>
      <c r="B43" s="10" t="s">
        <v>499</v>
      </c>
      <c r="C43" s="10" t="s">
        <v>22</v>
      </c>
      <c r="D43" s="10" t="s">
        <v>46</v>
      </c>
      <c r="E43" s="10" t="s">
        <v>693</v>
      </c>
      <c r="F43" s="10" t="s">
        <v>694</v>
      </c>
      <c r="G43" s="10" t="s">
        <v>700</v>
      </c>
      <c r="H43" s="11">
        <v>6</v>
      </c>
      <c r="I43" s="11">
        <v>7</v>
      </c>
      <c r="J43" s="11">
        <v>6</v>
      </c>
      <c r="K43" s="11">
        <v>3</v>
      </c>
      <c r="L43" s="11">
        <v>5</v>
      </c>
      <c r="M43" s="11">
        <v>4</v>
      </c>
      <c r="N43" s="11">
        <v>6</v>
      </c>
      <c r="O43" s="11">
        <v>1</v>
      </c>
      <c r="P43" s="11">
        <f t="shared" si="4"/>
        <v>6</v>
      </c>
      <c r="Q43" s="11">
        <f t="shared" si="4"/>
        <v>4.8</v>
      </c>
      <c r="R43" s="11">
        <f t="shared" si="4"/>
        <v>7.1999999999999993</v>
      </c>
      <c r="S43" s="11">
        <f t="shared" si="4"/>
        <v>1.2</v>
      </c>
      <c r="T43" s="18">
        <f t="shared" si="5"/>
        <v>1</v>
      </c>
      <c r="U43" s="18">
        <f t="shared" si="5"/>
        <v>0.68571428571428572</v>
      </c>
      <c r="V43" s="18">
        <f t="shared" si="5"/>
        <v>1.2</v>
      </c>
      <c r="W43" s="18">
        <f t="shared" si="5"/>
        <v>0.39999999999999997</v>
      </c>
    </row>
    <row r="44" spans="1:23" x14ac:dyDescent="0.3">
      <c r="A44" s="9" t="s">
        <v>52</v>
      </c>
      <c r="B44" s="10" t="s">
        <v>423</v>
      </c>
      <c r="C44" s="10" t="s">
        <v>22</v>
      </c>
      <c r="D44" s="10" t="s">
        <v>46</v>
      </c>
      <c r="E44" s="10" t="s">
        <v>693</v>
      </c>
      <c r="F44" s="10" t="s">
        <v>694</v>
      </c>
      <c r="G44" s="10" t="s">
        <v>700</v>
      </c>
      <c r="H44" s="11">
        <v>24</v>
      </c>
      <c r="I44" s="11">
        <v>11</v>
      </c>
      <c r="J44" s="11">
        <v>14</v>
      </c>
      <c r="K44" s="11">
        <v>4</v>
      </c>
      <c r="L44" s="11">
        <v>14</v>
      </c>
      <c r="M44" s="11">
        <v>5</v>
      </c>
      <c r="N44" s="11">
        <v>5</v>
      </c>
      <c r="O44" s="11">
        <v>6</v>
      </c>
      <c r="P44" s="11">
        <f t="shared" si="4"/>
        <v>16.8</v>
      </c>
      <c r="Q44" s="11">
        <f t="shared" si="4"/>
        <v>6</v>
      </c>
      <c r="R44" s="11">
        <f t="shared" si="4"/>
        <v>6</v>
      </c>
      <c r="S44" s="11">
        <f t="shared" si="4"/>
        <v>7.1999999999999993</v>
      </c>
      <c r="T44" s="18">
        <f t="shared" si="5"/>
        <v>0.70000000000000007</v>
      </c>
      <c r="U44" s="18">
        <f t="shared" si="5"/>
        <v>0.54545454545454541</v>
      </c>
      <c r="V44" s="18">
        <f t="shared" si="5"/>
        <v>0.42857142857142855</v>
      </c>
      <c r="W44" s="18">
        <f t="shared" si="5"/>
        <v>1.7999999999999998</v>
      </c>
    </row>
    <row r="45" spans="1:23" x14ac:dyDescent="0.3">
      <c r="A45" s="9" t="s">
        <v>140</v>
      </c>
      <c r="B45" s="10" t="s">
        <v>498</v>
      </c>
      <c r="C45" s="10" t="s">
        <v>22</v>
      </c>
      <c r="D45" s="10" t="s">
        <v>28</v>
      </c>
      <c r="E45" s="10" t="s">
        <v>693</v>
      </c>
      <c r="F45" s="10" t="s">
        <v>694</v>
      </c>
      <c r="G45" s="10" t="s">
        <v>695</v>
      </c>
      <c r="H45" s="11">
        <v>10</v>
      </c>
      <c r="I45" s="11">
        <v>7</v>
      </c>
      <c r="J45" s="11">
        <v>6</v>
      </c>
      <c r="K45" s="11">
        <v>5</v>
      </c>
      <c r="L45" s="11">
        <v>3</v>
      </c>
      <c r="M45" s="11">
        <v>3</v>
      </c>
      <c r="N45" s="11">
        <v>1</v>
      </c>
      <c r="O45" s="11">
        <v>4</v>
      </c>
      <c r="P45" s="11">
        <f t="shared" si="4"/>
        <v>3.5999999999999996</v>
      </c>
      <c r="Q45" s="11">
        <f t="shared" si="4"/>
        <v>3.5999999999999996</v>
      </c>
      <c r="R45" s="11">
        <f t="shared" si="4"/>
        <v>1.2</v>
      </c>
      <c r="S45" s="11">
        <f t="shared" si="4"/>
        <v>4.8</v>
      </c>
      <c r="T45" s="18">
        <f t="shared" si="5"/>
        <v>0.36</v>
      </c>
      <c r="U45" s="18">
        <f t="shared" si="5"/>
        <v>0.51428571428571423</v>
      </c>
      <c r="V45" s="18">
        <f t="shared" si="5"/>
        <v>0.19999999999999998</v>
      </c>
      <c r="W45" s="18">
        <f t="shared" si="5"/>
        <v>0.96</v>
      </c>
    </row>
    <row r="46" spans="1:23" x14ac:dyDescent="0.3">
      <c r="A46" s="9" t="s">
        <v>96</v>
      </c>
      <c r="B46" s="10" t="s">
        <v>465</v>
      </c>
      <c r="C46" s="10" t="s">
        <v>22</v>
      </c>
      <c r="D46" s="10" t="s">
        <v>40</v>
      </c>
      <c r="E46" s="10" t="s">
        <v>693</v>
      </c>
      <c r="F46" s="10" t="s">
        <v>694</v>
      </c>
      <c r="G46" s="10" t="s">
        <v>698</v>
      </c>
      <c r="H46" s="11">
        <v>5</v>
      </c>
      <c r="I46" s="11">
        <v>5</v>
      </c>
      <c r="J46" s="11">
        <v>6</v>
      </c>
      <c r="K46" s="11">
        <v>3</v>
      </c>
      <c r="L46" s="11">
        <v>8</v>
      </c>
      <c r="M46" s="11">
        <v>5</v>
      </c>
      <c r="N46" s="11">
        <v>1</v>
      </c>
      <c r="O46" s="11">
        <v>1</v>
      </c>
      <c r="P46" s="11">
        <f t="shared" si="4"/>
        <v>9.6</v>
      </c>
      <c r="Q46" s="11">
        <f t="shared" si="4"/>
        <v>6</v>
      </c>
      <c r="R46" s="11">
        <f t="shared" si="4"/>
        <v>1.2</v>
      </c>
      <c r="S46" s="11">
        <f t="shared" si="4"/>
        <v>1.2</v>
      </c>
      <c r="T46" s="18">
        <f t="shared" si="5"/>
        <v>1.92</v>
      </c>
      <c r="U46" s="18">
        <f t="shared" si="5"/>
        <v>1.2</v>
      </c>
      <c r="V46" s="18">
        <f t="shared" si="5"/>
        <v>0.19999999999999998</v>
      </c>
      <c r="W46" s="18">
        <f t="shared" si="5"/>
        <v>0.39999999999999997</v>
      </c>
    </row>
    <row r="47" spans="1:23" x14ac:dyDescent="0.3">
      <c r="A47" s="9" t="s">
        <v>92</v>
      </c>
      <c r="B47" s="10" t="s">
        <v>461</v>
      </c>
      <c r="C47" s="10" t="s">
        <v>22</v>
      </c>
      <c r="D47" s="10" t="s">
        <v>40</v>
      </c>
      <c r="E47" s="10" t="s">
        <v>693</v>
      </c>
      <c r="F47" s="10" t="s">
        <v>694</v>
      </c>
      <c r="G47" s="10" t="s">
        <v>698</v>
      </c>
      <c r="H47" s="11">
        <v>7</v>
      </c>
      <c r="I47" s="11">
        <v>5</v>
      </c>
      <c r="J47" s="11">
        <v>5</v>
      </c>
      <c r="K47" s="11">
        <v>4</v>
      </c>
      <c r="L47" s="11">
        <v>3</v>
      </c>
      <c r="M47" s="11">
        <v>3</v>
      </c>
      <c r="N47" s="11">
        <v>3</v>
      </c>
      <c r="O47" s="11">
        <v>0</v>
      </c>
      <c r="P47" s="11">
        <f t="shared" si="4"/>
        <v>3.5999999999999996</v>
      </c>
      <c r="Q47" s="11">
        <f t="shared" si="4"/>
        <v>3.5999999999999996</v>
      </c>
      <c r="R47" s="11">
        <f t="shared" si="4"/>
        <v>3.5999999999999996</v>
      </c>
      <c r="S47" s="11">
        <f t="shared" si="4"/>
        <v>0</v>
      </c>
      <c r="T47" s="18">
        <f t="shared" si="5"/>
        <v>0.51428571428571423</v>
      </c>
      <c r="U47" s="18">
        <f t="shared" si="5"/>
        <v>0.72</v>
      </c>
      <c r="V47" s="18">
        <f t="shared" si="5"/>
        <v>0.72</v>
      </c>
      <c r="W47" s="18">
        <f t="shared" si="5"/>
        <v>0</v>
      </c>
    </row>
    <row r="48" spans="1:23" x14ac:dyDescent="0.3">
      <c r="A48" s="9" t="s">
        <v>143</v>
      </c>
      <c r="B48" s="10" t="s">
        <v>501</v>
      </c>
      <c r="C48" s="10" t="s">
        <v>22</v>
      </c>
      <c r="D48" s="10" t="s">
        <v>46</v>
      </c>
      <c r="E48" s="10" t="s">
        <v>693</v>
      </c>
      <c r="F48" s="10" t="s">
        <v>694</v>
      </c>
      <c r="G48" s="10" t="s">
        <v>700</v>
      </c>
      <c r="H48" s="11">
        <v>10</v>
      </c>
      <c r="I48" s="11">
        <v>5</v>
      </c>
      <c r="J48" s="11">
        <v>9</v>
      </c>
      <c r="K48" s="11">
        <v>3</v>
      </c>
      <c r="L48" s="11">
        <v>7</v>
      </c>
      <c r="M48" s="11">
        <v>3</v>
      </c>
      <c r="N48" s="11">
        <v>0</v>
      </c>
      <c r="O48" s="11">
        <v>1</v>
      </c>
      <c r="P48" s="11">
        <f t="shared" si="4"/>
        <v>8.4</v>
      </c>
      <c r="Q48" s="11">
        <f t="shared" si="4"/>
        <v>3.5999999999999996</v>
      </c>
      <c r="R48" s="11">
        <f t="shared" si="4"/>
        <v>0</v>
      </c>
      <c r="S48" s="11">
        <f t="shared" si="4"/>
        <v>1.2</v>
      </c>
      <c r="T48" s="18">
        <f t="shared" si="5"/>
        <v>0.84000000000000008</v>
      </c>
      <c r="U48" s="18">
        <f t="shared" si="5"/>
        <v>0.72</v>
      </c>
      <c r="V48" s="18">
        <f t="shared" si="5"/>
        <v>0</v>
      </c>
      <c r="W48" s="18">
        <f t="shared" si="5"/>
        <v>0.39999999999999997</v>
      </c>
    </row>
    <row r="49" spans="1:23" x14ac:dyDescent="0.3">
      <c r="A49" s="9" t="s">
        <v>130</v>
      </c>
      <c r="B49" s="10" t="s">
        <v>494</v>
      </c>
      <c r="C49" s="10" t="s">
        <v>22</v>
      </c>
      <c r="D49" s="10" t="s">
        <v>42</v>
      </c>
      <c r="E49" s="10" t="s">
        <v>693</v>
      </c>
      <c r="F49" s="10" t="s">
        <v>694</v>
      </c>
      <c r="G49" s="10" t="s">
        <v>699</v>
      </c>
      <c r="H49" s="11">
        <v>14</v>
      </c>
      <c r="I49" s="11">
        <v>9</v>
      </c>
      <c r="J49" s="11">
        <v>9</v>
      </c>
      <c r="K49" s="11">
        <v>6</v>
      </c>
      <c r="L49" s="11">
        <v>2</v>
      </c>
      <c r="M49" s="11">
        <v>2</v>
      </c>
      <c r="N49" s="11">
        <v>2</v>
      </c>
      <c r="O49" s="11">
        <v>4</v>
      </c>
      <c r="P49" s="11">
        <f t="shared" si="4"/>
        <v>2.4</v>
      </c>
      <c r="Q49" s="11">
        <f t="shared" si="4"/>
        <v>2.4</v>
      </c>
      <c r="R49" s="11">
        <f t="shared" si="4"/>
        <v>2.4</v>
      </c>
      <c r="S49" s="11">
        <f t="shared" si="4"/>
        <v>4.8</v>
      </c>
      <c r="T49" s="18">
        <f t="shared" si="5"/>
        <v>0.17142857142857143</v>
      </c>
      <c r="U49" s="18">
        <f t="shared" si="5"/>
        <v>0.26666666666666666</v>
      </c>
      <c r="V49" s="18">
        <f t="shared" si="5"/>
        <v>0.26666666666666666</v>
      </c>
      <c r="W49" s="18">
        <f t="shared" si="5"/>
        <v>0.79999999999999993</v>
      </c>
    </row>
    <row r="50" spans="1:23" x14ac:dyDescent="0.3">
      <c r="A50" s="9" t="s">
        <v>84</v>
      </c>
      <c r="B50" s="10" t="s">
        <v>453</v>
      </c>
      <c r="C50" s="10" t="s">
        <v>22</v>
      </c>
      <c r="D50" s="10" t="s">
        <v>48</v>
      </c>
      <c r="E50" s="10" t="s">
        <v>693</v>
      </c>
      <c r="F50" s="10" t="s">
        <v>694</v>
      </c>
      <c r="G50" s="10" t="s">
        <v>699</v>
      </c>
      <c r="H50" s="11">
        <v>5</v>
      </c>
      <c r="I50" s="11">
        <v>5</v>
      </c>
      <c r="J50" s="11">
        <v>5</v>
      </c>
      <c r="K50" s="11">
        <v>3</v>
      </c>
      <c r="L50" s="11">
        <v>1</v>
      </c>
      <c r="M50" s="11">
        <v>1</v>
      </c>
      <c r="N50" s="11">
        <v>2</v>
      </c>
      <c r="O50" s="11">
        <v>0</v>
      </c>
      <c r="P50" s="11">
        <f t="shared" si="4"/>
        <v>1.2</v>
      </c>
      <c r="Q50" s="11">
        <f t="shared" si="4"/>
        <v>1.2</v>
      </c>
      <c r="R50" s="11">
        <f t="shared" si="4"/>
        <v>2.4</v>
      </c>
      <c r="S50" s="11">
        <f t="shared" si="4"/>
        <v>0</v>
      </c>
      <c r="T50" s="18">
        <f t="shared" si="5"/>
        <v>0.24</v>
      </c>
      <c r="U50" s="18">
        <f t="shared" si="5"/>
        <v>0.24</v>
      </c>
      <c r="V50" s="18">
        <f t="shared" si="5"/>
        <v>0.48</v>
      </c>
      <c r="W50" s="18">
        <f t="shared" si="5"/>
        <v>0</v>
      </c>
    </row>
    <row r="51" spans="1:23" x14ac:dyDescent="0.3">
      <c r="A51" s="9" t="s">
        <v>63</v>
      </c>
      <c r="B51" s="10" t="s">
        <v>434</v>
      </c>
      <c r="C51" s="10" t="s">
        <v>22</v>
      </c>
      <c r="D51" s="10" t="s">
        <v>42</v>
      </c>
      <c r="E51" s="10" t="s">
        <v>693</v>
      </c>
      <c r="F51" s="10" t="s">
        <v>694</v>
      </c>
      <c r="G51" s="10" t="s">
        <v>699</v>
      </c>
      <c r="H51" s="11">
        <v>7</v>
      </c>
      <c r="I51" s="11">
        <v>6</v>
      </c>
      <c r="J51" s="11">
        <v>12</v>
      </c>
      <c r="K51" s="11">
        <v>12</v>
      </c>
      <c r="L51" s="11">
        <v>5</v>
      </c>
      <c r="M51" s="11">
        <v>4</v>
      </c>
      <c r="N51" s="11">
        <v>4</v>
      </c>
      <c r="O51" s="11">
        <v>7</v>
      </c>
      <c r="P51" s="11">
        <f t="shared" si="4"/>
        <v>6</v>
      </c>
      <c r="Q51" s="11">
        <f t="shared" si="4"/>
        <v>4.8</v>
      </c>
      <c r="R51" s="11">
        <f t="shared" si="4"/>
        <v>4.8</v>
      </c>
      <c r="S51" s="11">
        <f t="shared" si="4"/>
        <v>8.4</v>
      </c>
      <c r="T51" s="18">
        <f t="shared" si="5"/>
        <v>0.8571428571428571</v>
      </c>
      <c r="U51" s="18">
        <f t="shared" si="5"/>
        <v>0.79999999999999993</v>
      </c>
      <c r="V51" s="18">
        <f t="shared" si="5"/>
        <v>0.39999999999999997</v>
      </c>
      <c r="W51" s="18">
        <f t="shared" si="5"/>
        <v>0.70000000000000007</v>
      </c>
    </row>
    <row r="52" spans="1:23" x14ac:dyDescent="0.3">
      <c r="A52" s="9" t="s">
        <v>61</v>
      </c>
      <c r="B52" s="10" t="s">
        <v>432</v>
      </c>
      <c r="C52" s="10" t="s">
        <v>22</v>
      </c>
      <c r="D52" s="10" t="s">
        <v>48</v>
      </c>
      <c r="E52" s="10" t="s">
        <v>693</v>
      </c>
      <c r="F52" s="10" t="s">
        <v>694</v>
      </c>
      <c r="G52" s="10" t="s">
        <v>699</v>
      </c>
      <c r="H52" s="11">
        <v>5</v>
      </c>
      <c r="I52" s="11">
        <v>5</v>
      </c>
      <c r="J52" s="11">
        <v>13</v>
      </c>
      <c r="K52" s="11">
        <v>8</v>
      </c>
      <c r="L52" s="11">
        <v>3</v>
      </c>
      <c r="M52" s="11">
        <v>3</v>
      </c>
      <c r="N52" s="11">
        <v>1</v>
      </c>
      <c r="O52" s="11">
        <v>4</v>
      </c>
      <c r="P52" s="11">
        <f t="shared" si="4"/>
        <v>3.5999999999999996</v>
      </c>
      <c r="Q52" s="11">
        <f t="shared" si="4"/>
        <v>3.5999999999999996</v>
      </c>
      <c r="R52" s="11">
        <f t="shared" si="4"/>
        <v>1.2</v>
      </c>
      <c r="S52" s="11">
        <f t="shared" si="4"/>
        <v>4.8</v>
      </c>
      <c r="T52" s="18">
        <f t="shared" si="5"/>
        <v>0.72</v>
      </c>
      <c r="U52" s="18">
        <f t="shared" si="5"/>
        <v>0.72</v>
      </c>
      <c r="V52" s="18">
        <f t="shared" si="5"/>
        <v>9.2307692307692299E-2</v>
      </c>
      <c r="W52" s="18">
        <f t="shared" si="5"/>
        <v>0.6</v>
      </c>
    </row>
    <row r="53" spans="1:23" x14ac:dyDescent="0.3">
      <c r="A53" s="9" t="s">
        <v>60</v>
      </c>
      <c r="B53" s="10" t="s">
        <v>431</v>
      </c>
      <c r="C53" s="10" t="s">
        <v>22</v>
      </c>
      <c r="D53" s="10" t="s">
        <v>46</v>
      </c>
      <c r="E53" s="10" t="s">
        <v>693</v>
      </c>
      <c r="F53" s="10" t="s">
        <v>694</v>
      </c>
      <c r="G53" s="10" t="s">
        <v>700</v>
      </c>
      <c r="H53" s="11">
        <v>5</v>
      </c>
      <c r="I53" s="11">
        <v>7</v>
      </c>
      <c r="J53" s="11">
        <v>12</v>
      </c>
      <c r="K53" s="11">
        <v>3</v>
      </c>
      <c r="L53" s="11">
        <v>1</v>
      </c>
      <c r="M53" s="11">
        <v>5</v>
      </c>
      <c r="N53" s="11">
        <v>2</v>
      </c>
      <c r="O53" s="11">
        <v>7</v>
      </c>
      <c r="P53" s="11">
        <f t="shared" si="4"/>
        <v>1.2</v>
      </c>
      <c r="Q53" s="11">
        <f t="shared" si="4"/>
        <v>6</v>
      </c>
      <c r="R53" s="11">
        <f t="shared" si="4"/>
        <v>2.4</v>
      </c>
      <c r="S53" s="11">
        <f t="shared" si="4"/>
        <v>8.4</v>
      </c>
      <c r="T53" s="18">
        <f t="shared" si="5"/>
        <v>0.24</v>
      </c>
      <c r="U53" s="18">
        <f t="shared" si="5"/>
        <v>0.8571428571428571</v>
      </c>
      <c r="V53" s="18">
        <f t="shared" si="5"/>
        <v>0.19999999999999998</v>
      </c>
      <c r="W53" s="18">
        <f t="shared" si="5"/>
        <v>2.8000000000000003</v>
      </c>
    </row>
    <row r="54" spans="1:23" x14ac:dyDescent="0.3">
      <c r="A54" s="9" t="s">
        <v>107</v>
      </c>
      <c r="B54" s="10" t="s">
        <v>476</v>
      </c>
      <c r="C54" s="10" t="s">
        <v>22</v>
      </c>
      <c r="D54" s="10" t="s">
        <v>40</v>
      </c>
      <c r="E54" s="10" t="s">
        <v>693</v>
      </c>
      <c r="F54" s="10" t="s">
        <v>694</v>
      </c>
      <c r="G54" s="10" t="s">
        <v>698</v>
      </c>
      <c r="H54" s="11">
        <v>10</v>
      </c>
      <c r="I54" s="11">
        <v>5</v>
      </c>
      <c r="J54" s="11">
        <v>5</v>
      </c>
      <c r="K54" s="11">
        <v>6</v>
      </c>
      <c r="L54" s="11">
        <v>3</v>
      </c>
      <c r="M54" s="11">
        <v>5</v>
      </c>
      <c r="N54" s="11">
        <v>4</v>
      </c>
      <c r="O54" s="11">
        <v>0</v>
      </c>
      <c r="P54" s="11">
        <f t="shared" si="4"/>
        <v>3.5999999999999996</v>
      </c>
      <c r="Q54" s="11">
        <f t="shared" si="4"/>
        <v>6</v>
      </c>
      <c r="R54" s="11">
        <f t="shared" si="4"/>
        <v>4.8</v>
      </c>
      <c r="S54" s="11">
        <f t="shared" si="4"/>
        <v>0</v>
      </c>
      <c r="T54" s="18">
        <f t="shared" si="5"/>
        <v>0.36</v>
      </c>
      <c r="U54" s="18">
        <f t="shared" si="5"/>
        <v>1.2</v>
      </c>
      <c r="V54" s="18">
        <f t="shared" si="5"/>
        <v>0.96</v>
      </c>
      <c r="W54" s="18">
        <f t="shared" si="5"/>
        <v>0</v>
      </c>
    </row>
    <row r="55" spans="1:23" x14ac:dyDescent="0.3">
      <c r="A55" s="9" t="s">
        <v>122</v>
      </c>
      <c r="B55" s="10" t="s">
        <v>489</v>
      </c>
      <c r="C55" s="10" t="s">
        <v>22</v>
      </c>
      <c r="D55" s="10" t="s">
        <v>44</v>
      </c>
      <c r="E55" s="10" t="s">
        <v>693</v>
      </c>
      <c r="F55" s="10" t="s">
        <v>694</v>
      </c>
      <c r="G55" s="10" t="s">
        <v>698</v>
      </c>
      <c r="H55" s="11">
        <v>5</v>
      </c>
      <c r="I55" s="11">
        <v>8</v>
      </c>
      <c r="J55" s="11">
        <v>10</v>
      </c>
      <c r="K55" s="11">
        <v>4</v>
      </c>
      <c r="L55" s="11">
        <v>1</v>
      </c>
      <c r="M55" s="11">
        <v>7</v>
      </c>
      <c r="N55" s="11">
        <v>5</v>
      </c>
      <c r="O55" s="11">
        <v>9</v>
      </c>
      <c r="P55" s="11">
        <f t="shared" si="4"/>
        <v>1.2</v>
      </c>
      <c r="Q55" s="11">
        <f t="shared" si="4"/>
        <v>8.4</v>
      </c>
      <c r="R55" s="11">
        <f t="shared" si="4"/>
        <v>6</v>
      </c>
      <c r="S55" s="11">
        <f t="shared" si="4"/>
        <v>10.799999999999999</v>
      </c>
      <c r="T55" s="18">
        <f t="shared" si="5"/>
        <v>0.24</v>
      </c>
      <c r="U55" s="18">
        <f t="shared" si="5"/>
        <v>1.05</v>
      </c>
      <c r="V55" s="18">
        <f t="shared" si="5"/>
        <v>0.6</v>
      </c>
      <c r="W55" s="18">
        <f t="shared" si="5"/>
        <v>2.6999999999999997</v>
      </c>
    </row>
    <row r="56" spans="1:23" x14ac:dyDescent="0.3">
      <c r="A56" s="9" t="s">
        <v>127</v>
      </c>
      <c r="B56" s="10" t="s">
        <v>493</v>
      </c>
      <c r="C56" s="10" t="s">
        <v>22</v>
      </c>
      <c r="D56" s="10" t="s">
        <v>28</v>
      </c>
      <c r="E56" s="10" t="s">
        <v>693</v>
      </c>
      <c r="F56" s="10" t="s">
        <v>694</v>
      </c>
      <c r="G56" s="10" t="s">
        <v>695</v>
      </c>
      <c r="H56" s="11">
        <v>7</v>
      </c>
      <c r="I56" s="11">
        <v>9</v>
      </c>
      <c r="J56" s="11">
        <v>17</v>
      </c>
      <c r="K56" s="11">
        <v>37</v>
      </c>
      <c r="L56" s="11">
        <v>5</v>
      </c>
      <c r="M56" s="11">
        <v>20</v>
      </c>
      <c r="N56" s="11">
        <v>7</v>
      </c>
      <c r="O56" s="11">
        <v>14</v>
      </c>
      <c r="P56" s="11">
        <f t="shared" si="4"/>
        <v>6</v>
      </c>
      <c r="Q56" s="11">
        <f t="shared" si="4"/>
        <v>24</v>
      </c>
      <c r="R56" s="11">
        <f t="shared" si="4"/>
        <v>8.4</v>
      </c>
      <c r="S56" s="11">
        <f t="shared" si="4"/>
        <v>16.8</v>
      </c>
      <c r="T56" s="18">
        <f t="shared" si="5"/>
        <v>0.8571428571428571</v>
      </c>
      <c r="U56" s="18">
        <f t="shared" si="5"/>
        <v>2.6666666666666665</v>
      </c>
      <c r="V56" s="18">
        <f t="shared" si="5"/>
        <v>0.49411764705882355</v>
      </c>
      <c r="W56" s="18">
        <f t="shared" si="5"/>
        <v>0.45405405405405408</v>
      </c>
    </row>
    <row r="57" spans="1:23" x14ac:dyDescent="0.3">
      <c r="A57" s="9" t="s">
        <v>50</v>
      </c>
      <c r="B57" s="10" t="s">
        <v>421</v>
      </c>
      <c r="C57" s="10" t="s">
        <v>22</v>
      </c>
      <c r="D57" s="10" t="s">
        <v>40</v>
      </c>
      <c r="E57" s="10" t="s">
        <v>693</v>
      </c>
      <c r="F57" s="10" t="s">
        <v>694</v>
      </c>
      <c r="G57" s="10" t="s">
        <v>698</v>
      </c>
      <c r="H57" s="11">
        <v>14</v>
      </c>
      <c r="I57" s="11">
        <v>9</v>
      </c>
      <c r="J57" s="11">
        <v>22</v>
      </c>
      <c r="K57" s="11">
        <v>11</v>
      </c>
      <c r="L57" s="11">
        <v>6</v>
      </c>
      <c r="M57" s="11">
        <v>4</v>
      </c>
      <c r="N57" s="11">
        <v>16</v>
      </c>
      <c r="O57" s="11">
        <v>13</v>
      </c>
      <c r="P57" s="11">
        <f t="shared" si="4"/>
        <v>7.1999999999999993</v>
      </c>
      <c r="Q57" s="11">
        <f t="shared" si="4"/>
        <v>4.8</v>
      </c>
      <c r="R57" s="11">
        <f t="shared" si="4"/>
        <v>19.2</v>
      </c>
      <c r="S57" s="11">
        <f t="shared" si="4"/>
        <v>15.600000000000001</v>
      </c>
      <c r="T57" s="18">
        <f t="shared" si="5"/>
        <v>0.51428571428571423</v>
      </c>
      <c r="U57" s="18">
        <f t="shared" si="5"/>
        <v>0.53333333333333333</v>
      </c>
      <c r="V57" s="18">
        <f t="shared" si="5"/>
        <v>0.87272727272727268</v>
      </c>
      <c r="W57" s="18">
        <f t="shared" si="5"/>
        <v>1.4181818181818182</v>
      </c>
    </row>
    <row r="58" spans="1:23" x14ac:dyDescent="0.3">
      <c r="A58" s="9" t="s">
        <v>66</v>
      </c>
      <c r="B58" s="10" t="s">
        <v>436</v>
      </c>
      <c r="C58" s="10" t="s">
        <v>22</v>
      </c>
      <c r="D58" s="10" t="s">
        <v>42</v>
      </c>
      <c r="E58" s="10" t="s">
        <v>693</v>
      </c>
      <c r="F58" s="10" t="s">
        <v>694</v>
      </c>
      <c r="G58" s="10" t="s">
        <v>699</v>
      </c>
      <c r="H58" s="11">
        <v>10</v>
      </c>
      <c r="I58" s="11">
        <v>6</v>
      </c>
      <c r="J58" s="11">
        <v>5</v>
      </c>
      <c r="K58" s="11">
        <v>3</v>
      </c>
      <c r="L58" s="11">
        <v>3</v>
      </c>
      <c r="M58" s="11">
        <v>6</v>
      </c>
      <c r="N58" s="11">
        <v>4</v>
      </c>
      <c r="O58" s="11">
        <v>4</v>
      </c>
      <c r="P58" s="11">
        <f t="shared" si="4"/>
        <v>3.5999999999999996</v>
      </c>
      <c r="Q58" s="11">
        <f t="shared" si="4"/>
        <v>7.1999999999999993</v>
      </c>
      <c r="R58" s="11">
        <f t="shared" si="4"/>
        <v>4.8</v>
      </c>
      <c r="S58" s="11">
        <f t="shared" si="4"/>
        <v>4.8</v>
      </c>
      <c r="T58" s="18">
        <f t="shared" si="5"/>
        <v>0.36</v>
      </c>
      <c r="U58" s="18">
        <f t="shared" si="5"/>
        <v>1.2</v>
      </c>
      <c r="V58" s="18">
        <f t="shared" si="5"/>
        <v>0.96</v>
      </c>
      <c r="W58" s="18">
        <f t="shared" si="5"/>
        <v>1.5999999999999999</v>
      </c>
    </row>
    <row r="59" spans="1:23" x14ac:dyDescent="0.3">
      <c r="A59" s="9" t="s">
        <v>79</v>
      </c>
      <c r="B59" s="10" t="s">
        <v>448</v>
      </c>
      <c r="C59" s="10" t="s">
        <v>22</v>
      </c>
      <c r="D59" s="10" t="s">
        <v>40</v>
      </c>
      <c r="E59" s="10" t="s">
        <v>693</v>
      </c>
      <c r="F59" s="10" t="s">
        <v>694</v>
      </c>
      <c r="G59" s="10" t="s">
        <v>698</v>
      </c>
      <c r="H59" s="11">
        <v>5</v>
      </c>
      <c r="I59" s="11">
        <v>5</v>
      </c>
      <c r="J59" s="11">
        <v>5</v>
      </c>
      <c r="K59" s="11">
        <v>3</v>
      </c>
      <c r="L59" s="11">
        <v>5</v>
      </c>
      <c r="M59" s="11">
        <v>3</v>
      </c>
      <c r="N59" s="11">
        <v>4</v>
      </c>
      <c r="O59" s="11">
        <v>4</v>
      </c>
      <c r="P59" s="11">
        <f t="shared" si="4"/>
        <v>6</v>
      </c>
      <c r="Q59" s="11">
        <f t="shared" si="4"/>
        <v>3.5999999999999996</v>
      </c>
      <c r="R59" s="11">
        <f t="shared" si="4"/>
        <v>4.8</v>
      </c>
      <c r="S59" s="11">
        <f t="shared" si="4"/>
        <v>4.8</v>
      </c>
      <c r="T59" s="18">
        <f t="shared" si="5"/>
        <v>1.2</v>
      </c>
      <c r="U59" s="18">
        <f t="shared" si="5"/>
        <v>0.72</v>
      </c>
      <c r="V59" s="18">
        <f t="shared" si="5"/>
        <v>0.96</v>
      </c>
      <c r="W59" s="18">
        <f t="shared" si="5"/>
        <v>1.5999999999999999</v>
      </c>
    </row>
    <row r="60" spans="1:23" x14ac:dyDescent="0.3">
      <c r="A60" s="9" t="s">
        <v>75</v>
      </c>
      <c r="B60" s="10" t="s">
        <v>444</v>
      </c>
      <c r="C60" s="10" t="s">
        <v>22</v>
      </c>
      <c r="D60" s="10" t="s">
        <v>28</v>
      </c>
      <c r="E60" s="10" t="s">
        <v>693</v>
      </c>
      <c r="F60" s="10" t="s">
        <v>694</v>
      </c>
      <c r="G60" s="10" t="s">
        <v>695</v>
      </c>
      <c r="H60" s="11">
        <v>7</v>
      </c>
      <c r="I60" s="11">
        <v>5</v>
      </c>
      <c r="J60" s="11">
        <v>5</v>
      </c>
      <c r="K60" s="11">
        <v>3</v>
      </c>
      <c r="L60" s="11">
        <v>3</v>
      </c>
      <c r="M60" s="11">
        <v>5</v>
      </c>
      <c r="N60" s="11">
        <v>3</v>
      </c>
      <c r="O60" s="11">
        <v>0</v>
      </c>
      <c r="P60" s="11">
        <f t="shared" si="4"/>
        <v>3.5999999999999996</v>
      </c>
      <c r="Q60" s="11">
        <f t="shared" si="4"/>
        <v>6</v>
      </c>
      <c r="R60" s="11">
        <f t="shared" si="4"/>
        <v>3.5999999999999996</v>
      </c>
      <c r="S60" s="11">
        <f t="shared" si="4"/>
        <v>0</v>
      </c>
      <c r="T60" s="18">
        <f t="shared" si="5"/>
        <v>0.51428571428571423</v>
      </c>
      <c r="U60" s="18">
        <f t="shared" si="5"/>
        <v>1.2</v>
      </c>
      <c r="V60" s="18">
        <f t="shared" si="5"/>
        <v>0.72</v>
      </c>
      <c r="W60" s="18">
        <f t="shared" si="5"/>
        <v>0</v>
      </c>
    </row>
    <row r="61" spans="1:23" x14ac:dyDescent="0.3">
      <c r="A61" s="9" t="s">
        <v>73</v>
      </c>
      <c r="B61" s="10" t="s">
        <v>442</v>
      </c>
      <c r="C61" s="10" t="s">
        <v>22</v>
      </c>
      <c r="D61" s="10" t="s">
        <v>44</v>
      </c>
      <c r="E61" s="10" t="s">
        <v>693</v>
      </c>
      <c r="F61" s="10" t="s">
        <v>694</v>
      </c>
      <c r="G61" s="10" t="s">
        <v>699</v>
      </c>
      <c r="H61" s="11">
        <v>5</v>
      </c>
      <c r="I61" s="11">
        <v>5</v>
      </c>
      <c r="J61" s="11">
        <v>5</v>
      </c>
      <c r="K61" s="11">
        <v>3</v>
      </c>
      <c r="L61" s="11">
        <v>3</v>
      </c>
      <c r="M61" s="11">
        <v>4</v>
      </c>
      <c r="N61" s="11">
        <v>5</v>
      </c>
      <c r="O61" s="11">
        <v>1</v>
      </c>
      <c r="P61" s="11">
        <f t="shared" si="4"/>
        <v>3.5999999999999996</v>
      </c>
      <c r="Q61" s="11">
        <f t="shared" si="4"/>
        <v>4.8</v>
      </c>
      <c r="R61" s="11">
        <f t="shared" si="4"/>
        <v>6</v>
      </c>
      <c r="S61" s="11">
        <f t="shared" si="4"/>
        <v>1.2</v>
      </c>
      <c r="T61" s="18">
        <f t="shared" si="5"/>
        <v>0.72</v>
      </c>
      <c r="U61" s="18">
        <f t="shared" si="5"/>
        <v>0.96</v>
      </c>
      <c r="V61" s="18">
        <f t="shared" si="5"/>
        <v>1.2</v>
      </c>
      <c r="W61" s="18">
        <f t="shared" si="5"/>
        <v>0.39999999999999997</v>
      </c>
    </row>
    <row r="62" spans="1:23" x14ac:dyDescent="0.3">
      <c r="A62" s="9" t="s">
        <v>19</v>
      </c>
      <c r="B62" s="10" t="s">
        <v>404</v>
      </c>
      <c r="C62" s="10" t="s">
        <v>22</v>
      </c>
      <c r="D62" s="10" t="s">
        <v>28</v>
      </c>
      <c r="E62" s="10" t="s">
        <v>693</v>
      </c>
      <c r="F62" s="10" t="s">
        <v>694</v>
      </c>
      <c r="G62" s="10" t="s">
        <v>695</v>
      </c>
      <c r="H62" s="11">
        <v>15</v>
      </c>
      <c r="I62" s="11">
        <v>21</v>
      </c>
      <c r="J62" s="11">
        <v>14</v>
      </c>
      <c r="K62" s="11">
        <v>4</v>
      </c>
      <c r="L62" s="11">
        <v>6</v>
      </c>
      <c r="M62" s="11">
        <v>12</v>
      </c>
      <c r="N62" s="11">
        <v>11</v>
      </c>
      <c r="O62" s="11">
        <v>11</v>
      </c>
      <c r="P62" s="11">
        <f t="shared" si="4"/>
        <v>7.1999999999999993</v>
      </c>
      <c r="Q62" s="11">
        <f t="shared" si="4"/>
        <v>14.399999999999999</v>
      </c>
      <c r="R62" s="11">
        <f t="shared" si="4"/>
        <v>13.2</v>
      </c>
      <c r="S62" s="11">
        <f t="shared" si="4"/>
        <v>13.2</v>
      </c>
      <c r="T62" s="18">
        <f t="shared" si="5"/>
        <v>0.47999999999999993</v>
      </c>
      <c r="U62" s="18">
        <f t="shared" si="5"/>
        <v>0.68571428571428561</v>
      </c>
      <c r="V62" s="18">
        <f t="shared" si="5"/>
        <v>0.94285714285714284</v>
      </c>
      <c r="W62" s="18">
        <f t="shared" si="5"/>
        <v>3.3</v>
      </c>
    </row>
    <row r="63" spans="1:23" x14ac:dyDescent="0.3">
      <c r="A63" s="9" t="s">
        <v>53</v>
      </c>
      <c r="B63" s="10" t="s">
        <v>424</v>
      </c>
      <c r="C63" s="10" t="s">
        <v>22</v>
      </c>
      <c r="D63" s="10" t="s">
        <v>28</v>
      </c>
      <c r="E63" s="10" t="s">
        <v>693</v>
      </c>
      <c r="F63" s="10" t="s">
        <v>694</v>
      </c>
      <c r="G63" s="10" t="s">
        <v>695</v>
      </c>
      <c r="H63" s="11">
        <v>8</v>
      </c>
      <c r="I63" s="11">
        <v>9</v>
      </c>
      <c r="J63" s="11">
        <v>5</v>
      </c>
      <c r="K63" s="11">
        <v>3</v>
      </c>
      <c r="L63" s="11">
        <v>8</v>
      </c>
      <c r="M63" s="11">
        <v>6</v>
      </c>
      <c r="N63" s="11">
        <v>3</v>
      </c>
      <c r="O63" s="11">
        <v>2</v>
      </c>
      <c r="P63" s="11">
        <f t="shared" si="4"/>
        <v>9.6</v>
      </c>
      <c r="Q63" s="11">
        <f t="shared" si="4"/>
        <v>7.1999999999999993</v>
      </c>
      <c r="R63" s="11">
        <f t="shared" si="4"/>
        <v>3.5999999999999996</v>
      </c>
      <c r="S63" s="11">
        <f t="shared" si="4"/>
        <v>2.4</v>
      </c>
      <c r="T63" s="18">
        <f t="shared" si="5"/>
        <v>1.2</v>
      </c>
      <c r="U63" s="18">
        <f t="shared" si="5"/>
        <v>0.79999999999999993</v>
      </c>
      <c r="V63" s="18">
        <f t="shared" si="5"/>
        <v>0.72</v>
      </c>
      <c r="W63" s="18">
        <f t="shared" si="5"/>
        <v>0.79999999999999993</v>
      </c>
    </row>
    <row r="64" spans="1:23" x14ac:dyDescent="0.3">
      <c r="A64" s="9" t="s">
        <v>161</v>
      </c>
      <c r="B64" s="10" t="s">
        <v>519</v>
      </c>
      <c r="C64" s="10" t="s">
        <v>22</v>
      </c>
      <c r="D64" s="10" t="s">
        <v>48</v>
      </c>
      <c r="E64" s="10" t="s">
        <v>693</v>
      </c>
      <c r="F64" s="10" t="s">
        <v>694</v>
      </c>
      <c r="G64" s="10" t="s">
        <v>699</v>
      </c>
      <c r="H64" s="11">
        <v>20</v>
      </c>
      <c r="I64" s="11">
        <v>15</v>
      </c>
      <c r="J64" s="11">
        <v>24</v>
      </c>
      <c r="K64" s="11">
        <v>36</v>
      </c>
      <c r="L64" s="11">
        <v>20</v>
      </c>
      <c r="M64" s="11">
        <v>16</v>
      </c>
      <c r="N64" s="11">
        <v>12</v>
      </c>
      <c r="O64" s="11">
        <v>24</v>
      </c>
      <c r="P64" s="11">
        <f t="shared" si="4"/>
        <v>24</v>
      </c>
      <c r="Q64" s="11">
        <f t="shared" si="4"/>
        <v>19.2</v>
      </c>
      <c r="R64" s="11">
        <f t="shared" si="4"/>
        <v>14.399999999999999</v>
      </c>
      <c r="S64" s="11">
        <f t="shared" si="4"/>
        <v>28.799999999999997</v>
      </c>
      <c r="T64" s="18">
        <f t="shared" si="5"/>
        <v>1.2</v>
      </c>
      <c r="U64" s="18">
        <f t="shared" si="5"/>
        <v>1.28</v>
      </c>
      <c r="V64" s="18">
        <f t="shared" si="5"/>
        <v>0.6</v>
      </c>
      <c r="W64" s="18">
        <f t="shared" si="5"/>
        <v>0.79999999999999993</v>
      </c>
    </row>
    <row r="65" spans="1:23" x14ac:dyDescent="0.3">
      <c r="A65" s="9" t="s">
        <v>35</v>
      </c>
      <c r="B65" s="10" t="s">
        <v>413</v>
      </c>
      <c r="C65" s="10" t="s">
        <v>22</v>
      </c>
      <c r="D65" s="10" t="s">
        <v>40</v>
      </c>
      <c r="E65" s="10" t="s">
        <v>693</v>
      </c>
      <c r="F65" s="10" t="s">
        <v>694</v>
      </c>
      <c r="G65" s="10" t="s">
        <v>698</v>
      </c>
      <c r="H65" s="11">
        <v>11</v>
      </c>
      <c r="I65" s="11">
        <v>5</v>
      </c>
      <c r="J65" s="11">
        <v>7</v>
      </c>
      <c r="K65" s="11">
        <v>3</v>
      </c>
      <c r="L65" s="11">
        <v>5</v>
      </c>
      <c r="M65" s="11">
        <v>8</v>
      </c>
      <c r="N65" s="11">
        <v>4</v>
      </c>
      <c r="O65" s="11">
        <v>2</v>
      </c>
      <c r="P65" s="11">
        <f t="shared" si="4"/>
        <v>6</v>
      </c>
      <c r="Q65" s="11">
        <f t="shared" si="4"/>
        <v>9.6</v>
      </c>
      <c r="R65" s="11">
        <f t="shared" si="4"/>
        <v>4.8</v>
      </c>
      <c r="S65" s="11">
        <f t="shared" si="4"/>
        <v>2.4</v>
      </c>
      <c r="T65" s="18">
        <f t="shared" si="5"/>
        <v>0.54545454545454541</v>
      </c>
      <c r="U65" s="18">
        <f t="shared" si="5"/>
        <v>1.92</v>
      </c>
      <c r="V65" s="18">
        <f t="shared" si="5"/>
        <v>0.68571428571428572</v>
      </c>
      <c r="W65" s="18">
        <f t="shared" si="5"/>
        <v>0.79999999999999993</v>
      </c>
    </row>
    <row r="66" spans="1:23" x14ac:dyDescent="0.3">
      <c r="A66" s="9" t="s">
        <v>68</v>
      </c>
      <c r="B66" s="10" t="s">
        <v>437</v>
      </c>
      <c r="C66" s="10" t="s">
        <v>22</v>
      </c>
      <c r="D66" s="10" t="s">
        <v>28</v>
      </c>
      <c r="E66" s="10" t="s">
        <v>693</v>
      </c>
      <c r="F66" s="10" t="s">
        <v>694</v>
      </c>
      <c r="G66" s="10" t="s">
        <v>695</v>
      </c>
      <c r="H66" s="11">
        <v>14</v>
      </c>
      <c r="I66" s="11">
        <v>5</v>
      </c>
      <c r="J66" s="11">
        <v>5</v>
      </c>
      <c r="K66" s="11">
        <v>3</v>
      </c>
      <c r="L66" s="11">
        <v>4</v>
      </c>
      <c r="M66" s="11">
        <v>3</v>
      </c>
      <c r="N66" s="11">
        <v>1</v>
      </c>
      <c r="O66" s="11">
        <v>1</v>
      </c>
      <c r="P66" s="11">
        <f t="shared" si="4"/>
        <v>4.8</v>
      </c>
      <c r="Q66" s="11">
        <f t="shared" si="4"/>
        <v>3.5999999999999996</v>
      </c>
      <c r="R66" s="11">
        <f t="shared" si="4"/>
        <v>1.2</v>
      </c>
      <c r="S66" s="11">
        <f t="shared" si="4"/>
        <v>1.2</v>
      </c>
      <c r="T66" s="18">
        <f t="shared" si="5"/>
        <v>0.34285714285714286</v>
      </c>
      <c r="U66" s="18">
        <f t="shared" si="5"/>
        <v>0.72</v>
      </c>
      <c r="V66" s="18">
        <f t="shared" si="5"/>
        <v>0.24</v>
      </c>
      <c r="W66" s="18">
        <f t="shared" si="5"/>
        <v>0.39999999999999997</v>
      </c>
    </row>
    <row r="67" spans="1:23" x14ac:dyDescent="0.3">
      <c r="A67" s="9" t="s">
        <v>76</v>
      </c>
      <c r="B67" s="10" t="s">
        <v>445</v>
      </c>
      <c r="C67" s="10" t="s">
        <v>22</v>
      </c>
      <c r="D67" s="10" t="s">
        <v>48</v>
      </c>
      <c r="E67" s="10" t="s">
        <v>693</v>
      </c>
      <c r="F67" s="10" t="s">
        <v>694</v>
      </c>
      <c r="G67" s="10" t="s">
        <v>699</v>
      </c>
      <c r="H67" s="11">
        <v>11</v>
      </c>
      <c r="I67" s="11">
        <v>8</v>
      </c>
      <c r="J67" s="11">
        <v>5</v>
      </c>
      <c r="K67" s="11">
        <v>3</v>
      </c>
      <c r="L67" s="11">
        <v>8</v>
      </c>
      <c r="M67" s="11">
        <v>2</v>
      </c>
      <c r="N67" s="11">
        <v>3</v>
      </c>
      <c r="O67" s="11">
        <v>1</v>
      </c>
      <c r="P67" s="11">
        <f t="shared" si="4"/>
        <v>9.6</v>
      </c>
      <c r="Q67" s="11">
        <f t="shared" si="4"/>
        <v>2.4</v>
      </c>
      <c r="R67" s="11">
        <f t="shared" si="4"/>
        <v>3.5999999999999996</v>
      </c>
      <c r="S67" s="11">
        <f t="shared" si="4"/>
        <v>1.2</v>
      </c>
      <c r="T67" s="18">
        <f t="shared" si="5"/>
        <v>0.87272727272727268</v>
      </c>
      <c r="U67" s="18">
        <f t="shared" si="5"/>
        <v>0.3</v>
      </c>
      <c r="V67" s="18">
        <f t="shared" si="5"/>
        <v>0.72</v>
      </c>
      <c r="W67" s="18">
        <f t="shared" si="5"/>
        <v>0.39999999999999997</v>
      </c>
    </row>
    <row r="68" spans="1:23" x14ac:dyDescent="0.3">
      <c r="A68" s="9" t="s">
        <v>43</v>
      </c>
      <c r="B68" s="10" t="s">
        <v>417</v>
      </c>
      <c r="C68" s="10" t="s">
        <v>22</v>
      </c>
      <c r="D68" s="10" t="s">
        <v>44</v>
      </c>
      <c r="E68" s="10" t="s">
        <v>693</v>
      </c>
      <c r="F68" s="10" t="s">
        <v>694</v>
      </c>
      <c r="G68" s="10" t="s">
        <v>698</v>
      </c>
      <c r="H68" s="11">
        <v>17</v>
      </c>
      <c r="I68" s="11">
        <v>11</v>
      </c>
      <c r="J68" s="11">
        <v>21</v>
      </c>
      <c r="K68" s="11">
        <v>25</v>
      </c>
      <c r="L68" s="11">
        <v>15</v>
      </c>
      <c r="M68" s="11">
        <v>11</v>
      </c>
      <c r="N68" s="11">
        <v>9</v>
      </c>
      <c r="O68" s="11">
        <v>24</v>
      </c>
      <c r="P68" s="11">
        <f t="shared" si="4"/>
        <v>18</v>
      </c>
      <c r="Q68" s="11">
        <f t="shared" si="4"/>
        <v>13.2</v>
      </c>
      <c r="R68" s="11">
        <f t="shared" si="4"/>
        <v>10.799999999999999</v>
      </c>
      <c r="S68" s="11">
        <f t="shared" si="4"/>
        <v>28.799999999999997</v>
      </c>
      <c r="T68" s="18">
        <f t="shared" si="5"/>
        <v>1.0588235294117647</v>
      </c>
      <c r="U68" s="18">
        <f t="shared" si="5"/>
        <v>1.2</v>
      </c>
      <c r="V68" s="18">
        <f t="shared" si="5"/>
        <v>0.51428571428571423</v>
      </c>
      <c r="W68" s="18">
        <f t="shared" si="5"/>
        <v>1.1519999999999999</v>
      </c>
    </row>
    <row r="69" spans="1:23" x14ac:dyDescent="0.3">
      <c r="A69" s="9" t="s">
        <v>45</v>
      </c>
      <c r="B69" s="10" t="s">
        <v>418</v>
      </c>
      <c r="C69" s="10" t="s">
        <v>22</v>
      </c>
      <c r="D69" s="10" t="s">
        <v>44</v>
      </c>
      <c r="E69" s="10" t="s">
        <v>693</v>
      </c>
      <c r="F69" s="10" t="s">
        <v>694</v>
      </c>
      <c r="G69" s="10" t="s">
        <v>698</v>
      </c>
      <c r="H69" s="11">
        <v>5</v>
      </c>
      <c r="I69" s="11">
        <v>9</v>
      </c>
      <c r="J69" s="11">
        <v>22</v>
      </c>
      <c r="K69" s="11">
        <v>9</v>
      </c>
      <c r="L69" s="11">
        <v>4</v>
      </c>
      <c r="M69" s="11">
        <v>12</v>
      </c>
      <c r="N69" s="11">
        <v>10</v>
      </c>
      <c r="O69" s="11">
        <v>12</v>
      </c>
      <c r="P69" s="11">
        <f t="shared" si="4"/>
        <v>4.8</v>
      </c>
      <c r="Q69" s="11">
        <f t="shared" si="4"/>
        <v>14.399999999999999</v>
      </c>
      <c r="R69" s="11">
        <f t="shared" si="4"/>
        <v>12</v>
      </c>
      <c r="S69" s="11">
        <f t="shared" si="4"/>
        <v>14.399999999999999</v>
      </c>
      <c r="T69" s="18">
        <f t="shared" si="5"/>
        <v>0.96</v>
      </c>
      <c r="U69" s="18">
        <f t="shared" si="5"/>
        <v>1.5999999999999999</v>
      </c>
      <c r="V69" s="18">
        <f t="shared" si="5"/>
        <v>0.54545454545454541</v>
      </c>
      <c r="W69" s="18">
        <f t="shared" si="5"/>
        <v>1.5999999999999999</v>
      </c>
    </row>
    <row r="70" spans="1:23" x14ac:dyDescent="0.3">
      <c r="A70" s="9" t="s">
        <v>148</v>
      </c>
      <c r="B70" s="10" t="s">
        <v>506</v>
      </c>
      <c r="C70" s="10" t="s">
        <v>22</v>
      </c>
      <c r="D70" s="10" t="s">
        <v>46</v>
      </c>
      <c r="E70" s="10" t="s">
        <v>693</v>
      </c>
      <c r="F70" s="10" t="s">
        <v>694</v>
      </c>
      <c r="G70" s="10" t="s">
        <v>700</v>
      </c>
      <c r="H70" s="11">
        <v>11</v>
      </c>
      <c r="I70" s="11">
        <v>9</v>
      </c>
      <c r="J70" s="11">
        <v>5</v>
      </c>
      <c r="K70" s="11">
        <v>3</v>
      </c>
      <c r="L70" s="11">
        <v>9</v>
      </c>
      <c r="M70" s="11">
        <v>5</v>
      </c>
      <c r="N70" s="11">
        <v>4</v>
      </c>
      <c r="O70" s="11">
        <v>2</v>
      </c>
      <c r="P70" s="11">
        <f t="shared" ref="P70:S133" si="10">IFERROR((L70/$A$2*$B$1),0)</f>
        <v>10.799999999999999</v>
      </c>
      <c r="Q70" s="11">
        <f t="shared" si="10"/>
        <v>6</v>
      </c>
      <c r="R70" s="11">
        <f t="shared" si="10"/>
        <v>4.8</v>
      </c>
      <c r="S70" s="11">
        <f t="shared" si="10"/>
        <v>2.4</v>
      </c>
      <c r="T70" s="18">
        <f t="shared" ref="T70:W133" si="11">IFERROR(P70/H70,0)</f>
        <v>0.9818181818181817</v>
      </c>
      <c r="U70" s="18">
        <f t="shared" si="11"/>
        <v>0.66666666666666663</v>
      </c>
      <c r="V70" s="18">
        <f t="shared" si="11"/>
        <v>0.96</v>
      </c>
      <c r="W70" s="18">
        <f t="shared" si="11"/>
        <v>0.79999999999999993</v>
      </c>
    </row>
    <row r="71" spans="1:23" x14ac:dyDescent="0.3">
      <c r="A71" s="9" t="s">
        <v>149</v>
      </c>
      <c r="B71" s="10" t="s">
        <v>507</v>
      </c>
      <c r="C71" s="10" t="s">
        <v>22</v>
      </c>
      <c r="D71" s="10" t="s">
        <v>46</v>
      </c>
      <c r="E71" s="10" t="s">
        <v>693</v>
      </c>
      <c r="F71" s="10" t="s">
        <v>694</v>
      </c>
      <c r="G71" s="10" t="s">
        <v>700</v>
      </c>
      <c r="H71" s="11">
        <v>7</v>
      </c>
      <c r="I71" s="11">
        <v>5</v>
      </c>
      <c r="J71" s="11">
        <v>12</v>
      </c>
      <c r="K71" s="11">
        <v>3</v>
      </c>
      <c r="L71" s="11">
        <v>6</v>
      </c>
      <c r="M71" s="11">
        <v>1</v>
      </c>
      <c r="N71" s="11">
        <v>6</v>
      </c>
      <c r="O71" s="11">
        <v>0</v>
      </c>
      <c r="P71" s="11">
        <f t="shared" si="10"/>
        <v>7.1999999999999993</v>
      </c>
      <c r="Q71" s="11">
        <f t="shared" si="10"/>
        <v>1.2</v>
      </c>
      <c r="R71" s="11">
        <f t="shared" si="10"/>
        <v>7.1999999999999993</v>
      </c>
      <c r="S71" s="11">
        <f t="shared" si="10"/>
        <v>0</v>
      </c>
      <c r="T71" s="18">
        <f t="shared" si="11"/>
        <v>1.0285714285714285</v>
      </c>
      <c r="U71" s="18">
        <f t="shared" si="11"/>
        <v>0.24</v>
      </c>
      <c r="V71" s="18">
        <f t="shared" si="11"/>
        <v>0.6</v>
      </c>
      <c r="W71" s="18">
        <f t="shared" si="11"/>
        <v>0</v>
      </c>
    </row>
    <row r="72" spans="1:23" x14ac:dyDescent="0.3">
      <c r="A72" s="9" t="s">
        <v>83</v>
      </c>
      <c r="B72" s="10" t="s">
        <v>452</v>
      </c>
      <c r="C72" s="10" t="s">
        <v>22</v>
      </c>
      <c r="D72" s="10" t="s">
        <v>28</v>
      </c>
      <c r="E72" s="10" t="s">
        <v>693</v>
      </c>
      <c r="F72" s="10" t="s">
        <v>694</v>
      </c>
      <c r="G72" s="10" t="s">
        <v>695</v>
      </c>
      <c r="H72" s="11">
        <v>11</v>
      </c>
      <c r="I72" s="11">
        <v>5</v>
      </c>
      <c r="J72" s="11">
        <v>7</v>
      </c>
      <c r="K72" s="11">
        <v>3</v>
      </c>
      <c r="L72" s="11">
        <v>2</v>
      </c>
      <c r="M72" s="11">
        <v>4</v>
      </c>
      <c r="N72" s="11">
        <v>2</v>
      </c>
      <c r="O72" s="11">
        <v>0</v>
      </c>
      <c r="P72" s="11">
        <f t="shared" si="10"/>
        <v>2.4</v>
      </c>
      <c r="Q72" s="11">
        <f t="shared" si="10"/>
        <v>4.8</v>
      </c>
      <c r="R72" s="11">
        <f t="shared" si="10"/>
        <v>2.4</v>
      </c>
      <c r="S72" s="11">
        <f t="shared" si="10"/>
        <v>0</v>
      </c>
      <c r="T72" s="18">
        <f t="shared" si="11"/>
        <v>0.21818181818181817</v>
      </c>
      <c r="U72" s="18">
        <f t="shared" si="11"/>
        <v>0.96</v>
      </c>
      <c r="V72" s="18">
        <f t="shared" si="11"/>
        <v>0.34285714285714286</v>
      </c>
      <c r="W72" s="18">
        <f t="shared" si="11"/>
        <v>0</v>
      </c>
    </row>
    <row r="73" spans="1:23" x14ac:dyDescent="0.3">
      <c r="A73" s="9" t="s">
        <v>147</v>
      </c>
      <c r="B73" s="10" t="s">
        <v>505</v>
      </c>
      <c r="C73" s="10" t="s">
        <v>22</v>
      </c>
      <c r="D73" s="10" t="s">
        <v>42</v>
      </c>
      <c r="E73" s="10" t="s">
        <v>693</v>
      </c>
      <c r="F73" s="10" t="s">
        <v>694</v>
      </c>
      <c r="G73" s="10" t="s">
        <v>699</v>
      </c>
      <c r="H73" s="11">
        <v>8</v>
      </c>
      <c r="I73" s="11">
        <v>5</v>
      </c>
      <c r="J73" s="11">
        <v>8</v>
      </c>
      <c r="K73" s="11">
        <v>14</v>
      </c>
      <c r="L73" s="11">
        <v>4</v>
      </c>
      <c r="M73" s="11">
        <v>4</v>
      </c>
      <c r="N73" s="11">
        <v>2</v>
      </c>
      <c r="O73" s="11">
        <v>8</v>
      </c>
      <c r="P73" s="11">
        <f t="shared" si="10"/>
        <v>4.8</v>
      </c>
      <c r="Q73" s="11">
        <f t="shared" si="10"/>
        <v>4.8</v>
      </c>
      <c r="R73" s="11">
        <f t="shared" si="10"/>
        <v>2.4</v>
      </c>
      <c r="S73" s="11">
        <f t="shared" si="10"/>
        <v>9.6</v>
      </c>
      <c r="T73" s="18">
        <f t="shared" si="11"/>
        <v>0.6</v>
      </c>
      <c r="U73" s="18">
        <f t="shared" si="11"/>
        <v>0.96</v>
      </c>
      <c r="V73" s="18">
        <f t="shared" si="11"/>
        <v>0.3</v>
      </c>
      <c r="W73" s="18">
        <f t="shared" si="11"/>
        <v>0.68571428571428572</v>
      </c>
    </row>
    <row r="74" spans="1:23" x14ac:dyDescent="0.3">
      <c r="A74" s="9" t="s">
        <v>193</v>
      </c>
      <c r="B74" s="10" t="s">
        <v>551</v>
      </c>
      <c r="C74" s="10" t="s">
        <v>22</v>
      </c>
      <c r="D74" s="10" t="s">
        <v>44</v>
      </c>
      <c r="E74" s="10" t="s">
        <v>693</v>
      </c>
      <c r="F74" s="10" t="s">
        <v>694</v>
      </c>
      <c r="G74" s="10" t="s">
        <v>698</v>
      </c>
      <c r="H74" s="11">
        <v>5</v>
      </c>
      <c r="I74" s="11">
        <v>5</v>
      </c>
      <c r="J74" s="11">
        <v>6</v>
      </c>
      <c r="K74" s="11">
        <v>3</v>
      </c>
      <c r="L74" s="11">
        <v>1</v>
      </c>
      <c r="M74" s="11">
        <v>2</v>
      </c>
      <c r="N74" s="11">
        <v>3</v>
      </c>
      <c r="O74" s="11">
        <v>2</v>
      </c>
      <c r="P74" s="11">
        <f t="shared" si="10"/>
        <v>1.2</v>
      </c>
      <c r="Q74" s="11">
        <f t="shared" si="10"/>
        <v>2.4</v>
      </c>
      <c r="R74" s="11">
        <f t="shared" si="10"/>
        <v>3.5999999999999996</v>
      </c>
      <c r="S74" s="11">
        <f t="shared" si="10"/>
        <v>2.4</v>
      </c>
      <c r="T74" s="18">
        <f t="shared" si="11"/>
        <v>0.24</v>
      </c>
      <c r="U74" s="18">
        <f t="shared" si="11"/>
        <v>0.48</v>
      </c>
      <c r="V74" s="18">
        <f t="shared" si="11"/>
        <v>0.6</v>
      </c>
      <c r="W74" s="18">
        <f t="shared" si="11"/>
        <v>0.79999999999999993</v>
      </c>
    </row>
    <row r="75" spans="1:23" x14ac:dyDescent="0.3">
      <c r="A75" s="9" t="s">
        <v>249</v>
      </c>
      <c r="B75" s="10" t="s">
        <v>604</v>
      </c>
      <c r="C75" s="10" t="s">
        <v>22</v>
      </c>
      <c r="D75" s="10" t="s">
        <v>48</v>
      </c>
      <c r="E75" s="10" t="s">
        <v>707</v>
      </c>
      <c r="F75" s="10" t="s">
        <v>694</v>
      </c>
      <c r="G75" s="10" t="s">
        <v>699</v>
      </c>
      <c r="H75" s="11">
        <v>5</v>
      </c>
      <c r="I75" s="11">
        <v>5</v>
      </c>
      <c r="J75" s="11">
        <v>5</v>
      </c>
      <c r="K75" s="11">
        <v>3</v>
      </c>
      <c r="L75" s="11">
        <v>0</v>
      </c>
      <c r="M75" s="11">
        <v>0</v>
      </c>
      <c r="N75" s="11">
        <v>0</v>
      </c>
      <c r="O75" s="11">
        <v>0</v>
      </c>
      <c r="P75" s="11">
        <f t="shared" si="10"/>
        <v>0</v>
      </c>
      <c r="Q75" s="11">
        <f t="shared" si="10"/>
        <v>0</v>
      </c>
      <c r="R75" s="11">
        <f t="shared" si="10"/>
        <v>0</v>
      </c>
      <c r="S75" s="11">
        <f t="shared" si="10"/>
        <v>0</v>
      </c>
      <c r="T75" s="18">
        <f t="shared" si="11"/>
        <v>0</v>
      </c>
      <c r="U75" s="18">
        <f t="shared" si="11"/>
        <v>0</v>
      </c>
      <c r="V75" s="18">
        <f t="shared" si="11"/>
        <v>0</v>
      </c>
      <c r="W75" s="18">
        <f t="shared" si="11"/>
        <v>0</v>
      </c>
    </row>
    <row r="76" spans="1:23" x14ac:dyDescent="0.3">
      <c r="A76" s="9" t="s">
        <v>253</v>
      </c>
      <c r="B76" s="10" t="s">
        <v>608</v>
      </c>
      <c r="C76" s="10" t="s">
        <v>22</v>
      </c>
      <c r="D76" s="10" t="s">
        <v>28</v>
      </c>
      <c r="E76" s="10" t="s">
        <v>707</v>
      </c>
      <c r="F76" s="10" t="s">
        <v>694</v>
      </c>
      <c r="G76" s="10" t="s">
        <v>695</v>
      </c>
      <c r="H76" s="11">
        <v>5</v>
      </c>
      <c r="I76" s="11">
        <v>5</v>
      </c>
      <c r="J76" s="11">
        <v>5</v>
      </c>
      <c r="K76" s="11">
        <v>3</v>
      </c>
      <c r="L76" s="11">
        <v>0</v>
      </c>
      <c r="M76" s="11">
        <v>0</v>
      </c>
      <c r="N76" s="11">
        <v>1</v>
      </c>
      <c r="O76" s="11">
        <v>0</v>
      </c>
      <c r="P76" s="11">
        <f t="shared" si="10"/>
        <v>0</v>
      </c>
      <c r="Q76" s="11">
        <f t="shared" si="10"/>
        <v>0</v>
      </c>
      <c r="R76" s="11">
        <f t="shared" si="10"/>
        <v>1.2</v>
      </c>
      <c r="S76" s="11">
        <f t="shared" si="10"/>
        <v>0</v>
      </c>
      <c r="T76" s="18">
        <f t="shared" si="11"/>
        <v>0</v>
      </c>
      <c r="U76" s="18">
        <f t="shared" si="11"/>
        <v>0</v>
      </c>
      <c r="V76" s="18">
        <f t="shared" si="11"/>
        <v>0.24</v>
      </c>
      <c r="W76" s="18">
        <f t="shared" si="11"/>
        <v>0</v>
      </c>
    </row>
    <row r="77" spans="1:23" x14ac:dyDescent="0.3">
      <c r="A77" s="9" t="s">
        <v>159</v>
      </c>
      <c r="B77" s="10" t="s">
        <v>517</v>
      </c>
      <c r="C77" s="10" t="s">
        <v>20</v>
      </c>
      <c r="D77" s="10" t="s">
        <v>34</v>
      </c>
      <c r="E77" s="10" t="s">
        <v>693</v>
      </c>
      <c r="F77" s="10" t="s">
        <v>694</v>
      </c>
      <c r="G77" s="10" t="s">
        <v>697</v>
      </c>
      <c r="H77" s="11">
        <v>5</v>
      </c>
      <c r="I77" s="11">
        <v>5</v>
      </c>
      <c r="J77" s="11">
        <v>5</v>
      </c>
      <c r="K77" s="11">
        <v>3</v>
      </c>
      <c r="L77" s="11">
        <v>0</v>
      </c>
      <c r="M77" s="11">
        <v>1</v>
      </c>
      <c r="N77" s="11">
        <v>1</v>
      </c>
      <c r="O77" s="11">
        <v>0</v>
      </c>
      <c r="P77" s="11">
        <f t="shared" si="10"/>
        <v>0</v>
      </c>
      <c r="Q77" s="11">
        <f t="shared" si="10"/>
        <v>1.2</v>
      </c>
      <c r="R77" s="11">
        <f t="shared" si="10"/>
        <v>1.2</v>
      </c>
      <c r="S77" s="11">
        <f t="shared" si="10"/>
        <v>0</v>
      </c>
      <c r="T77" s="18">
        <f t="shared" si="11"/>
        <v>0</v>
      </c>
      <c r="U77" s="18">
        <f t="shared" si="11"/>
        <v>0.24</v>
      </c>
      <c r="V77" s="18">
        <f t="shared" si="11"/>
        <v>0.24</v>
      </c>
      <c r="W77" s="18">
        <f t="shared" si="11"/>
        <v>0</v>
      </c>
    </row>
    <row r="78" spans="1:23" x14ac:dyDescent="0.3">
      <c r="A78" s="9" t="s">
        <v>120</v>
      </c>
      <c r="B78" s="10" t="s">
        <v>487</v>
      </c>
      <c r="C78" s="10" t="s">
        <v>20</v>
      </c>
      <c r="D78" s="10" t="s">
        <v>36</v>
      </c>
      <c r="E78" s="10" t="s">
        <v>693</v>
      </c>
      <c r="F78" s="10" t="s">
        <v>694</v>
      </c>
      <c r="G78" s="10" t="s">
        <v>697</v>
      </c>
      <c r="H78" s="11">
        <v>5</v>
      </c>
      <c r="I78" s="11">
        <v>6</v>
      </c>
      <c r="J78" s="11">
        <v>5</v>
      </c>
      <c r="K78" s="11">
        <v>4</v>
      </c>
      <c r="L78" s="11">
        <v>4</v>
      </c>
      <c r="M78" s="11">
        <v>2</v>
      </c>
      <c r="N78" s="11">
        <v>5</v>
      </c>
      <c r="O78" s="11">
        <v>6</v>
      </c>
      <c r="P78" s="11">
        <f t="shared" si="10"/>
        <v>4.8</v>
      </c>
      <c r="Q78" s="11">
        <f t="shared" si="10"/>
        <v>2.4</v>
      </c>
      <c r="R78" s="11">
        <f t="shared" si="10"/>
        <v>6</v>
      </c>
      <c r="S78" s="11">
        <f t="shared" si="10"/>
        <v>7.1999999999999993</v>
      </c>
      <c r="T78" s="18">
        <f t="shared" si="11"/>
        <v>0.96</v>
      </c>
      <c r="U78" s="18">
        <f t="shared" si="11"/>
        <v>0.39999999999999997</v>
      </c>
      <c r="V78" s="18">
        <f t="shared" si="11"/>
        <v>1.2</v>
      </c>
      <c r="W78" s="18">
        <f t="shared" si="11"/>
        <v>1.7999999999999998</v>
      </c>
    </row>
    <row r="79" spans="1:23" x14ac:dyDescent="0.3">
      <c r="A79" s="9" t="s">
        <v>33</v>
      </c>
      <c r="B79" s="10" t="s">
        <v>412</v>
      </c>
      <c r="C79" s="10" t="s">
        <v>20</v>
      </c>
      <c r="D79" s="10" t="s">
        <v>30</v>
      </c>
      <c r="E79" s="10" t="s">
        <v>693</v>
      </c>
      <c r="F79" s="10" t="s">
        <v>694</v>
      </c>
      <c r="G79" s="10" t="s">
        <v>696</v>
      </c>
      <c r="H79" s="11">
        <v>5</v>
      </c>
      <c r="I79" s="11">
        <v>5</v>
      </c>
      <c r="J79" s="11">
        <v>5</v>
      </c>
      <c r="K79" s="11">
        <v>3</v>
      </c>
      <c r="L79" s="11">
        <v>3</v>
      </c>
      <c r="M79" s="11">
        <v>4</v>
      </c>
      <c r="N79" s="11">
        <v>2</v>
      </c>
      <c r="O79" s="11">
        <v>2</v>
      </c>
      <c r="P79" s="11">
        <f t="shared" si="10"/>
        <v>3.5999999999999996</v>
      </c>
      <c r="Q79" s="11">
        <f t="shared" si="10"/>
        <v>4.8</v>
      </c>
      <c r="R79" s="11">
        <f t="shared" si="10"/>
        <v>2.4</v>
      </c>
      <c r="S79" s="11">
        <f t="shared" si="10"/>
        <v>2.4</v>
      </c>
      <c r="T79" s="18">
        <f t="shared" si="11"/>
        <v>0.72</v>
      </c>
      <c r="U79" s="18">
        <f t="shared" si="11"/>
        <v>0.96</v>
      </c>
      <c r="V79" s="18">
        <f t="shared" si="11"/>
        <v>0.48</v>
      </c>
      <c r="W79" s="18">
        <f t="shared" si="11"/>
        <v>0.79999999999999993</v>
      </c>
    </row>
    <row r="80" spans="1:23" x14ac:dyDescent="0.3">
      <c r="A80" s="9" t="s">
        <v>220</v>
      </c>
      <c r="B80" s="10" t="s">
        <v>578</v>
      </c>
      <c r="C80" s="10" t="s">
        <v>20</v>
      </c>
      <c r="D80" s="10" t="s">
        <v>30</v>
      </c>
      <c r="E80" s="10" t="s">
        <v>693</v>
      </c>
      <c r="F80" s="10" t="s">
        <v>694</v>
      </c>
      <c r="G80" s="10" t="s">
        <v>696</v>
      </c>
      <c r="H80" s="11">
        <v>5</v>
      </c>
      <c r="I80" s="11">
        <v>5</v>
      </c>
      <c r="J80" s="11">
        <v>8</v>
      </c>
      <c r="K80" s="11">
        <v>4</v>
      </c>
      <c r="L80" s="11">
        <v>5</v>
      </c>
      <c r="M80" s="11">
        <v>0</v>
      </c>
      <c r="N80" s="11">
        <v>5</v>
      </c>
      <c r="O80" s="11">
        <v>7</v>
      </c>
      <c r="P80" s="11">
        <f t="shared" si="10"/>
        <v>6</v>
      </c>
      <c r="Q80" s="11">
        <f t="shared" si="10"/>
        <v>0</v>
      </c>
      <c r="R80" s="11">
        <f t="shared" si="10"/>
        <v>6</v>
      </c>
      <c r="S80" s="11">
        <f t="shared" si="10"/>
        <v>8.4</v>
      </c>
      <c r="T80" s="18">
        <f t="shared" si="11"/>
        <v>1.2</v>
      </c>
      <c r="U80" s="18">
        <f t="shared" si="11"/>
        <v>0</v>
      </c>
      <c r="V80" s="18">
        <f t="shared" si="11"/>
        <v>0.75</v>
      </c>
      <c r="W80" s="18">
        <f t="shared" si="11"/>
        <v>2.1</v>
      </c>
    </row>
    <row r="81" spans="1:23" x14ac:dyDescent="0.3">
      <c r="A81" s="9" t="s">
        <v>25</v>
      </c>
      <c r="B81" s="10" t="s">
        <v>407</v>
      </c>
      <c r="C81" s="10" t="s">
        <v>20</v>
      </c>
      <c r="D81" s="10" t="s">
        <v>32</v>
      </c>
      <c r="E81" s="10" t="s">
        <v>693</v>
      </c>
      <c r="F81" s="10" t="s">
        <v>694</v>
      </c>
      <c r="G81" s="10" t="s">
        <v>696</v>
      </c>
      <c r="H81" s="11">
        <v>8</v>
      </c>
      <c r="I81" s="11">
        <v>8</v>
      </c>
      <c r="J81" s="11">
        <v>17</v>
      </c>
      <c r="K81" s="11">
        <v>3</v>
      </c>
      <c r="L81" s="11">
        <v>6</v>
      </c>
      <c r="M81" s="11">
        <v>4</v>
      </c>
      <c r="N81" s="11">
        <v>7</v>
      </c>
      <c r="O81" s="11">
        <v>5</v>
      </c>
      <c r="P81" s="11">
        <f t="shared" si="10"/>
        <v>7.1999999999999993</v>
      </c>
      <c r="Q81" s="11">
        <f t="shared" si="10"/>
        <v>4.8</v>
      </c>
      <c r="R81" s="11">
        <f t="shared" si="10"/>
        <v>8.4</v>
      </c>
      <c r="S81" s="11">
        <f t="shared" si="10"/>
        <v>6</v>
      </c>
      <c r="T81" s="18">
        <f t="shared" si="11"/>
        <v>0.89999999999999991</v>
      </c>
      <c r="U81" s="18">
        <f t="shared" si="11"/>
        <v>0.6</v>
      </c>
      <c r="V81" s="18">
        <f t="shared" si="11"/>
        <v>0.49411764705882355</v>
      </c>
      <c r="W81" s="18">
        <f t="shared" si="11"/>
        <v>2</v>
      </c>
    </row>
    <row r="82" spans="1:23" x14ac:dyDescent="0.3">
      <c r="A82" s="9" t="s">
        <v>119</v>
      </c>
      <c r="B82" s="10" t="s">
        <v>486</v>
      </c>
      <c r="C82" s="10" t="s">
        <v>20</v>
      </c>
      <c r="D82" s="10" t="s">
        <v>34</v>
      </c>
      <c r="E82" s="10" t="s">
        <v>693</v>
      </c>
      <c r="F82" s="10" t="s">
        <v>694</v>
      </c>
      <c r="G82" s="10" t="s">
        <v>697</v>
      </c>
      <c r="H82" s="11">
        <v>7</v>
      </c>
      <c r="I82" s="11">
        <v>6</v>
      </c>
      <c r="J82" s="11">
        <v>9</v>
      </c>
      <c r="K82" s="11">
        <v>11</v>
      </c>
      <c r="L82" s="11">
        <v>7</v>
      </c>
      <c r="M82" s="11">
        <v>2</v>
      </c>
      <c r="N82" s="11">
        <v>1</v>
      </c>
      <c r="O82" s="11">
        <v>7</v>
      </c>
      <c r="P82" s="11">
        <f t="shared" si="10"/>
        <v>8.4</v>
      </c>
      <c r="Q82" s="11">
        <f t="shared" si="10"/>
        <v>2.4</v>
      </c>
      <c r="R82" s="11">
        <f t="shared" si="10"/>
        <v>1.2</v>
      </c>
      <c r="S82" s="11">
        <f t="shared" si="10"/>
        <v>8.4</v>
      </c>
      <c r="T82" s="18">
        <f t="shared" si="11"/>
        <v>1.2</v>
      </c>
      <c r="U82" s="18">
        <f t="shared" si="11"/>
        <v>0.39999999999999997</v>
      </c>
      <c r="V82" s="18">
        <f t="shared" si="11"/>
        <v>0.13333333333333333</v>
      </c>
      <c r="W82" s="18">
        <f t="shared" si="11"/>
        <v>0.76363636363636367</v>
      </c>
    </row>
    <row r="83" spans="1:23" x14ac:dyDescent="0.3">
      <c r="A83" s="9" t="s">
        <v>64</v>
      </c>
      <c r="B83" s="10" t="s">
        <v>435</v>
      </c>
      <c r="C83" s="10" t="s">
        <v>20</v>
      </c>
      <c r="D83" s="10" t="s">
        <v>34</v>
      </c>
      <c r="E83" s="10" t="s">
        <v>693</v>
      </c>
      <c r="F83" s="10" t="s">
        <v>694</v>
      </c>
      <c r="G83" s="10" t="s">
        <v>697</v>
      </c>
      <c r="H83" s="11">
        <v>7</v>
      </c>
      <c r="I83" s="11">
        <v>5</v>
      </c>
      <c r="J83" s="11">
        <v>15</v>
      </c>
      <c r="K83" s="11">
        <v>3</v>
      </c>
      <c r="L83" s="11">
        <v>8</v>
      </c>
      <c r="M83" s="11">
        <v>5</v>
      </c>
      <c r="N83" s="11">
        <v>8</v>
      </c>
      <c r="O83" s="11">
        <v>15</v>
      </c>
      <c r="P83" s="11">
        <f t="shared" si="10"/>
        <v>9.6</v>
      </c>
      <c r="Q83" s="11">
        <f t="shared" si="10"/>
        <v>6</v>
      </c>
      <c r="R83" s="11">
        <f t="shared" si="10"/>
        <v>9.6</v>
      </c>
      <c r="S83" s="11">
        <f t="shared" si="10"/>
        <v>18</v>
      </c>
      <c r="T83" s="18">
        <f t="shared" si="11"/>
        <v>1.3714285714285714</v>
      </c>
      <c r="U83" s="18">
        <f t="shared" si="11"/>
        <v>1.2</v>
      </c>
      <c r="V83" s="18">
        <f t="shared" si="11"/>
        <v>0.64</v>
      </c>
      <c r="W83" s="18">
        <f t="shared" si="11"/>
        <v>6</v>
      </c>
    </row>
    <row r="84" spans="1:23" x14ac:dyDescent="0.3">
      <c r="A84" s="9" t="s">
        <v>59</v>
      </c>
      <c r="B84" s="10" t="s">
        <v>430</v>
      </c>
      <c r="C84" s="10" t="s">
        <v>20</v>
      </c>
      <c r="D84" s="10" t="s">
        <v>36</v>
      </c>
      <c r="E84" s="10" t="s">
        <v>693</v>
      </c>
      <c r="F84" s="10" t="s">
        <v>694</v>
      </c>
      <c r="G84" s="10" t="s">
        <v>697</v>
      </c>
      <c r="H84" s="11">
        <v>5</v>
      </c>
      <c r="I84" s="11">
        <v>5</v>
      </c>
      <c r="J84" s="11">
        <v>9</v>
      </c>
      <c r="K84" s="11">
        <v>6</v>
      </c>
      <c r="L84" s="11">
        <v>5</v>
      </c>
      <c r="M84" s="11">
        <v>4</v>
      </c>
      <c r="N84" s="11">
        <v>2</v>
      </c>
      <c r="O84" s="11">
        <v>5</v>
      </c>
      <c r="P84" s="11">
        <f t="shared" si="10"/>
        <v>6</v>
      </c>
      <c r="Q84" s="11">
        <f t="shared" si="10"/>
        <v>4.8</v>
      </c>
      <c r="R84" s="11">
        <f t="shared" si="10"/>
        <v>2.4</v>
      </c>
      <c r="S84" s="11">
        <f t="shared" si="10"/>
        <v>6</v>
      </c>
      <c r="T84" s="18">
        <f t="shared" si="11"/>
        <v>1.2</v>
      </c>
      <c r="U84" s="18">
        <f t="shared" si="11"/>
        <v>0.96</v>
      </c>
      <c r="V84" s="18">
        <f t="shared" si="11"/>
        <v>0.26666666666666666</v>
      </c>
      <c r="W84" s="18">
        <f t="shared" si="11"/>
        <v>1</v>
      </c>
    </row>
    <row r="85" spans="1:23" x14ac:dyDescent="0.3">
      <c r="A85" s="9" t="s">
        <v>135</v>
      </c>
      <c r="B85" s="10" t="s">
        <v>495</v>
      </c>
      <c r="C85" s="10" t="s">
        <v>20</v>
      </c>
      <c r="D85" s="10" t="s">
        <v>32</v>
      </c>
      <c r="E85" s="10" t="s">
        <v>693</v>
      </c>
      <c r="F85" s="10" t="s">
        <v>694</v>
      </c>
      <c r="G85" s="10" t="s">
        <v>696</v>
      </c>
      <c r="H85" s="11">
        <v>6</v>
      </c>
      <c r="I85" s="11">
        <v>5</v>
      </c>
      <c r="J85" s="11">
        <v>13</v>
      </c>
      <c r="K85" s="11">
        <v>3</v>
      </c>
      <c r="L85" s="11">
        <v>4</v>
      </c>
      <c r="M85" s="11">
        <v>3</v>
      </c>
      <c r="N85" s="11">
        <v>6</v>
      </c>
      <c r="O85" s="11">
        <v>2</v>
      </c>
      <c r="P85" s="11">
        <f t="shared" si="10"/>
        <v>4.8</v>
      </c>
      <c r="Q85" s="11">
        <f t="shared" si="10"/>
        <v>3.5999999999999996</v>
      </c>
      <c r="R85" s="11">
        <f t="shared" si="10"/>
        <v>7.1999999999999993</v>
      </c>
      <c r="S85" s="11">
        <f t="shared" si="10"/>
        <v>2.4</v>
      </c>
      <c r="T85" s="18">
        <f t="shared" si="11"/>
        <v>0.79999999999999993</v>
      </c>
      <c r="U85" s="18">
        <f t="shared" si="11"/>
        <v>0.72</v>
      </c>
      <c r="V85" s="18">
        <f t="shared" si="11"/>
        <v>0.55384615384615377</v>
      </c>
      <c r="W85" s="18">
        <f t="shared" si="11"/>
        <v>0.79999999999999993</v>
      </c>
    </row>
    <row r="86" spans="1:23" x14ac:dyDescent="0.3">
      <c r="A86" s="9" t="s">
        <v>126</v>
      </c>
      <c r="B86" s="10" t="s">
        <v>492</v>
      </c>
      <c r="C86" s="10" t="s">
        <v>20</v>
      </c>
      <c r="D86" s="10" t="s">
        <v>34</v>
      </c>
      <c r="E86" s="10" t="s">
        <v>693</v>
      </c>
      <c r="F86" s="10" t="s">
        <v>694</v>
      </c>
      <c r="G86" s="10" t="s">
        <v>697</v>
      </c>
      <c r="H86" s="11">
        <v>5</v>
      </c>
      <c r="I86" s="11">
        <v>5</v>
      </c>
      <c r="J86" s="11">
        <v>5</v>
      </c>
      <c r="K86" s="11">
        <v>3</v>
      </c>
      <c r="L86" s="11">
        <v>1</v>
      </c>
      <c r="M86" s="11">
        <v>1</v>
      </c>
      <c r="N86" s="11">
        <v>1</v>
      </c>
      <c r="O86" s="11">
        <v>0</v>
      </c>
      <c r="P86" s="11">
        <f t="shared" si="10"/>
        <v>1.2</v>
      </c>
      <c r="Q86" s="11">
        <f t="shared" si="10"/>
        <v>1.2</v>
      </c>
      <c r="R86" s="11">
        <f t="shared" si="10"/>
        <v>1.2</v>
      </c>
      <c r="S86" s="11">
        <f t="shared" si="10"/>
        <v>0</v>
      </c>
      <c r="T86" s="18">
        <f t="shared" si="11"/>
        <v>0.24</v>
      </c>
      <c r="U86" s="18">
        <f t="shared" si="11"/>
        <v>0.24</v>
      </c>
      <c r="V86" s="18">
        <f t="shared" si="11"/>
        <v>0.24</v>
      </c>
      <c r="W86" s="18">
        <f t="shared" si="11"/>
        <v>0</v>
      </c>
    </row>
    <row r="87" spans="1:23" x14ac:dyDescent="0.3">
      <c r="A87" s="9" t="s">
        <v>95</v>
      </c>
      <c r="B87" s="10" t="s">
        <v>464</v>
      </c>
      <c r="C87" s="10" t="s">
        <v>20</v>
      </c>
      <c r="D87" s="10" t="s">
        <v>34</v>
      </c>
      <c r="E87" s="10" t="s">
        <v>693</v>
      </c>
      <c r="F87" s="10" t="s">
        <v>694</v>
      </c>
      <c r="G87" s="10" t="s">
        <v>697</v>
      </c>
      <c r="H87" s="11">
        <v>9</v>
      </c>
      <c r="I87" s="11">
        <v>5</v>
      </c>
      <c r="J87" s="11">
        <v>6</v>
      </c>
      <c r="K87" s="11">
        <v>3</v>
      </c>
      <c r="L87" s="11">
        <v>7</v>
      </c>
      <c r="M87" s="11">
        <v>2</v>
      </c>
      <c r="N87" s="11">
        <v>4</v>
      </c>
      <c r="O87" s="11">
        <v>1</v>
      </c>
      <c r="P87" s="11">
        <f t="shared" si="10"/>
        <v>8.4</v>
      </c>
      <c r="Q87" s="11">
        <f t="shared" si="10"/>
        <v>2.4</v>
      </c>
      <c r="R87" s="11">
        <f t="shared" si="10"/>
        <v>4.8</v>
      </c>
      <c r="S87" s="11">
        <f t="shared" si="10"/>
        <v>1.2</v>
      </c>
      <c r="T87" s="18">
        <f t="shared" si="11"/>
        <v>0.93333333333333335</v>
      </c>
      <c r="U87" s="18">
        <f t="shared" si="11"/>
        <v>0.48</v>
      </c>
      <c r="V87" s="18">
        <f t="shared" si="11"/>
        <v>0.79999999999999993</v>
      </c>
      <c r="W87" s="18">
        <f t="shared" si="11"/>
        <v>0.39999999999999997</v>
      </c>
    </row>
    <row r="88" spans="1:23" x14ac:dyDescent="0.3">
      <c r="A88" s="9" t="s">
        <v>69</v>
      </c>
      <c r="B88" s="10" t="s">
        <v>438</v>
      </c>
      <c r="C88" s="10" t="s">
        <v>20</v>
      </c>
      <c r="D88" s="10" t="s">
        <v>38</v>
      </c>
      <c r="E88" s="10" t="s">
        <v>693</v>
      </c>
      <c r="F88" s="10" t="s">
        <v>694</v>
      </c>
      <c r="G88" s="10" t="s">
        <v>696</v>
      </c>
      <c r="H88" s="11">
        <v>5</v>
      </c>
      <c r="I88" s="11">
        <v>5</v>
      </c>
      <c r="J88" s="11">
        <v>5</v>
      </c>
      <c r="K88" s="11">
        <v>3</v>
      </c>
      <c r="L88" s="11">
        <v>2</v>
      </c>
      <c r="M88" s="11">
        <v>2</v>
      </c>
      <c r="N88" s="11">
        <v>1</v>
      </c>
      <c r="O88" s="11">
        <v>1</v>
      </c>
      <c r="P88" s="11">
        <f t="shared" si="10"/>
        <v>2.4</v>
      </c>
      <c r="Q88" s="11">
        <f t="shared" si="10"/>
        <v>2.4</v>
      </c>
      <c r="R88" s="11">
        <f t="shared" si="10"/>
        <v>1.2</v>
      </c>
      <c r="S88" s="11">
        <f t="shared" si="10"/>
        <v>1.2</v>
      </c>
      <c r="T88" s="18">
        <f t="shared" si="11"/>
        <v>0.48</v>
      </c>
      <c r="U88" s="18">
        <f t="shared" si="11"/>
        <v>0.48</v>
      </c>
      <c r="V88" s="18">
        <f t="shared" si="11"/>
        <v>0.24</v>
      </c>
      <c r="W88" s="18">
        <f t="shared" si="11"/>
        <v>0.39999999999999997</v>
      </c>
    </row>
    <row r="89" spans="1:23" x14ac:dyDescent="0.3">
      <c r="A89" s="9" t="s">
        <v>97</v>
      </c>
      <c r="B89" s="10" t="s">
        <v>466</v>
      </c>
      <c r="C89" s="10" t="s">
        <v>20</v>
      </c>
      <c r="D89" s="10" t="s">
        <v>36</v>
      </c>
      <c r="E89" s="10" t="s">
        <v>693</v>
      </c>
      <c r="F89" s="10" t="s">
        <v>694</v>
      </c>
      <c r="G89" s="10" t="s">
        <v>697</v>
      </c>
      <c r="H89" s="11">
        <v>8</v>
      </c>
      <c r="I89" s="11">
        <v>10</v>
      </c>
      <c r="J89" s="11">
        <v>5</v>
      </c>
      <c r="K89" s="11">
        <v>8</v>
      </c>
      <c r="L89" s="11">
        <v>3</v>
      </c>
      <c r="M89" s="11">
        <v>2</v>
      </c>
      <c r="N89" s="11">
        <v>2</v>
      </c>
      <c r="O89" s="11">
        <v>1</v>
      </c>
      <c r="P89" s="11">
        <f t="shared" si="10"/>
        <v>3.5999999999999996</v>
      </c>
      <c r="Q89" s="11">
        <f t="shared" si="10"/>
        <v>2.4</v>
      </c>
      <c r="R89" s="11">
        <f t="shared" si="10"/>
        <v>2.4</v>
      </c>
      <c r="S89" s="11">
        <f t="shared" si="10"/>
        <v>1.2</v>
      </c>
      <c r="T89" s="18">
        <f t="shared" si="11"/>
        <v>0.44999999999999996</v>
      </c>
      <c r="U89" s="18">
        <f t="shared" si="11"/>
        <v>0.24</v>
      </c>
      <c r="V89" s="18">
        <f t="shared" si="11"/>
        <v>0.48</v>
      </c>
      <c r="W89" s="18">
        <f t="shared" si="11"/>
        <v>0.15</v>
      </c>
    </row>
    <row r="90" spans="1:23" x14ac:dyDescent="0.3">
      <c r="A90" s="9" t="s">
        <v>77</v>
      </c>
      <c r="B90" s="10" t="s">
        <v>446</v>
      </c>
      <c r="C90" s="10" t="s">
        <v>20</v>
      </c>
      <c r="D90" s="10" t="s">
        <v>36</v>
      </c>
      <c r="E90" s="10" t="s">
        <v>693</v>
      </c>
      <c r="F90" s="10" t="s">
        <v>694</v>
      </c>
      <c r="G90" s="10" t="s">
        <v>697</v>
      </c>
      <c r="H90" s="11">
        <v>11</v>
      </c>
      <c r="I90" s="11">
        <v>5</v>
      </c>
      <c r="J90" s="11">
        <v>5</v>
      </c>
      <c r="K90" s="11">
        <v>3</v>
      </c>
      <c r="L90" s="11">
        <v>2</v>
      </c>
      <c r="M90" s="11">
        <v>2</v>
      </c>
      <c r="N90" s="11">
        <v>1</v>
      </c>
      <c r="O90" s="11">
        <v>3</v>
      </c>
      <c r="P90" s="11">
        <f t="shared" si="10"/>
        <v>2.4</v>
      </c>
      <c r="Q90" s="11">
        <f t="shared" si="10"/>
        <v>2.4</v>
      </c>
      <c r="R90" s="11">
        <f t="shared" si="10"/>
        <v>1.2</v>
      </c>
      <c r="S90" s="11">
        <f t="shared" si="10"/>
        <v>3.5999999999999996</v>
      </c>
      <c r="T90" s="18">
        <f t="shared" si="11"/>
        <v>0.21818181818181817</v>
      </c>
      <c r="U90" s="18">
        <f t="shared" si="11"/>
        <v>0.48</v>
      </c>
      <c r="V90" s="18">
        <f t="shared" si="11"/>
        <v>0.24</v>
      </c>
      <c r="W90" s="18">
        <f t="shared" si="11"/>
        <v>1.2</v>
      </c>
    </row>
    <row r="91" spans="1:23" x14ac:dyDescent="0.3">
      <c r="A91" s="9" t="s">
        <v>109</v>
      </c>
      <c r="B91" s="10" t="s">
        <v>478</v>
      </c>
      <c r="C91" s="10" t="s">
        <v>20</v>
      </c>
      <c r="D91" s="10" t="s">
        <v>30</v>
      </c>
      <c r="E91" s="10" t="s">
        <v>693</v>
      </c>
      <c r="F91" s="10" t="s">
        <v>694</v>
      </c>
      <c r="G91" s="10" t="s">
        <v>696</v>
      </c>
      <c r="H91" s="11">
        <v>5</v>
      </c>
      <c r="I91" s="11">
        <v>5</v>
      </c>
      <c r="J91" s="11">
        <v>5</v>
      </c>
      <c r="K91" s="11">
        <v>3</v>
      </c>
      <c r="L91" s="11">
        <v>0</v>
      </c>
      <c r="M91" s="11">
        <v>0</v>
      </c>
      <c r="N91" s="11">
        <v>0</v>
      </c>
      <c r="O91" s="11">
        <v>0</v>
      </c>
      <c r="P91" s="11">
        <f t="shared" si="10"/>
        <v>0</v>
      </c>
      <c r="Q91" s="11">
        <f t="shared" si="10"/>
        <v>0</v>
      </c>
      <c r="R91" s="11">
        <f t="shared" si="10"/>
        <v>0</v>
      </c>
      <c r="S91" s="11">
        <f t="shared" si="10"/>
        <v>0</v>
      </c>
      <c r="T91" s="18">
        <f t="shared" si="11"/>
        <v>0</v>
      </c>
      <c r="U91" s="18">
        <f t="shared" si="11"/>
        <v>0</v>
      </c>
      <c r="V91" s="18">
        <f t="shared" si="11"/>
        <v>0</v>
      </c>
      <c r="W91" s="18">
        <f t="shared" si="11"/>
        <v>0</v>
      </c>
    </row>
    <row r="92" spans="1:23" x14ac:dyDescent="0.3">
      <c r="A92" s="9" t="s">
        <v>113</v>
      </c>
      <c r="B92" s="10" t="s">
        <v>482</v>
      </c>
      <c r="C92" s="10" t="s">
        <v>20</v>
      </c>
      <c r="D92" s="10" t="s">
        <v>30</v>
      </c>
      <c r="E92" s="10" t="s">
        <v>693</v>
      </c>
      <c r="F92" s="10" t="s">
        <v>694</v>
      </c>
      <c r="G92" s="10" t="s">
        <v>696</v>
      </c>
      <c r="H92" s="11">
        <v>5</v>
      </c>
      <c r="I92" s="11">
        <v>5</v>
      </c>
      <c r="J92" s="11">
        <v>5</v>
      </c>
      <c r="K92" s="11">
        <v>3</v>
      </c>
      <c r="L92" s="11">
        <v>0</v>
      </c>
      <c r="M92" s="11">
        <v>0</v>
      </c>
      <c r="N92" s="11">
        <v>2</v>
      </c>
      <c r="O92" s="11">
        <v>1</v>
      </c>
      <c r="P92" s="11">
        <f t="shared" si="10"/>
        <v>0</v>
      </c>
      <c r="Q92" s="11">
        <f t="shared" si="10"/>
        <v>0</v>
      </c>
      <c r="R92" s="11">
        <f t="shared" si="10"/>
        <v>2.4</v>
      </c>
      <c r="S92" s="11">
        <f t="shared" si="10"/>
        <v>1.2</v>
      </c>
      <c r="T92" s="18">
        <f t="shared" si="11"/>
        <v>0</v>
      </c>
      <c r="U92" s="18">
        <f t="shared" si="11"/>
        <v>0</v>
      </c>
      <c r="V92" s="18">
        <f t="shared" si="11"/>
        <v>0.48</v>
      </c>
      <c r="W92" s="18">
        <f t="shared" si="11"/>
        <v>0.39999999999999997</v>
      </c>
    </row>
    <row r="93" spans="1:23" x14ac:dyDescent="0.3">
      <c r="A93" s="9" t="s">
        <v>106</v>
      </c>
      <c r="B93" s="10" t="s">
        <v>475</v>
      </c>
      <c r="C93" s="10" t="s">
        <v>20</v>
      </c>
      <c r="D93" s="10" t="s">
        <v>38</v>
      </c>
      <c r="E93" s="10" t="s">
        <v>693</v>
      </c>
      <c r="F93" s="10" t="s">
        <v>694</v>
      </c>
      <c r="G93" s="10" t="s">
        <v>696</v>
      </c>
      <c r="H93" s="11">
        <v>5</v>
      </c>
      <c r="I93" s="11">
        <v>5</v>
      </c>
      <c r="J93" s="11">
        <v>5</v>
      </c>
      <c r="K93" s="11">
        <v>3</v>
      </c>
      <c r="L93" s="11">
        <v>3</v>
      </c>
      <c r="M93" s="11">
        <v>1</v>
      </c>
      <c r="N93" s="11">
        <v>1</v>
      </c>
      <c r="O93" s="11">
        <v>0</v>
      </c>
      <c r="P93" s="11">
        <f t="shared" si="10"/>
        <v>3.5999999999999996</v>
      </c>
      <c r="Q93" s="11">
        <f t="shared" si="10"/>
        <v>1.2</v>
      </c>
      <c r="R93" s="11">
        <f t="shared" si="10"/>
        <v>1.2</v>
      </c>
      <c r="S93" s="11">
        <f t="shared" si="10"/>
        <v>0</v>
      </c>
      <c r="T93" s="18">
        <f t="shared" si="11"/>
        <v>0.72</v>
      </c>
      <c r="U93" s="18">
        <f t="shared" si="11"/>
        <v>0.24</v>
      </c>
      <c r="V93" s="18">
        <f t="shared" si="11"/>
        <v>0.24</v>
      </c>
      <c r="W93" s="18">
        <f t="shared" si="11"/>
        <v>0</v>
      </c>
    </row>
    <row r="94" spans="1:23" x14ac:dyDescent="0.3">
      <c r="A94" s="9" t="s">
        <v>150</v>
      </c>
      <c r="B94" s="10" t="s">
        <v>508</v>
      </c>
      <c r="C94" s="10" t="s">
        <v>20</v>
      </c>
      <c r="D94" s="10" t="s">
        <v>30</v>
      </c>
      <c r="E94" s="10" t="s">
        <v>693</v>
      </c>
      <c r="F94" s="10" t="s">
        <v>694</v>
      </c>
      <c r="G94" s="10" t="s">
        <v>696</v>
      </c>
      <c r="H94" s="11">
        <v>10</v>
      </c>
      <c r="I94" s="11">
        <v>8</v>
      </c>
      <c r="J94" s="11">
        <v>8</v>
      </c>
      <c r="K94" s="11">
        <v>3</v>
      </c>
      <c r="L94" s="11">
        <v>11</v>
      </c>
      <c r="M94" s="11">
        <v>9</v>
      </c>
      <c r="N94" s="11">
        <v>4</v>
      </c>
      <c r="O94" s="11">
        <v>2</v>
      </c>
      <c r="P94" s="11">
        <f t="shared" si="10"/>
        <v>13.2</v>
      </c>
      <c r="Q94" s="11">
        <f t="shared" si="10"/>
        <v>10.799999999999999</v>
      </c>
      <c r="R94" s="11">
        <f t="shared" si="10"/>
        <v>4.8</v>
      </c>
      <c r="S94" s="11">
        <f t="shared" si="10"/>
        <v>2.4</v>
      </c>
      <c r="T94" s="18">
        <f t="shared" si="11"/>
        <v>1.3199999999999998</v>
      </c>
      <c r="U94" s="18">
        <f t="shared" si="11"/>
        <v>1.3499999999999999</v>
      </c>
      <c r="V94" s="18">
        <f t="shared" si="11"/>
        <v>0.6</v>
      </c>
      <c r="W94" s="18">
        <f t="shared" si="11"/>
        <v>0.79999999999999993</v>
      </c>
    </row>
    <row r="95" spans="1:23" x14ac:dyDescent="0.3">
      <c r="A95" s="9" t="s">
        <v>105</v>
      </c>
      <c r="B95" s="10" t="s">
        <v>474</v>
      </c>
      <c r="C95" s="10" t="s">
        <v>20</v>
      </c>
      <c r="D95" s="10" t="s">
        <v>32</v>
      </c>
      <c r="E95" s="10" t="s">
        <v>693</v>
      </c>
      <c r="F95" s="10" t="s">
        <v>694</v>
      </c>
      <c r="G95" s="10" t="s">
        <v>696</v>
      </c>
      <c r="H95" s="11">
        <v>10</v>
      </c>
      <c r="I95" s="11">
        <v>5</v>
      </c>
      <c r="J95" s="11">
        <v>6</v>
      </c>
      <c r="K95" s="11">
        <v>6</v>
      </c>
      <c r="L95" s="11">
        <v>5</v>
      </c>
      <c r="M95" s="11">
        <v>3</v>
      </c>
      <c r="N95" s="11">
        <v>4</v>
      </c>
      <c r="O95" s="11">
        <v>1</v>
      </c>
      <c r="P95" s="11">
        <f t="shared" si="10"/>
        <v>6</v>
      </c>
      <c r="Q95" s="11">
        <f t="shared" si="10"/>
        <v>3.5999999999999996</v>
      </c>
      <c r="R95" s="11">
        <f t="shared" si="10"/>
        <v>4.8</v>
      </c>
      <c r="S95" s="11">
        <f t="shared" si="10"/>
        <v>1.2</v>
      </c>
      <c r="T95" s="18">
        <f t="shared" si="11"/>
        <v>0.6</v>
      </c>
      <c r="U95" s="18">
        <f t="shared" si="11"/>
        <v>0.72</v>
      </c>
      <c r="V95" s="18">
        <f t="shared" si="11"/>
        <v>0.79999999999999993</v>
      </c>
      <c r="W95" s="18">
        <f t="shared" si="11"/>
        <v>0.19999999999999998</v>
      </c>
    </row>
    <row r="96" spans="1:23" x14ac:dyDescent="0.3">
      <c r="A96" s="9" t="s">
        <v>111</v>
      </c>
      <c r="B96" s="10" t="s">
        <v>480</v>
      </c>
      <c r="C96" s="10" t="s">
        <v>20</v>
      </c>
      <c r="D96" s="10" t="s">
        <v>38</v>
      </c>
      <c r="E96" s="10" t="s">
        <v>693</v>
      </c>
      <c r="F96" s="10" t="s">
        <v>694</v>
      </c>
      <c r="G96" s="10" t="s">
        <v>696</v>
      </c>
      <c r="H96" s="11">
        <v>5</v>
      </c>
      <c r="I96" s="11">
        <v>5</v>
      </c>
      <c r="J96" s="11">
        <v>5</v>
      </c>
      <c r="K96" s="11">
        <v>3</v>
      </c>
      <c r="L96" s="11">
        <v>2</v>
      </c>
      <c r="M96" s="11">
        <v>1</v>
      </c>
      <c r="N96" s="11">
        <v>0</v>
      </c>
      <c r="O96" s="11">
        <v>0</v>
      </c>
      <c r="P96" s="11">
        <f t="shared" si="10"/>
        <v>2.4</v>
      </c>
      <c r="Q96" s="11">
        <f t="shared" si="10"/>
        <v>1.2</v>
      </c>
      <c r="R96" s="11">
        <f t="shared" si="10"/>
        <v>0</v>
      </c>
      <c r="S96" s="11">
        <f t="shared" si="10"/>
        <v>0</v>
      </c>
      <c r="T96" s="18">
        <f t="shared" si="11"/>
        <v>0.48</v>
      </c>
      <c r="U96" s="18">
        <f t="shared" si="11"/>
        <v>0.24</v>
      </c>
      <c r="V96" s="18">
        <f t="shared" si="11"/>
        <v>0</v>
      </c>
      <c r="W96" s="18">
        <f t="shared" si="11"/>
        <v>0</v>
      </c>
    </row>
    <row r="97" spans="1:23" x14ac:dyDescent="0.3">
      <c r="A97" s="9" t="s">
        <v>112</v>
      </c>
      <c r="B97" s="10" t="s">
        <v>481</v>
      </c>
      <c r="C97" s="10" t="s">
        <v>20</v>
      </c>
      <c r="D97" s="10" t="s">
        <v>30</v>
      </c>
      <c r="E97" s="10" t="s">
        <v>693</v>
      </c>
      <c r="F97" s="10" t="s">
        <v>694</v>
      </c>
      <c r="G97" s="10" t="s">
        <v>696</v>
      </c>
      <c r="H97" s="11">
        <v>5</v>
      </c>
      <c r="I97" s="11">
        <v>5</v>
      </c>
      <c r="J97" s="11">
        <v>5</v>
      </c>
      <c r="K97" s="11">
        <v>5</v>
      </c>
      <c r="L97" s="11">
        <v>3</v>
      </c>
      <c r="M97" s="11">
        <v>1</v>
      </c>
      <c r="N97" s="11">
        <v>0</v>
      </c>
      <c r="O97" s="11">
        <v>1</v>
      </c>
      <c r="P97" s="11">
        <f t="shared" si="10"/>
        <v>3.5999999999999996</v>
      </c>
      <c r="Q97" s="11">
        <f t="shared" si="10"/>
        <v>1.2</v>
      </c>
      <c r="R97" s="11">
        <f t="shared" si="10"/>
        <v>0</v>
      </c>
      <c r="S97" s="11">
        <f t="shared" si="10"/>
        <v>1.2</v>
      </c>
      <c r="T97" s="18">
        <f t="shared" si="11"/>
        <v>0.72</v>
      </c>
      <c r="U97" s="18">
        <f t="shared" si="11"/>
        <v>0.24</v>
      </c>
      <c r="V97" s="18">
        <f t="shared" si="11"/>
        <v>0</v>
      </c>
      <c r="W97" s="18">
        <f t="shared" si="11"/>
        <v>0.24</v>
      </c>
    </row>
    <row r="98" spans="1:23" x14ac:dyDescent="0.3">
      <c r="A98" s="9" t="s">
        <v>27</v>
      </c>
      <c r="B98" s="10" t="s">
        <v>409</v>
      </c>
      <c r="C98" s="10" t="s">
        <v>20</v>
      </c>
      <c r="D98" s="10" t="s">
        <v>36</v>
      </c>
      <c r="E98" s="10" t="s">
        <v>693</v>
      </c>
      <c r="F98" s="10" t="s">
        <v>694</v>
      </c>
      <c r="G98" s="10" t="s">
        <v>697</v>
      </c>
      <c r="H98" s="11">
        <v>10</v>
      </c>
      <c r="I98" s="11">
        <v>6</v>
      </c>
      <c r="J98" s="11">
        <v>7</v>
      </c>
      <c r="K98" s="11">
        <v>4</v>
      </c>
      <c r="L98" s="11">
        <v>7</v>
      </c>
      <c r="M98" s="11">
        <v>2</v>
      </c>
      <c r="N98" s="11">
        <v>5</v>
      </c>
      <c r="O98" s="11">
        <v>4</v>
      </c>
      <c r="P98" s="11">
        <f t="shared" si="10"/>
        <v>8.4</v>
      </c>
      <c r="Q98" s="11">
        <f t="shared" si="10"/>
        <v>2.4</v>
      </c>
      <c r="R98" s="11">
        <f t="shared" si="10"/>
        <v>6</v>
      </c>
      <c r="S98" s="11">
        <f t="shared" si="10"/>
        <v>4.8</v>
      </c>
      <c r="T98" s="18">
        <f t="shared" si="11"/>
        <v>0.84000000000000008</v>
      </c>
      <c r="U98" s="18">
        <f t="shared" si="11"/>
        <v>0.39999999999999997</v>
      </c>
      <c r="V98" s="18">
        <f t="shared" si="11"/>
        <v>0.8571428571428571</v>
      </c>
      <c r="W98" s="18">
        <f t="shared" si="11"/>
        <v>1.2</v>
      </c>
    </row>
    <row r="99" spans="1:23" x14ac:dyDescent="0.3">
      <c r="A99" s="9" t="s">
        <v>91</v>
      </c>
      <c r="B99" s="10" t="s">
        <v>460</v>
      </c>
      <c r="C99" s="10" t="s">
        <v>20</v>
      </c>
      <c r="D99" s="10" t="s">
        <v>38</v>
      </c>
      <c r="E99" s="10" t="s">
        <v>693</v>
      </c>
      <c r="F99" s="10" t="s">
        <v>694</v>
      </c>
      <c r="G99" s="10" t="s">
        <v>696</v>
      </c>
      <c r="H99" s="11">
        <v>5</v>
      </c>
      <c r="I99" s="11">
        <v>5</v>
      </c>
      <c r="J99" s="11">
        <v>5</v>
      </c>
      <c r="K99" s="11">
        <v>3</v>
      </c>
      <c r="L99" s="11">
        <v>7</v>
      </c>
      <c r="M99" s="11">
        <v>4</v>
      </c>
      <c r="N99" s="11">
        <v>1</v>
      </c>
      <c r="O99" s="11">
        <v>0</v>
      </c>
      <c r="P99" s="11">
        <f t="shared" si="10"/>
        <v>8.4</v>
      </c>
      <c r="Q99" s="11">
        <f t="shared" si="10"/>
        <v>4.8</v>
      </c>
      <c r="R99" s="11">
        <f t="shared" si="10"/>
        <v>1.2</v>
      </c>
      <c r="S99" s="11">
        <f t="shared" si="10"/>
        <v>0</v>
      </c>
      <c r="T99" s="18">
        <f t="shared" si="11"/>
        <v>1.6800000000000002</v>
      </c>
      <c r="U99" s="18">
        <f t="shared" si="11"/>
        <v>0.96</v>
      </c>
      <c r="V99" s="18">
        <f t="shared" si="11"/>
        <v>0.24</v>
      </c>
      <c r="W99" s="18">
        <f t="shared" si="11"/>
        <v>0</v>
      </c>
    </row>
    <row r="100" spans="1:23" x14ac:dyDescent="0.3">
      <c r="A100" s="9" t="s">
        <v>71</v>
      </c>
      <c r="B100" s="10" t="s">
        <v>440</v>
      </c>
      <c r="C100" s="10" t="s">
        <v>20</v>
      </c>
      <c r="D100" s="10" t="s">
        <v>36</v>
      </c>
      <c r="E100" s="10" t="s">
        <v>693</v>
      </c>
      <c r="F100" s="10" t="s">
        <v>694</v>
      </c>
      <c r="G100" s="10" t="s">
        <v>697</v>
      </c>
      <c r="H100" s="11">
        <v>8</v>
      </c>
      <c r="I100" s="11">
        <v>5</v>
      </c>
      <c r="J100" s="11">
        <v>5</v>
      </c>
      <c r="K100" s="11">
        <v>6</v>
      </c>
      <c r="L100" s="11">
        <v>3</v>
      </c>
      <c r="M100" s="11">
        <v>12</v>
      </c>
      <c r="N100" s="11">
        <v>5</v>
      </c>
      <c r="O100" s="11">
        <v>2</v>
      </c>
      <c r="P100" s="11">
        <f t="shared" si="10"/>
        <v>3.5999999999999996</v>
      </c>
      <c r="Q100" s="11">
        <f t="shared" si="10"/>
        <v>14.399999999999999</v>
      </c>
      <c r="R100" s="11">
        <f t="shared" si="10"/>
        <v>6</v>
      </c>
      <c r="S100" s="11">
        <f t="shared" si="10"/>
        <v>2.4</v>
      </c>
      <c r="T100" s="18">
        <f t="shared" si="11"/>
        <v>0.44999999999999996</v>
      </c>
      <c r="U100" s="18">
        <f t="shared" si="11"/>
        <v>2.88</v>
      </c>
      <c r="V100" s="18">
        <f t="shared" si="11"/>
        <v>1.2</v>
      </c>
      <c r="W100" s="18">
        <f t="shared" si="11"/>
        <v>0.39999999999999997</v>
      </c>
    </row>
    <row r="101" spans="1:23" x14ac:dyDescent="0.3">
      <c r="A101" s="9" t="s">
        <v>37</v>
      </c>
      <c r="B101" s="10" t="s">
        <v>414</v>
      </c>
      <c r="C101" s="10" t="s">
        <v>20</v>
      </c>
      <c r="D101" s="10" t="s">
        <v>38</v>
      </c>
      <c r="E101" s="10" t="s">
        <v>693</v>
      </c>
      <c r="F101" s="10" t="s">
        <v>694</v>
      </c>
      <c r="G101" s="10" t="s">
        <v>696</v>
      </c>
      <c r="H101" s="11">
        <v>5</v>
      </c>
      <c r="I101" s="11">
        <v>7</v>
      </c>
      <c r="J101" s="11">
        <v>8</v>
      </c>
      <c r="K101" s="11">
        <v>4</v>
      </c>
      <c r="L101" s="11">
        <v>2</v>
      </c>
      <c r="M101" s="11">
        <v>8</v>
      </c>
      <c r="N101" s="11">
        <v>3</v>
      </c>
      <c r="O101" s="11">
        <v>5</v>
      </c>
      <c r="P101" s="11">
        <f t="shared" si="10"/>
        <v>2.4</v>
      </c>
      <c r="Q101" s="11">
        <f t="shared" si="10"/>
        <v>9.6</v>
      </c>
      <c r="R101" s="11">
        <f t="shared" si="10"/>
        <v>3.5999999999999996</v>
      </c>
      <c r="S101" s="11">
        <f t="shared" si="10"/>
        <v>6</v>
      </c>
      <c r="T101" s="18">
        <f t="shared" si="11"/>
        <v>0.48</v>
      </c>
      <c r="U101" s="18">
        <f t="shared" si="11"/>
        <v>1.3714285714285714</v>
      </c>
      <c r="V101" s="18">
        <f t="shared" si="11"/>
        <v>0.44999999999999996</v>
      </c>
      <c r="W101" s="18">
        <f t="shared" si="11"/>
        <v>1.5</v>
      </c>
    </row>
    <row r="102" spans="1:23" x14ac:dyDescent="0.3">
      <c r="A102" s="9" t="s">
        <v>23</v>
      </c>
      <c r="B102" s="10" t="s">
        <v>406</v>
      </c>
      <c r="C102" s="10" t="s">
        <v>20</v>
      </c>
      <c r="D102" s="10" t="s">
        <v>30</v>
      </c>
      <c r="E102" s="10" t="s">
        <v>693</v>
      </c>
      <c r="F102" s="10" t="s">
        <v>694</v>
      </c>
      <c r="G102" s="10" t="s">
        <v>696</v>
      </c>
      <c r="H102" s="11">
        <v>7</v>
      </c>
      <c r="I102" s="11">
        <v>5</v>
      </c>
      <c r="J102" s="11">
        <v>5</v>
      </c>
      <c r="K102" s="11">
        <v>3</v>
      </c>
      <c r="L102" s="11">
        <v>3</v>
      </c>
      <c r="M102" s="11">
        <v>5</v>
      </c>
      <c r="N102" s="11">
        <v>1</v>
      </c>
      <c r="O102" s="11">
        <v>2</v>
      </c>
      <c r="P102" s="11">
        <f t="shared" si="10"/>
        <v>3.5999999999999996</v>
      </c>
      <c r="Q102" s="11">
        <f t="shared" si="10"/>
        <v>6</v>
      </c>
      <c r="R102" s="11">
        <f t="shared" si="10"/>
        <v>1.2</v>
      </c>
      <c r="S102" s="11">
        <f t="shared" si="10"/>
        <v>2.4</v>
      </c>
      <c r="T102" s="18">
        <f t="shared" si="11"/>
        <v>0.51428571428571423</v>
      </c>
      <c r="U102" s="18">
        <f t="shared" si="11"/>
        <v>1.2</v>
      </c>
      <c r="V102" s="18">
        <f t="shared" si="11"/>
        <v>0.24</v>
      </c>
      <c r="W102" s="18">
        <f t="shared" si="11"/>
        <v>0.79999999999999993</v>
      </c>
    </row>
    <row r="103" spans="1:23" x14ac:dyDescent="0.3">
      <c r="A103" s="9" t="s">
        <v>142</v>
      </c>
      <c r="B103" s="10" t="s">
        <v>500</v>
      </c>
      <c r="C103" s="10" t="s">
        <v>20</v>
      </c>
      <c r="D103" s="10" t="s">
        <v>32</v>
      </c>
      <c r="E103" s="10" t="s">
        <v>693</v>
      </c>
      <c r="F103" s="10" t="s">
        <v>694</v>
      </c>
      <c r="G103" s="10" t="s">
        <v>696</v>
      </c>
      <c r="H103" s="11">
        <v>5</v>
      </c>
      <c r="I103" s="11">
        <v>8</v>
      </c>
      <c r="J103" s="11">
        <v>5</v>
      </c>
      <c r="K103" s="11">
        <v>3</v>
      </c>
      <c r="L103" s="11">
        <v>8</v>
      </c>
      <c r="M103" s="11">
        <v>4</v>
      </c>
      <c r="N103" s="11">
        <v>4</v>
      </c>
      <c r="O103" s="11">
        <v>1</v>
      </c>
      <c r="P103" s="11">
        <f t="shared" si="10"/>
        <v>9.6</v>
      </c>
      <c r="Q103" s="11">
        <f t="shared" si="10"/>
        <v>4.8</v>
      </c>
      <c r="R103" s="11">
        <f t="shared" si="10"/>
        <v>4.8</v>
      </c>
      <c r="S103" s="11">
        <f t="shared" si="10"/>
        <v>1.2</v>
      </c>
      <c r="T103" s="18">
        <f t="shared" si="11"/>
        <v>1.92</v>
      </c>
      <c r="U103" s="18">
        <f t="shared" si="11"/>
        <v>0.6</v>
      </c>
      <c r="V103" s="18">
        <f t="shared" si="11"/>
        <v>0.96</v>
      </c>
      <c r="W103" s="18">
        <f t="shared" si="11"/>
        <v>0.39999999999999997</v>
      </c>
    </row>
    <row r="104" spans="1:23" x14ac:dyDescent="0.3">
      <c r="A104" s="9" t="s">
        <v>74</v>
      </c>
      <c r="B104" s="10" t="s">
        <v>443</v>
      </c>
      <c r="C104" s="10" t="s">
        <v>20</v>
      </c>
      <c r="D104" s="10" t="s">
        <v>38</v>
      </c>
      <c r="E104" s="10" t="s">
        <v>693</v>
      </c>
      <c r="F104" s="10" t="s">
        <v>694</v>
      </c>
      <c r="G104" s="10" t="s">
        <v>696</v>
      </c>
      <c r="H104" s="11">
        <v>7</v>
      </c>
      <c r="I104" s="11">
        <v>7</v>
      </c>
      <c r="J104" s="11">
        <v>5</v>
      </c>
      <c r="K104" s="11">
        <v>9</v>
      </c>
      <c r="L104" s="11">
        <v>6</v>
      </c>
      <c r="M104" s="11">
        <v>5</v>
      </c>
      <c r="N104" s="11">
        <v>6</v>
      </c>
      <c r="O104" s="11">
        <v>1</v>
      </c>
      <c r="P104" s="11">
        <f t="shared" si="10"/>
        <v>7.1999999999999993</v>
      </c>
      <c r="Q104" s="11">
        <f t="shared" si="10"/>
        <v>6</v>
      </c>
      <c r="R104" s="11">
        <f t="shared" si="10"/>
        <v>7.1999999999999993</v>
      </c>
      <c r="S104" s="11">
        <f t="shared" si="10"/>
        <v>1.2</v>
      </c>
      <c r="T104" s="18">
        <f t="shared" si="11"/>
        <v>1.0285714285714285</v>
      </c>
      <c r="U104" s="18">
        <f t="shared" si="11"/>
        <v>0.8571428571428571</v>
      </c>
      <c r="V104" s="18">
        <f t="shared" si="11"/>
        <v>1.44</v>
      </c>
      <c r="W104" s="18">
        <f t="shared" si="11"/>
        <v>0.13333333333333333</v>
      </c>
    </row>
    <row r="105" spans="1:23" x14ac:dyDescent="0.3">
      <c r="A105" s="9" t="s">
        <v>78</v>
      </c>
      <c r="B105" s="10" t="s">
        <v>447</v>
      </c>
      <c r="C105" s="10" t="s">
        <v>20</v>
      </c>
      <c r="D105" s="10" t="s">
        <v>32</v>
      </c>
      <c r="E105" s="10" t="s">
        <v>693</v>
      </c>
      <c r="F105" s="10" t="s">
        <v>694</v>
      </c>
      <c r="G105" s="10" t="s">
        <v>696</v>
      </c>
      <c r="H105" s="11">
        <v>10</v>
      </c>
      <c r="I105" s="11">
        <v>5</v>
      </c>
      <c r="J105" s="11">
        <v>5</v>
      </c>
      <c r="K105" s="11">
        <v>3</v>
      </c>
      <c r="L105" s="11">
        <v>5</v>
      </c>
      <c r="M105" s="11">
        <v>6</v>
      </c>
      <c r="N105" s="11">
        <v>2</v>
      </c>
      <c r="O105" s="11">
        <v>2</v>
      </c>
      <c r="P105" s="11">
        <f t="shared" si="10"/>
        <v>6</v>
      </c>
      <c r="Q105" s="11">
        <f t="shared" si="10"/>
        <v>7.1999999999999993</v>
      </c>
      <c r="R105" s="11">
        <f t="shared" si="10"/>
        <v>2.4</v>
      </c>
      <c r="S105" s="11">
        <f t="shared" si="10"/>
        <v>2.4</v>
      </c>
      <c r="T105" s="18">
        <f t="shared" si="11"/>
        <v>0.6</v>
      </c>
      <c r="U105" s="18">
        <f t="shared" si="11"/>
        <v>1.44</v>
      </c>
      <c r="V105" s="18">
        <f t="shared" si="11"/>
        <v>0.48</v>
      </c>
      <c r="W105" s="18">
        <f t="shared" si="11"/>
        <v>0.79999999999999993</v>
      </c>
    </row>
    <row r="106" spans="1:23" x14ac:dyDescent="0.3">
      <c r="A106" s="9" t="s">
        <v>145</v>
      </c>
      <c r="B106" s="10" t="s">
        <v>503</v>
      </c>
      <c r="C106" s="10" t="s">
        <v>20</v>
      </c>
      <c r="D106" s="10" t="s">
        <v>36</v>
      </c>
      <c r="E106" s="10" t="s">
        <v>693</v>
      </c>
      <c r="F106" s="10" t="s">
        <v>694</v>
      </c>
      <c r="G106" s="10" t="s">
        <v>697</v>
      </c>
      <c r="H106" s="11">
        <v>11</v>
      </c>
      <c r="I106" s="11">
        <v>6</v>
      </c>
      <c r="J106" s="11">
        <v>5</v>
      </c>
      <c r="K106" s="11">
        <v>3</v>
      </c>
      <c r="L106" s="11">
        <v>9</v>
      </c>
      <c r="M106" s="11">
        <v>5</v>
      </c>
      <c r="N106" s="11">
        <v>2</v>
      </c>
      <c r="O106" s="11">
        <v>2</v>
      </c>
      <c r="P106" s="11">
        <f t="shared" si="10"/>
        <v>10.799999999999999</v>
      </c>
      <c r="Q106" s="11">
        <f t="shared" si="10"/>
        <v>6</v>
      </c>
      <c r="R106" s="11">
        <f t="shared" si="10"/>
        <v>2.4</v>
      </c>
      <c r="S106" s="11">
        <f t="shared" si="10"/>
        <v>2.4</v>
      </c>
      <c r="T106" s="18">
        <f t="shared" si="11"/>
        <v>0.9818181818181817</v>
      </c>
      <c r="U106" s="18">
        <f t="shared" si="11"/>
        <v>1</v>
      </c>
      <c r="V106" s="18">
        <f t="shared" si="11"/>
        <v>0.48</v>
      </c>
      <c r="W106" s="18">
        <f t="shared" si="11"/>
        <v>0.79999999999999993</v>
      </c>
    </row>
    <row r="107" spans="1:23" x14ac:dyDescent="0.3">
      <c r="A107" s="9" t="s">
        <v>139</v>
      </c>
      <c r="B107" s="10" t="s">
        <v>497</v>
      </c>
      <c r="C107" s="10" t="s">
        <v>20</v>
      </c>
      <c r="D107" s="10" t="s">
        <v>32</v>
      </c>
      <c r="E107" s="10" t="s">
        <v>693</v>
      </c>
      <c r="F107" s="10" t="s">
        <v>694</v>
      </c>
      <c r="G107" s="10" t="s">
        <v>696</v>
      </c>
      <c r="H107" s="11">
        <v>5</v>
      </c>
      <c r="I107" s="11">
        <v>8</v>
      </c>
      <c r="J107" s="11">
        <v>5</v>
      </c>
      <c r="K107" s="11">
        <v>3</v>
      </c>
      <c r="L107" s="11">
        <v>4</v>
      </c>
      <c r="M107" s="11">
        <v>3</v>
      </c>
      <c r="N107" s="11">
        <v>0</v>
      </c>
      <c r="O107" s="11">
        <v>2</v>
      </c>
      <c r="P107" s="11">
        <f t="shared" si="10"/>
        <v>4.8</v>
      </c>
      <c r="Q107" s="11">
        <f t="shared" si="10"/>
        <v>3.5999999999999996</v>
      </c>
      <c r="R107" s="11">
        <f t="shared" si="10"/>
        <v>0</v>
      </c>
      <c r="S107" s="11">
        <f t="shared" si="10"/>
        <v>2.4</v>
      </c>
      <c r="T107" s="18">
        <f t="shared" si="11"/>
        <v>0.96</v>
      </c>
      <c r="U107" s="18">
        <f t="shared" si="11"/>
        <v>0.44999999999999996</v>
      </c>
      <c r="V107" s="18">
        <f t="shared" si="11"/>
        <v>0</v>
      </c>
      <c r="W107" s="18">
        <f t="shared" si="11"/>
        <v>0.79999999999999993</v>
      </c>
    </row>
    <row r="108" spans="1:23" x14ac:dyDescent="0.3">
      <c r="A108" s="9" t="s">
        <v>157</v>
      </c>
      <c r="B108" s="10" t="s">
        <v>515</v>
      </c>
      <c r="C108" s="10" t="s">
        <v>20</v>
      </c>
      <c r="D108" s="10" t="s">
        <v>32</v>
      </c>
      <c r="E108" s="10" t="s">
        <v>693</v>
      </c>
      <c r="F108" s="10" t="s">
        <v>694</v>
      </c>
      <c r="G108" s="10" t="s">
        <v>696</v>
      </c>
      <c r="H108" s="11">
        <v>8</v>
      </c>
      <c r="I108" s="11">
        <v>8</v>
      </c>
      <c r="J108" s="11">
        <v>7</v>
      </c>
      <c r="K108" s="11">
        <v>3</v>
      </c>
      <c r="L108" s="11">
        <v>8</v>
      </c>
      <c r="M108" s="11">
        <v>5</v>
      </c>
      <c r="N108" s="11">
        <v>9</v>
      </c>
      <c r="O108" s="11">
        <v>0</v>
      </c>
      <c r="P108" s="11">
        <f t="shared" si="10"/>
        <v>9.6</v>
      </c>
      <c r="Q108" s="11">
        <f t="shared" si="10"/>
        <v>6</v>
      </c>
      <c r="R108" s="11">
        <f t="shared" si="10"/>
        <v>10.799999999999999</v>
      </c>
      <c r="S108" s="11">
        <f t="shared" si="10"/>
        <v>0</v>
      </c>
      <c r="T108" s="18">
        <f t="shared" si="11"/>
        <v>1.2</v>
      </c>
      <c r="U108" s="18">
        <f t="shared" si="11"/>
        <v>0.75</v>
      </c>
      <c r="V108" s="18">
        <f t="shared" si="11"/>
        <v>1.5428571428571427</v>
      </c>
      <c r="W108" s="18">
        <f t="shared" si="11"/>
        <v>0</v>
      </c>
    </row>
    <row r="109" spans="1:23" x14ac:dyDescent="0.3">
      <c r="A109" s="9" t="s">
        <v>47</v>
      </c>
      <c r="B109" s="10" t="s">
        <v>419</v>
      </c>
      <c r="C109" s="10" t="s">
        <v>20</v>
      </c>
      <c r="D109" s="10" t="s">
        <v>38</v>
      </c>
      <c r="E109" s="10" t="s">
        <v>693</v>
      </c>
      <c r="F109" s="10" t="s">
        <v>694</v>
      </c>
      <c r="G109" s="10" t="s">
        <v>696</v>
      </c>
      <c r="H109" s="11">
        <v>9</v>
      </c>
      <c r="I109" s="11">
        <v>7</v>
      </c>
      <c r="J109" s="11">
        <v>12</v>
      </c>
      <c r="K109" s="11">
        <v>5</v>
      </c>
      <c r="L109" s="11">
        <v>5</v>
      </c>
      <c r="M109" s="11">
        <v>10</v>
      </c>
      <c r="N109" s="11">
        <v>12</v>
      </c>
      <c r="O109" s="11">
        <v>11</v>
      </c>
      <c r="P109" s="11">
        <f t="shared" si="10"/>
        <v>6</v>
      </c>
      <c r="Q109" s="11">
        <f t="shared" si="10"/>
        <v>12</v>
      </c>
      <c r="R109" s="11">
        <f t="shared" si="10"/>
        <v>14.399999999999999</v>
      </c>
      <c r="S109" s="11">
        <f t="shared" si="10"/>
        <v>13.2</v>
      </c>
      <c r="T109" s="18">
        <f t="shared" si="11"/>
        <v>0.66666666666666663</v>
      </c>
      <c r="U109" s="18">
        <f t="shared" si="11"/>
        <v>1.7142857142857142</v>
      </c>
      <c r="V109" s="18">
        <f t="shared" si="11"/>
        <v>1.2</v>
      </c>
      <c r="W109" s="18">
        <f t="shared" si="11"/>
        <v>2.6399999999999997</v>
      </c>
    </row>
    <row r="110" spans="1:23" x14ac:dyDescent="0.3">
      <c r="A110" s="9" t="s">
        <v>222</v>
      </c>
      <c r="B110" s="10" t="s">
        <v>580</v>
      </c>
      <c r="C110" s="10" t="s">
        <v>20</v>
      </c>
      <c r="D110" s="10" t="s">
        <v>36</v>
      </c>
      <c r="E110" s="10" t="s">
        <v>693</v>
      </c>
      <c r="F110" s="10" t="s">
        <v>694</v>
      </c>
      <c r="G110" s="10" t="s">
        <v>697</v>
      </c>
      <c r="H110" s="11">
        <v>5</v>
      </c>
      <c r="I110" s="11">
        <v>5</v>
      </c>
      <c r="J110" s="11">
        <v>5</v>
      </c>
      <c r="K110" s="11">
        <v>3</v>
      </c>
      <c r="L110" s="11">
        <v>1</v>
      </c>
      <c r="M110" s="11">
        <v>0</v>
      </c>
      <c r="N110" s="11">
        <v>2</v>
      </c>
      <c r="O110" s="11">
        <v>3</v>
      </c>
      <c r="P110" s="11">
        <f t="shared" si="10"/>
        <v>1.2</v>
      </c>
      <c r="Q110" s="11">
        <f t="shared" si="10"/>
        <v>0</v>
      </c>
      <c r="R110" s="11">
        <f t="shared" si="10"/>
        <v>2.4</v>
      </c>
      <c r="S110" s="11">
        <f t="shared" si="10"/>
        <v>3.5999999999999996</v>
      </c>
      <c r="T110" s="18">
        <f t="shared" si="11"/>
        <v>0.24</v>
      </c>
      <c r="U110" s="18">
        <f t="shared" si="11"/>
        <v>0</v>
      </c>
      <c r="V110" s="18">
        <f t="shared" si="11"/>
        <v>0.48</v>
      </c>
      <c r="W110" s="18">
        <f t="shared" si="11"/>
        <v>1.2</v>
      </c>
    </row>
    <row r="111" spans="1:23" x14ac:dyDescent="0.3">
      <c r="A111" s="9" t="s">
        <v>117</v>
      </c>
      <c r="B111" s="10" t="s">
        <v>485</v>
      </c>
      <c r="C111" s="10" t="s">
        <v>20</v>
      </c>
      <c r="D111" s="10" t="s">
        <v>38</v>
      </c>
      <c r="E111" s="10" t="s">
        <v>693</v>
      </c>
      <c r="F111" s="10" t="s">
        <v>694</v>
      </c>
      <c r="G111" s="10" t="s">
        <v>696</v>
      </c>
      <c r="H111" s="11">
        <v>5</v>
      </c>
      <c r="I111" s="11">
        <v>7</v>
      </c>
      <c r="J111" s="11">
        <v>17</v>
      </c>
      <c r="K111" s="11">
        <v>3</v>
      </c>
      <c r="L111" s="11">
        <v>1</v>
      </c>
      <c r="M111" s="11">
        <v>6</v>
      </c>
      <c r="N111" s="11">
        <v>8</v>
      </c>
      <c r="O111" s="11">
        <v>19</v>
      </c>
      <c r="P111" s="11">
        <f t="shared" si="10"/>
        <v>1.2</v>
      </c>
      <c r="Q111" s="11">
        <f t="shared" si="10"/>
        <v>7.1999999999999993</v>
      </c>
      <c r="R111" s="11">
        <f t="shared" si="10"/>
        <v>9.6</v>
      </c>
      <c r="S111" s="11">
        <f t="shared" si="10"/>
        <v>22.8</v>
      </c>
      <c r="T111" s="18">
        <f t="shared" si="11"/>
        <v>0.24</v>
      </c>
      <c r="U111" s="18">
        <f t="shared" si="11"/>
        <v>1.0285714285714285</v>
      </c>
      <c r="V111" s="18">
        <f t="shared" si="11"/>
        <v>0.56470588235294117</v>
      </c>
      <c r="W111" s="18">
        <f t="shared" si="11"/>
        <v>7.6000000000000005</v>
      </c>
    </row>
    <row r="112" spans="1:23" x14ac:dyDescent="0.3">
      <c r="A112" s="9" t="s">
        <v>21</v>
      </c>
      <c r="B112" s="10" t="s">
        <v>405</v>
      </c>
      <c r="C112" s="10" t="s">
        <v>20</v>
      </c>
      <c r="D112" s="10" t="s">
        <v>30</v>
      </c>
      <c r="E112" s="10" t="s">
        <v>693</v>
      </c>
      <c r="F112" s="10" t="s">
        <v>694</v>
      </c>
      <c r="G112" s="10" t="s">
        <v>696</v>
      </c>
      <c r="H112" s="11">
        <v>5</v>
      </c>
      <c r="I112" s="11">
        <v>5</v>
      </c>
      <c r="J112" s="11">
        <v>11</v>
      </c>
      <c r="K112" s="11">
        <v>12</v>
      </c>
      <c r="L112" s="11">
        <v>3</v>
      </c>
      <c r="M112" s="11">
        <v>5</v>
      </c>
      <c r="N112" s="11">
        <v>3</v>
      </c>
      <c r="O112" s="11">
        <v>13</v>
      </c>
      <c r="P112" s="11">
        <f t="shared" si="10"/>
        <v>3.5999999999999996</v>
      </c>
      <c r="Q112" s="11">
        <f t="shared" si="10"/>
        <v>6</v>
      </c>
      <c r="R112" s="11">
        <f t="shared" si="10"/>
        <v>3.5999999999999996</v>
      </c>
      <c r="S112" s="11">
        <f t="shared" si="10"/>
        <v>15.600000000000001</v>
      </c>
      <c r="T112" s="18">
        <f t="shared" si="11"/>
        <v>0.72</v>
      </c>
      <c r="U112" s="18">
        <f t="shared" si="11"/>
        <v>1.2</v>
      </c>
      <c r="V112" s="18">
        <f t="shared" si="11"/>
        <v>0.32727272727272722</v>
      </c>
      <c r="W112" s="18">
        <f t="shared" si="11"/>
        <v>1.3</v>
      </c>
    </row>
    <row r="113" spans="1:23" x14ac:dyDescent="0.3">
      <c r="A113" s="9" t="s">
        <v>287</v>
      </c>
      <c r="B113" s="10" t="s">
        <v>642</v>
      </c>
      <c r="C113" s="10" t="s">
        <v>20</v>
      </c>
      <c r="D113" s="10" t="s">
        <v>34</v>
      </c>
      <c r="E113" s="10" t="s">
        <v>708</v>
      </c>
      <c r="F113" s="10" t="s">
        <v>694</v>
      </c>
      <c r="G113" s="10" t="s">
        <v>697</v>
      </c>
      <c r="H113" s="11">
        <v>5</v>
      </c>
      <c r="I113" s="11">
        <v>5</v>
      </c>
      <c r="J113" s="11">
        <v>5</v>
      </c>
      <c r="K113" s="11">
        <v>3</v>
      </c>
      <c r="L113" s="11">
        <v>0</v>
      </c>
      <c r="M113" s="11">
        <v>0</v>
      </c>
      <c r="N113" s="11">
        <v>2</v>
      </c>
      <c r="O113" s="11">
        <v>0</v>
      </c>
      <c r="P113" s="11">
        <f t="shared" si="10"/>
        <v>0</v>
      </c>
      <c r="Q113" s="11">
        <f t="shared" si="10"/>
        <v>0</v>
      </c>
      <c r="R113" s="11">
        <f t="shared" si="10"/>
        <v>2.4</v>
      </c>
      <c r="S113" s="11">
        <f t="shared" si="10"/>
        <v>0</v>
      </c>
      <c r="T113" s="18">
        <f t="shared" si="11"/>
        <v>0</v>
      </c>
      <c r="U113" s="18">
        <f t="shared" si="11"/>
        <v>0</v>
      </c>
      <c r="V113" s="18">
        <f t="shared" si="11"/>
        <v>0.48</v>
      </c>
      <c r="W113" s="18">
        <f t="shared" si="11"/>
        <v>0</v>
      </c>
    </row>
    <row r="114" spans="1:23" x14ac:dyDescent="0.3">
      <c r="A114" s="9" t="s">
        <v>62</v>
      </c>
      <c r="B114" s="10" t="s">
        <v>433</v>
      </c>
      <c r="C114" s="10" t="s">
        <v>20</v>
      </c>
      <c r="D114" s="10" t="s">
        <v>34</v>
      </c>
      <c r="E114" s="10" t="s">
        <v>693</v>
      </c>
      <c r="F114" s="10" t="s">
        <v>694</v>
      </c>
      <c r="G114" s="10" t="s">
        <v>697</v>
      </c>
      <c r="H114" s="11">
        <v>5</v>
      </c>
      <c r="I114" s="11">
        <v>5</v>
      </c>
      <c r="J114" s="11">
        <v>6</v>
      </c>
      <c r="K114" s="11">
        <v>18</v>
      </c>
      <c r="L114" s="11">
        <v>4</v>
      </c>
      <c r="M114" s="11">
        <v>3</v>
      </c>
      <c r="N114" s="11">
        <v>2</v>
      </c>
      <c r="O114" s="11">
        <v>5</v>
      </c>
      <c r="P114" s="11">
        <f t="shared" si="10"/>
        <v>4.8</v>
      </c>
      <c r="Q114" s="11">
        <f t="shared" si="10"/>
        <v>3.5999999999999996</v>
      </c>
      <c r="R114" s="11">
        <f t="shared" si="10"/>
        <v>2.4</v>
      </c>
      <c r="S114" s="11">
        <f t="shared" si="10"/>
        <v>6</v>
      </c>
      <c r="T114" s="18">
        <f t="shared" si="11"/>
        <v>0.96</v>
      </c>
      <c r="U114" s="18">
        <f t="shared" si="11"/>
        <v>0.72</v>
      </c>
      <c r="V114" s="18">
        <f t="shared" si="11"/>
        <v>0.39999999999999997</v>
      </c>
      <c r="W114" s="18">
        <f t="shared" si="11"/>
        <v>0.33333333333333331</v>
      </c>
    </row>
    <row r="115" spans="1:23" x14ac:dyDescent="0.3">
      <c r="A115" s="9" t="s">
        <v>137</v>
      </c>
      <c r="B115" s="10" t="s">
        <v>496</v>
      </c>
      <c r="C115" s="10" t="s">
        <v>20</v>
      </c>
      <c r="D115" s="10" t="s">
        <v>34</v>
      </c>
      <c r="E115" s="10" t="s">
        <v>693</v>
      </c>
      <c r="F115" s="10" t="s">
        <v>694</v>
      </c>
      <c r="G115" s="10" t="s">
        <v>697</v>
      </c>
      <c r="H115" s="11">
        <v>5</v>
      </c>
      <c r="I115" s="11">
        <v>5</v>
      </c>
      <c r="J115" s="11">
        <v>5</v>
      </c>
      <c r="K115" s="11">
        <v>3</v>
      </c>
      <c r="L115" s="11">
        <v>0</v>
      </c>
      <c r="M115" s="11">
        <v>0</v>
      </c>
      <c r="N115" s="11">
        <v>1</v>
      </c>
      <c r="O115" s="11">
        <v>0</v>
      </c>
      <c r="P115" s="11">
        <f t="shared" si="10"/>
        <v>0</v>
      </c>
      <c r="Q115" s="11">
        <f t="shared" si="10"/>
        <v>0</v>
      </c>
      <c r="R115" s="11">
        <f t="shared" si="10"/>
        <v>1.2</v>
      </c>
      <c r="S115" s="11">
        <f t="shared" si="10"/>
        <v>0</v>
      </c>
      <c r="T115" s="18">
        <f t="shared" si="11"/>
        <v>0</v>
      </c>
      <c r="U115" s="18">
        <f t="shared" si="11"/>
        <v>0</v>
      </c>
      <c r="V115" s="18">
        <f t="shared" si="11"/>
        <v>0.24</v>
      </c>
      <c r="W115" s="18">
        <f t="shared" si="11"/>
        <v>0</v>
      </c>
    </row>
    <row r="116" spans="1:23" x14ac:dyDescent="0.3">
      <c r="A116" s="9" t="s">
        <v>31</v>
      </c>
      <c r="B116" s="10" t="s">
        <v>411</v>
      </c>
      <c r="C116" s="10" t="s">
        <v>20</v>
      </c>
      <c r="D116" s="10" t="s">
        <v>32</v>
      </c>
      <c r="E116" s="10" t="s">
        <v>693</v>
      </c>
      <c r="F116" s="10" t="s">
        <v>694</v>
      </c>
      <c r="G116" s="10" t="s">
        <v>696</v>
      </c>
      <c r="H116" s="11">
        <v>5</v>
      </c>
      <c r="I116" s="11">
        <v>10</v>
      </c>
      <c r="J116" s="11">
        <v>8</v>
      </c>
      <c r="K116" s="11">
        <v>3</v>
      </c>
      <c r="L116" s="11">
        <v>4</v>
      </c>
      <c r="M116" s="11">
        <v>5</v>
      </c>
      <c r="N116" s="11">
        <v>3</v>
      </c>
      <c r="O116" s="11">
        <v>2</v>
      </c>
      <c r="P116" s="11">
        <f t="shared" si="10"/>
        <v>4.8</v>
      </c>
      <c r="Q116" s="11">
        <f t="shared" si="10"/>
        <v>6</v>
      </c>
      <c r="R116" s="11">
        <f t="shared" si="10"/>
        <v>3.5999999999999996</v>
      </c>
      <c r="S116" s="11">
        <f t="shared" si="10"/>
        <v>2.4</v>
      </c>
      <c r="T116" s="18">
        <f t="shared" si="11"/>
        <v>0.96</v>
      </c>
      <c r="U116" s="18">
        <f t="shared" si="11"/>
        <v>0.6</v>
      </c>
      <c r="V116" s="18">
        <f t="shared" si="11"/>
        <v>0.44999999999999996</v>
      </c>
      <c r="W116" s="18">
        <f t="shared" si="11"/>
        <v>0.79999999999999993</v>
      </c>
    </row>
    <row r="117" spans="1:23" x14ac:dyDescent="0.3">
      <c r="A117" s="9" t="s">
        <v>26</v>
      </c>
      <c r="B117" s="10" t="s">
        <v>408</v>
      </c>
      <c r="C117" s="10" t="s">
        <v>20</v>
      </c>
      <c r="D117" s="10" t="s">
        <v>34</v>
      </c>
      <c r="E117" s="10" t="s">
        <v>693</v>
      </c>
      <c r="F117" s="10" t="s">
        <v>694</v>
      </c>
      <c r="G117" s="10" t="s">
        <v>697</v>
      </c>
      <c r="H117" s="11">
        <v>5</v>
      </c>
      <c r="I117" s="11">
        <v>5</v>
      </c>
      <c r="J117" s="11">
        <v>5</v>
      </c>
      <c r="K117" s="11">
        <v>6</v>
      </c>
      <c r="L117" s="11">
        <v>5</v>
      </c>
      <c r="M117" s="11">
        <v>2</v>
      </c>
      <c r="N117" s="11">
        <v>1</v>
      </c>
      <c r="O117" s="11">
        <v>2</v>
      </c>
      <c r="P117" s="11">
        <f t="shared" si="10"/>
        <v>6</v>
      </c>
      <c r="Q117" s="11">
        <f t="shared" si="10"/>
        <v>2.4</v>
      </c>
      <c r="R117" s="11">
        <f t="shared" si="10"/>
        <v>1.2</v>
      </c>
      <c r="S117" s="11">
        <f t="shared" si="10"/>
        <v>2.4</v>
      </c>
      <c r="T117" s="18">
        <f t="shared" si="11"/>
        <v>1.2</v>
      </c>
      <c r="U117" s="18">
        <f t="shared" si="11"/>
        <v>0.48</v>
      </c>
      <c r="V117" s="18">
        <f t="shared" si="11"/>
        <v>0.24</v>
      </c>
      <c r="W117" s="18">
        <f t="shared" si="11"/>
        <v>0.39999999999999997</v>
      </c>
    </row>
    <row r="118" spans="1:23" x14ac:dyDescent="0.3">
      <c r="A118" s="9" t="s">
        <v>162</v>
      </c>
      <c r="B118" s="10" t="s">
        <v>520</v>
      </c>
      <c r="C118" s="10" t="s">
        <v>20</v>
      </c>
      <c r="D118" s="10" t="s">
        <v>30</v>
      </c>
      <c r="E118" s="10" t="s">
        <v>693</v>
      </c>
      <c r="F118" s="10" t="s">
        <v>694</v>
      </c>
      <c r="G118" s="10" t="s">
        <v>696</v>
      </c>
      <c r="H118" s="11">
        <v>9</v>
      </c>
      <c r="I118" s="11">
        <v>9</v>
      </c>
      <c r="J118" s="11">
        <v>14</v>
      </c>
      <c r="K118" s="11">
        <v>3</v>
      </c>
      <c r="L118" s="11">
        <v>10</v>
      </c>
      <c r="M118" s="11">
        <v>6</v>
      </c>
      <c r="N118" s="11">
        <v>6</v>
      </c>
      <c r="O118" s="11">
        <v>12</v>
      </c>
      <c r="P118" s="11">
        <f t="shared" si="10"/>
        <v>12</v>
      </c>
      <c r="Q118" s="11">
        <f t="shared" si="10"/>
        <v>7.1999999999999993</v>
      </c>
      <c r="R118" s="11">
        <f t="shared" si="10"/>
        <v>7.1999999999999993</v>
      </c>
      <c r="S118" s="11">
        <f t="shared" si="10"/>
        <v>14.399999999999999</v>
      </c>
      <c r="T118" s="18">
        <f t="shared" si="11"/>
        <v>1.3333333333333333</v>
      </c>
      <c r="U118" s="18">
        <f t="shared" si="11"/>
        <v>0.79999999999999993</v>
      </c>
      <c r="V118" s="18">
        <f t="shared" si="11"/>
        <v>0.51428571428571423</v>
      </c>
      <c r="W118" s="18">
        <f t="shared" si="11"/>
        <v>4.8</v>
      </c>
    </row>
    <row r="119" spans="1:23" x14ac:dyDescent="0.3">
      <c r="A119" s="9" t="s">
        <v>72</v>
      </c>
      <c r="B119" s="10" t="s">
        <v>441</v>
      </c>
      <c r="C119" s="10" t="s">
        <v>20</v>
      </c>
      <c r="D119" s="10" t="s">
        <v>30</v>
      </c>
      <c r="E119" s="10" t="s">
        <v>693</v>
      </c>
      <c r="F119" s="10" t="s">
        <v>694</v>
      </c>
      <c r="G119" s="10" t="s">
        <v>696</v>
      </c>
      <c r="H119" s="11">
        <v>5</v>
      </c>
      <c r="I119" s="11">
        <v>5</v>
      </c>
      <c r="J119" s="11">
        <v>5</v>
      </c>
      <c r="K119" s="11">
        <v>4</v>
      </c>
      <c r="L119" s="11">
        <v>2</v>
      </c>
      <c r="M119" s="11">
        <v>1</v>
      </c>
      <c r="N119" s="11">
        <v>1</v>
      </c>
      <c r="O119" s="11">
        <v>5</v>
      </c>
      <c r="P119" s="11">
        <f t="shared" si="10"/>
        <v>2.4</v>
      </c>
      <c r="Q119" s="11">
        <f t="shared" si="10"/>
        <v>1.2</v>
      </c>
      <c r="R119" s="11">
        <f t="shared" si="10"/>
        <v>1.2</v>
      </c>
      <c r="S119" s="11">
        <f t="shared" si="10"/>
        <v>6</v>
      </c>
      <c r="T119" s="18">
        <f t="shared" si="11"/>
        <v>0.48</v>
      </c>
      <c r="U119" s="18">
        <f t="shared" si="11"/>
        <v>0.24</v>
      </c>
      <c r="V119" s="18">
        <f t="shared" si="11"/>
        <v>0.24</v>
      </c>
      <c r="W119" s="18">
        <f t="shared" si="11"/>
        <v>1.5</v>
      </c>
    </row>
    <row r="120" spans="1:23" x14ac:dyDescent="0.3">
      <c r="A120" s="9" t="s">
        <v>100</v>
      </c>
      <c r="B120" s="10" t="s">
        <v>469</v>
      </c>
      <c r="C120" s="10" t="s">
        <v>20</v>
      </c>
      <c r="D120" s="10" t="s">
        <v>38</v>
      </c>
      <c r="E120" s="10" t="s">
        <v>693</v>
      </c>
      <c r="F120" s="10" t="s">
        <v>694</v>
      </c>
      <c r="G120" s="10" t="s">
        <v>696</v>
      </c>
      <c r="H120" s="11">
        <v>9</v>
      </c>
      <c r="I120" s="11">
        <v>5</v>
      </c>
      <c r="J120" s="11">
        <v>7</v>
      </c>
      <c r="K120" s="11">
        <v>3</v>
      </c>
      <c r="L120" s="11">
        <v>2</v>
      </c>
      <c r="M120" s="11">
        <v>5</v>
      </c>
      <c r="N120" s="11">
        <v>1</v>
      </c>
      <c r="O120" s="11">
        <v>2</v>
      </c>
      <c r="P120" s="11">
        <f t="shared" si="10"/>
        <v>2.4</v>
      </c>
      <c r="Q120" s="11">
        <f t="shared" si="10"/>
        <v>6</v>
      </c>
      <c r="R120" s="11">
        <f t="shared" si="10"/>
        <v>1.2</v>
      </c>
      <c r="S120" s="11">
        <f t="shared" si="10"/>
        <v>2.4</v>
      </c>
      <c r="T120" s="18">
        <f t="shared" si="11"/>
        <v>0.26666666666666666</v>
      </c>
      <c r="U120" s="18">
        <f t="shared" si="11"/>
        <v>1.2</v>
      </c>
      <c r="V120" s="18">
        <f t="shared" si="11"/>
        <v>0.17142857142857143</v>
      </c>
      <c r="W120" s="18">
        <f t="shared" si="11"/>
        <v>0.79999999999999993</v>
      </c>
    </row>
    <row r="121" spans="1:23" x14ac:dyDescent="0.3">
      <c r="A121" s="9" t="s">
        <v>87</v>
      </c>
      <c r="B121" s="10" t="s">
        <v>456</v>
      </c>
      <c r="C121" s="10" t="s">
        <v>20</v>
      </c>
      <c r="D121" s="10" t="s">
        <v>38</v>
      </c>
      <c r="E121" s="10" t="s">
        <v>693</v>
      </c>
      <c r="F121" s="10" t="s">
        <v>694</v>
      </c>
      <c r="G121" s="10" t="s">
        <v>696</v>
      </c>
      <c r="H121" s="11">
        <v>5</v>
      </c>
      <c r="I121" s="11">
        <v>5</v>
      </c>
      <c r="J121" s="11">
        <v>5</v>
      </c>
      <c r="K121" s="11">
        <v>3</v>
      </c>
      <c r="L121" s="11">
        <v>0</v>
      </c>
      <c r="M121" s="11">
        <v>2</v>
      </c>
      <c r="N121" s="11">
        <v>1</v>
      </c>
      <c r="O121" s="11">
        <v>0</v>
      </c>
      <c r="P121" s="11">
        <f t="shared" si="10"/>
        <v>0</v>
      </c>
      <c r="Q121" s="11">
        <f t="shared" si="10"/>
        <v>2.4</v>
      </c>
      <c r="R121" s="11">
        <f t="shared" si="10"/>
        <v>1.2</v>
      </c>
      <c r="S121" s="11">
        <f t="shared" si="10"/>
        <v>0</v>
      </c>
      <c r="T121" s="18">
        <f t="shared" si="11"/>
        <v>0</v>
      </c>
      <c r="U121" s="18">
        <f t="shared" si="11"/>
        <v>0.48</v>
      </c>
      <c r="V121" s="18">
        <f t="shared" si="11"/>
        <v>0.24</v>
      </c>
      <c r="W121" s="18">
        <f t="shared" si="11"/>
        <v>0</v>
      </c>
    </row>
    <row r="122" spans="1:23" x14ac:dyDescent="0.3">
      <c r="A122" s="9" t="s">
        <v>70</v>
      </c>
      <c r="B122" s="10" t="s">
        <v>439</v>
      </c>
      <c r="C122" s="10" t="s">
        <v>20</v>
      </c>
      <c r="D122" s="10" t="s">
        <v>32</v>
      </c>
      <c r="E122" s="10" t="s">
        <v>693</v>
      </c>
      <c r="F122" s="10" t="s">
        <v>694</v>
      </c>
      <c r="G122" s="10" t="s">
        <v>696</v>
      </c>
      <c r="H122" s="11">
        <v>5</v>
      </c>
      <c r="I122" s="11">
        <v>5</v>
      </c>
      <c r="J122" s="11">
        <v>5</v>
      </c>
      <c r="K122" s="11">
        <v>3</v>
      </c>
      <c r="L122" s="11">
        <v>6</v>
      </c>
      <c r="M122" s="11">
        <v>1</v>
      </c>
      <c r="N122" s="11">
        <v>3</v>
      </c>
      <c r="O122" s="11">
        <v>0</v>
      </c>
      <c r="P122" s="11">
        <f t="shared" si="10"/>
        <v>7.1999999999999993</v>
      </c>
      <c r="Q122" s="11">
        <f t="shared" si="10"/>
        <v>1.2</v>
      </c>
      <c r="R122" s="11">
        <f t="shared" si="10"/>
        <v>3.5999999999999996</v>
      </c>
      <c r="S122" s="11">
        <f t="shared" si="10"/>
        <v>0</v>
      </c>
      <c r="T122" s="18">
        <f t="shared" si="11"/>
        <v>1.44</v>
      </c>
      <c r="U122" s="18">
        <f t="shared" si="11"/>
        <v>0.24</v>
      </c>
      <c r="V122" s="18">
        <f t="shared" si="11"/>
        <v>0.72</v>
      </c>
      <c r="W122" s="18">
        <f t="shared" si="11"/>
        <v>0</v>
      </c>
    </row>
    <row r="123" spans="1:23" x14ac:dyDescent="0.3">
      <c r="A123" s="9" t="s">
        <v>55</v>
      </c>
      <c r="B123" s="10" t="s">
        <v>426</v>
      </c>
      <c r="C123" s="10" t="s">
        <v>20</v>
      </c>
      <c r="D123" s="10" t="s">
        <v>36</v>
      </c>
      <c r="E123" s="10" t="s">
        <v>693</v>
      </c>
      <c r="F123" s="10" t="s">
        <v>694</v>
      </c>
      <c r="G123" s="10" t="s">
        <v>697</v>
      </c>
      <c r="H123" s="11">
        <v>8</v>
      </c>
      <c r="I123" s="11">
        <v>6</v>
      </c>
      <c r="J123" s="11">
        <v>9</v>
      </c>
      <c r="K123" s="11">
        <v>3</v>
      </c>
      <c r="L123" s="11">
        <v>6</v>
      </c>
      <c r="M123" s="11">
        <v>2</v>
      </c>
      <c r="N123" s="11">
        <v>0</v>
      </c>
      <c r="O123" s="11">
        <v>3</v>
      </c>
      <c r="P123" s="11">
        <f t="shared" si="10"/>
        <v>7.1999999999999993</v>
      </c>
      <c r="Q123" s="11">
        <f t="shared" si="10"/>
        <v>2.4</v>
      </c>
      <c r="R123" s="11">
        <f t="shared" si="10"/>
        <v>0</v>
      </c>
      <c r="S123" s="11">
        <f t="shared" si="10"/>
        <v>3.5999999999999996</v>
      </c>
      <c r="T123" s="18">
        <f t="shared" si="11"/>
        <v>0.89999999999999991</v>
      </c>
      <c r="U123" s="18">
        <f t="shared" si="11"/>
        <v>0.39999999999999997</v>
      </c>
      <c r="V123" s="18">
        <f t="shared" si="11"/>
        <v>0</v>
      </c>
      <c r="W123" s="18">
        <f t="shared" si="11"/>
        <v>1.2</v>
      </c>
    </row>
    <row r="124" spans="1:23" x14ac:dyDescent="0.3">
      <c r="A124" s="9" t="s">
        <v>29</v>
      </c>
      <c r="B124" s="10" t="s">
        <v>410</v>
      </c>
      <c r="C124" s="10" t="s">
        <v>20</v>
      </c>
      <c r="D124" s="10" t="s">
        <v>38</v>
      </c>
      <c r="E124" s="10" t="s">
        <v>693</v>
      </c>
      <c r="F124" s="10" t="s">
        <v>694</v>
      </c>
      <c r="G124" s="10" t="s">
        <v>696</v>
      </c>
      <c r="H124" s="11">
        <v>5</v>
      </c>
      <c r="I124" s="11">
        <v>5</v>
      </c>
      <c r="J124" s="11">
        <v>10</v>
      </c>
      <c r="K124" s="11">
        <v>6</v>
      </c>
      <c r="L124" s="11">
        <v>2</v>
      </c>
      <c r="M124" s="11">
        <v>2</v>
      </c>
      <c r="N124" s="11">
        <v>1</v>
      </c>
      <c r="O124" s="11">
        <v>11</v>
      </c>
      <c r="P124" s="11">
        <f t="shared" si="10"/>
        <v>2.4</v>
      </c>
      <c r="Q124" s="11">
        <f t="shared" si="10"/>
        <v>2.4</v>
      </c>
      <c r="R124" s="11">
        <f t="shared" si="10"/>
        <v>1.2</v>
      </c>
      <c r="S124" s="11">
        <f t="shared" si="10"/>
        <v>13.2</v>
      </c>
      <c r="T124" s="18">
        <f t="shared" si="11"/>
        <v>0.48</v>
      </c>
      <c r="U124" s="18">
        <f t="shared" si="11"/>
        <v>0.48</v>
      </c>
      <c r="V124" s="18">
        <f t="shared" si="11"/>
        <v>0.12</v>
      </c>
      <c r="W124" s="18">
        <f t="shared" si="11"/>
        <v>2.1999999999999997</v>
      </c>
    </row>
    <row r="125" spans="1:23" x14ac:dyDescent="0.3">
      <c r="A125" s="9" t="s">
        <v>250</v>
      </c>
      <c r="B125" s="10" t="s">
        <v>605</v>
      </c>
      <c r="C125" s="10" t="s">
        <v>20</v>
      </c>
      <c r="D125" s="10" t="s">
        <v>36</v>
      </c>
      <c r="E125" s="10" t="s">
        <v>708</v>
      </c>
      <c r="F125" s="10" t="s">
        <v>694</v>
      </c>
      <c r="G125" s="10" t="s">
        <v>697</v>
      </c>
      <c r="H125" s="11">
        <v>5</v>
      </c>
      <c r="I125" s="11">
        <v>5</v>
      </c>
      <c r="J125" s="11">
        <v>5</v>
      </c>
      <c r="K125" s="11">
        <v>3</v>
      </c>
      <c r="L125" s="11">
        <v>0</v>
      </c>
      <c r="M125" s="11">
        <v>0</v>
      </c>
      <c r="N125" s="11">
        <v>0</v>
      </c>
      <c r="O125" s="11">
        <v>0</v>
      </c>
      <c r="P125" s="11">
        <f t="shared" si="10"/>
        <v>0</v>
      </c>
      <c r="Q125" s="11">
        <f t="shared" si="10"/>
        <v>0</v>
      </c>
      <c r="R125" s="11">
        <f t="shared" si="10"/>
        <v>0</v>
      </c>
      <c r="S125" s="11">
        <f t="shared" si="10"/>
        <v>0</v>
      </c>
      <c r="T125" s="18">
        <f t="shared" si="11"/>
        <v>0</v>
      </c>
      <c r="U125" s="18">
        <f t="shared" si="11"/>
        <v>0</v>
      </c>
      <c r="V125" s="18">
        <f t="shared" si="11"/>
        <v>0</v>
      </c>
      <c r="W125" s="18">
        <f t="shared" si="11"/>
        <v>0</v>
      </c>
    </row>
    <row r="126" spans="1:23" x14ac:dyDescent="0.3">
      <c r="A126" s="9" t="s">
        <v>251</v>
      </c>
      <c r="B126" s="10" t="s">
        <v>606</v>
      </c>
      <c r="C126" s="10" t="s">
        <v>20</v>
      </c>
      <c r="D126" s="10" t="s">
        <v>30</v>
      </c>
      <c r="E126" s="10" t="s">
        <v>707</v>
      </c>
      <c r="F126" s="10" t="s">
        <v>694</v>
      </c>
      <c r="G126" s="10" t="s">
        <v>696</v>
      </c>
      <c r="H126" s="11">
        <v>5</v>
      </c>
      <c r="I126" s="11">
        <v>5</v>
      </c>
      <c r="J126" s="11">
        <v>5</v>
      </c>
      <c r="K126" s="11">
        <v>3</v>
      </c>
      <c r="L126" s="11">
        <v>0</v>
      </c>
      <c r="M126" s="11">
        <v>0</v>
      </c>
      <c r="N126" s="11">
        <v>0</v>
      </c>
      <c r="O126" s="11">
        <v>0</v>
      </c>
      <c r="P126" s="11">
        <f t="shared" si="10"/>
        <v>0</v>
      </c>
      <c r="Q126" s="11">
        <f t="shared" si="10"/>
        <v>0</v>
      </c>
      <c r="R126" s="11">
        <f t="shared" si="10"/>
        <v>0</v>
      </c>
      <c r="S126" s="11">
        <f t="shared" si="10"/>
        <v>0</v>
      </c>
      <c r="T126" s="18">
        <f t="shared" si="11"/>
        <v>0</v>
      </c>
      <c r="U126" s="18">
        <f t="shared" si="11"/>
        <v>0</v>
      </c>
      <c r="V126" s="18">
        <f t="shared" si="11"/>
        <v>0</v>
      </c>
      <c r="W126" s="18">
        <f t="shared" si="11"/>
        <v>0</v>
      </c>
    </row>
    <row r="127" spans="1:23" x14ac:dyDescent="0.3">
      <c r="A127" s="9" t="s">
        <v>146</v>
      </c>
      <c r="B127" s="10" t="s">
        <v>504</v>
      </c>
      <c r="C127" s="10" t="s">
        <v>20</v>
      </c>
      <c r="D127" s="10" t="s">
        <v>30</v>
      </c>
      <c r="E127" s="10" t="s">
        <v>693</v>
      </c>
      <c r="F127" s="10" t="s">
        <v>694</v>
      </c>
      <c r="G127" s="10" t="s">
        <v>696</v>
      </c>
      <c r="H127" s="11">
        <v>10</v>
      </c>
      <c r="I127" s="11">
        <v>10</v>
      </c>
      <c r="J127" s="11">
        <v>10</v>
      </c>
      <c r="K127" s="11">
        <v>4</v>
      </c>
      <c r="L127" s="11">
        <v>8</v>
      </c>
      <c r="M127" s="11">
        <v>3</v>
      </c>
      <c r="N127" s="11">
        <v>7</v>
      </c>
      <c r="O127" s="11">
        <v>4</v>
      </c>
      <c r="P127" s="11">
        <f t="shared" si="10"/>
        <v>9.6</v>
      </c>
      <c r="Q127" s="11">
        <f t="shared" si="10"/>
        <v>3.5999999999999996</v>
      </c>
      <c r="R127" s="11">
        <f t="shared" si="10"/>
        <v>8.4</v>
      </c>
      <c r="S127" s="11">
        <f t="shared" si="10"/>
        <v>4.8</v>
      </c>
      <c r="T127" s="18">
        <f t="shared" si="11"/>
        <v>0.96</v>
      </c>
      <c r="U127" s="18">
        <f t="shared" si="11"/>
        <v>0.36</v>
      </c>
      <c r="V127" s="18">
        <f t="shared" si="11"/>
        <v>0.84000000000000008</v>
      </c>
      <c r="W127" s="18">
        <f t="shared" si="11"/>
        <v>1.2</v>
      </c>
    </row>
    <row r="128" spans="1:23" x14ac:dyDescent="0.3">
      <c r="A128" s="9" t="s">
        <v>98</v>
      </c>
      <c r="B128" s="10" t="s">
        <v>467</v>
      </c>
      <c r="C128" s="10" t="s">
        <v>20</v>
      </c>
      <c r="D128" s="10" t="s">
        <v>30</v>
      </c>
      <c r="E128" s="10" t="s">
        <v>693</v>
      </c>
      <c r="F128" s="10" t="s">
        <v>694</v>
      </c>
      <c r="G128" s="10" t="s">
        <v>696</v>
      </c>
      <c r="H128" s="11">
        <v>5</v>
      </c>
      <c r="I128" s="11">
        <v>5</v>
      </c>
      <c r="J128" s="11">
        <v>10</v>
      </c>
      <c r="K128" s="11">
        <v>3</v>
      </c>
      <c r="L128" s="11">
        <v>1</v>
      </c>
      <c r="M128" s="11">
        <v>1</v>
      </c>
      <c r="N128" s="11">
        <v>2</v>
      </c>
      <c r="O128" s="11">
        <v>3</v>
      </c>
      <c r="P128" s="11">
        <f t="shared" si="10"/>
        <v>1.2</v>
      </c>
      <c r="Q128" s="11">
        <f t="shared" si="10"/>
        <v>1.2</v>
      </c>
      <c r="R128" s="11">
        <f t="shared" si="10"/>
        <v>2.4</v>
      </c>
      <c r="S128" s="11">
        <f t="shared" si="10"/>
        <v>3.5999999999999996</v>
      </c>
      <c r="T128" s="18">
        <f t="shared" si="11"/>
        <v>0.24</v>
      </c>
      <c r="U128" s="18">
        <f t="shared" si="11"/>
        <v>0.24</v>
      </c>
      <c r="V128" s="18">
        <f t="shared" si="11"/>
        <v>0.24</v>
      </c>
      <c r="W128" s="18">
        <f t="shared" si="11"/>
        <v>1.2</v>
      </c>
    </row>
    <row r="129" spans="1:23" x14ac:dyDescent="0.3">
      <c r="A129" s="9" t="s">
        <v>240</v>
      </c>
      <c r="B129" s="10" t="s">
        <v>596</v>
      </c>
      <c r="C129" s="10" t="s">
        <v>20</v>
      </c>
      <c r="D129" s="10" t="s">
        <v>38</v>
      </c>
      <c r="E129" s="10" t="s">
        <v>707</v>
      </c>
      <c r="F129" s="10" t="s">
        <v>694</v>
      </c>
      <c r="G129" s="10" t="s">
        <v>696</v>
      </c>
      <c r="H129" s="11">
        <v>5</v>
      </c>
      <c r="I129" s="11">
        <v>5</v>
      </c>
      <c r="J129" s="11">
        <v>5</v>
      </c>
      <c r="K129" s="11">
        <v>3</v>
      </c>
      <c r="L129" s="11">
        <v>0</v>
      </c>
      <c r="M129" s="11">
        <v>0</v>
      </c>
      <c r="N129" s="11">
        <v>1</v>
      </c>
      <c r="O129" s="11">
        <v>0</v>
      </c>
      <c r="P129" s="11">
        <f t="shared" si="10"/>
        <v>0</v>
      </c>
      <c r="Q129" s="11">
        <f t="shared" si="10"/>
        <v>0</v>
      </c>
      <c r="R129" s="11">
        <f t="shared" si="10"/>
        <v>1.2</v>
      </c>
      <c r="S129" s="11">
        <f t="shared" si="10"/>
        <v>0</v>
      </c>
      <c r="T129" s="18">
        <f t="shared" si="11"/>
        <v>0</v>
      </c>
      <c r="U129" s="18">
        <f t="shared" si="11"/>
        <v>0</v>
      </c>
      <c r="V129" s="18">
        <f t="shared" si="11"/>
        <v>0.24</v>
      </c>
      <c r="W129" s="18">
        <f t="shared" si="11"/>
        <v>0</v>
      </c>
    </row>
    <row r="130" spans="1:23" x14ac:dyDescent="0.3">
      <c r="A130" s="9" t="s">
        <v>380</v>
      </c>
      <c r="B130" s="10" t="s">
        <v>690</v>
      </c>
      <c r="C130" s="10" t="s">
        <v>20</v>
      </c>
      <c r="D130" s="10" t="s">
        <v>34</v>
      </c>
      <c r="E130" s="10" t="s">
        <v>707</v>
      </c>
      <c r="F130" s="10" t="s">
        <v>701</v>
      </c>
      <c r="G130" s="10" t="s">
        <v>697</v>
      </c>
      <c r="H130" s="11">
        <v>5</v>
      </c>
      <c r="I130" s="11">
        <v>5</v>
      </c>
      <c r="J130" s="11">
        <v>5</v>
      </c>
      <c r="K130" s="11">
        <v>3</v>
      </c>
      <c r="L130" s="11">
        <v>0</v>
      </c>
      <c r="M130" s="11">
        <v>0</v>
      </c>
      <c r="N130" s="11">
        <v>0</v>
      </c>
      <c r="O130" s="11">
        <v>0</v>
      </c>
      <c r="P130" s="11">
        <f t="shared" si="10"/>
        <v>0</v>
      </c>
      <c r="Q130" s="11">
        <f t="shared" si="10"/>
        <v>0</v>
      </c>
      <c r="R130" s="11">
        <f t="shared" si="10"/>
        <v>0</v>
      </c>
      <c r="S130" s="11">
        <f t="shared" si="10"/>
        <v>0</v>
      </c>
      <c r="T130" s="18">
        <f t="shared" si="11"/>
        <v>0</v>
      </c>
      <c r="U130" s="18">
        <f t="shared" si="11"/>
        <v>0</v>
      </c>
      <c r="V130" s="18">
        <f t="shared" si="11"/>
        <v>0</v>
      </c>
      <c r="W130" s="18">
        <f t="shared" si="11"/>
        <v>0</v>
      </c>
    </row>
    <row r="131" spans="1:23" x14ac:dyDescent="0.3">
      <c r="A131" s="9" t="s">
        <v>381</v>
      </c>
      <c r="B131" s="10" t="s">
        <v>691</v>
      </c>
      <c r="C131" s="10" t="s">
        <v>20</v>
      </c>
      <c r="D131" s="10" t="s">
        <v>34</v>
      </c>
      <c r="E131" s="10" t="s">
        <v>707</v>
      </c>
      <c r="F131" s="10" t="s">
        <v>701</v>
      </c>
      <c r="G131" s="10" t="s">
        <v>697</v>
      </c>
      <c r="H131" s="11">
        <v>5</v>
      </c>
      <c r="I131" s="11">
        <v>5</v>
      </c>
      <c r="J131" s="11">
        <v>5</v>
      </c>
      <c r="K131" s="11">
        <v>3</v>
      </c>
      <c r="L131" s="11">
        <v>0</v>
      </c>
      <c r="M131" s="11">
        <v>0</v>
      </c>
      <c r="N131" s="11">
        <v>0</v>
      </c>
      <c r="O131" s="11">
        <v>0</v>
      </c>
      <c r="P131" s="11">
        <f t="shared" si="10"/>
        <v>0</v>
      </c>
      <c r="Q131" s="11">
        <f t="shared" si="10"/>
        <v>0</v>
      </c>
      <c r="R131" s="11">
        <f t="shared" si="10"/>
        <v>0</v>
      </c>
      <c r="S131" s="11">
        <f t="shared" si="10"/>
        <v>0</v>
      </c>
      <c r="T131" s="18">
        <f t="shared" si="11"/>
        <v>0</v>
      </c>
      <c r="U131" s="18">
        <f t="shared" si="11"/>
        <v>0</v>
      </c>
      <c r="V131" s="18">
        <f t="shared" si="11"/>
        <v>0</v>
      </c>
      <c r="W131" s="18">
        <f t="shared" si="11"/>
        <v>0</v>
      </c>
    </row>
    <row r="132" spans="1:23" x14ac:dyDescent="0.3">
      <c r="A132" s="9" t="s">
        <v>252</v>
      </c>
      <c r="B132" s="10" t="s">
        <v>607</v>
      </c>
      <c r="C132" s="10" t="s">
        <v>20</v>
      </c>
      <c r="D132" s="10" t="s">
        <v>38</v>
      </c>
      <c r="E132" s="10" t="s">
        <v>707</v>
      </c>
      <c r="F132" s="10" t="s">
        <v>694</v>
      </c>
      <c r="G132" s="10" t="s">
        <v>696</v>
      </c>
      <c r="H132" s="11">
        <v>5</v>
      </c>
      <c r="I132" s="11">
        <v>5</v>
      </c>
      <c r="J132" s="11">
        <v>5</v>
      </c>
      <c r="K132" s="11">
        <v>6</v>
      </c>
      <c r="L132" s="11">
        <v>1</v>
      </c>
      <c r="M132" s="11">
        <v>1</v>
      </c>
      <c r="N132" s="11">
        <v>0</v>
      </c>
      <c r="O132" s="11">
        <v>5</v>
      </c>
      <c r="P132" s="11">
        <f t="shared" si="10"/>
        <v>1.2</v>
      </c>
      <c r="Q132" s="11">
        <f t="shared" si="10"/>
        <v>1.2</v>
      </c>
      <c r="R132" s="11">
        <f t="shared" si="10"/>
        <v>0</v>
      </c>
      <c r="S132" s="11">
        <f t="shared" si="10"/>
        <v>6</v>
      </c>
      <c r="T132" s="18">
        <f t="shared" si="11"/>
        <v>0.24</v>
      </c>
      <c r="U132" s="18">
        <f t="shared" si="11"/>
        <v>0.24</v>
      </c>
      <c r="V132" s="18">
        <f t="shared" si="11"/>
        <v>0</v>
      </c>
      <c r="W132" s="18">
        <f t="shared" si="11"/>
        <v>1</v>
      </c>
    </row>
    <row r="133" spans="1:23" x14ac:dyDescent="0.3">
      <c r="A133" s="9" t="s">
        <v>234</v>
      </c>
      <c r="B133" s="10" t="s">
        <v>592</v>
      </c>
      <c r="C133" s="10" t="s">
        <v>118</v>
      </c>
      <c r="D133" s="10" t="s">
        <v>136</v>
      </c>
      <c r="E133" s="10" t="s">
        <v>704</v>
      </c>
      <c r="F133" s="10" t="s">
        <v>694</v>
      </c>
      <c r="G133" s="10" t="s">
        <v>697</v>
      </c>
      <c r="H133" s="11">
        <v>19</v>
      </c>
      <c r="I133" s="11">
        <v>24</v>
      </c>
      <c r="J133" s="11">
        <v>30</v>
      </c>
      <c r="K133" s="11">
        <v>41</v>
      </c>
      <c r="L133" s="11">
        <v>5</v>
      </c>
      <c r="M133" s="11">
        <v>14</v>
      </c>
      <c r="N133" s="11">
        <v>23</v>
      </c>
      <c r="O133" s="11">
        <v>62</v>
      </c>
      <c r="P133" s="11">
        <f t="shared" si="10"/>
        <v>6</v>
      </c>
      <c r="Q133" s="11">
        <f t="shared" si="10"/>
        <v>16.8</v>
      </c>
      <c r="R133" s="11">
        <f t="shared" si="10"/>
        <v>27.6</v>
      </c>
      <c r="S133" s="11">
        <f t="shared" ref="S133:S196" si="12">IFERROR((O133/$A$2*$B$1),0)</f>
        <v>74.400000000000006</v>
      </c>
      <c r="T133" s="18">
        <f t="shared" si="11"/>
        <v>0.31578947368421051</v>
      </c>
      <c r="U133" s="18">
        <f t="shared" si="11"/>
        <v>0.70000000000000007</v>
      </c>
      <c r="V133" s="18">
        <f t="shared" si="11"/>
        <v>0.92</v>
      </c>
      <c r="W133" s="18">
        <f t="shared" ref="W133:W196" si="13">IFERROR(S133/K133,0)</f>
        <v>1.8146341463414635</v>
      </c>
    </row>
    <row r="134" spans="1:23" x14ac:dyDescent="0.3">
      <c r="A134" s="9" t="s">
        <v>226</v>
      </c>
      <c r="B134" s="10" t="s">
        <v>584</v>
      </c>
      <c r="C134" s="10" t="s">
        <v>118</v>
      </c>
      <c r="D134" s="10" t="s">
        <v>136</v>
      </c>
      <c r="E134" s="10" t="s">
        <v>704</v>
      </c>
      <c r="F134" s="10" t="s">
        <v>694</v>
      </c>
      <c r="G134" s="10" t="s">
        <v>697</v>
      </c>
      <c r="H134" s="11">
        <v>10</v>
      </c>
      <c r="I134" s="11">
        <v>10</v>
      </c>
      <c r="J134" s="11">
        <v>10</v>
      </c>
      <c r="K134" s="11">
        <v>17</v>
      </c>
      <c r="L134" s="11">
        <v>5</v>
      </c>
      <c r="M134" s="11">
        <v>8</v>
      </c>
      <c r="N134" s="11">
        <v>4</v>
      </c>
      <c r="O134" s="11">
        <v>10</v>
      </c>
      <c r="P134" s="11">
        <f t="shared" ref="P134:R157" si="14">IFERROR((L134/$A$2*$B$1),0)</f>
        <v>6</v>
      </c>
      <c r="Q134" s="11">
        <f t="shared" si="14"/>
        <v>9.6</v>
      </c>
      <c r="R134" s="11">
        <f t="shared" si="14"/>
        <v>4.8</v>
      </c>
      <c r="S134" s="11">
        <f t="shared" si="12"/>
        <v>12</v>
      </c>
      <c r="T134" s="18">
        <f t="shared" ref="T134:V158" si="15">IFERROR(P134/H134,0)</f>
        <v>0.6</v>
      </c>
      <c r="U134" s="18">
        <f t="shared" si="15"/>
        <v>0.96</v>
      </c>
      <c r="V134" s="18">
        <f t="shared" si="15"/>
        <v>0.48</v>
      </c>
      <c r="W134" s="18">
        <f t="shared" si="13"/>
        <v>0.70588235294117652</v>
      </c>
    </row>
    <row r="135" spans="1:23" x14ac:dyDescent="0.3">
      <c r="A135" s="9" t="s">
        <v>176</v>
      </c>
      <c r="B135" s="10" t="s">
        <v>534</v>
      </c>
      <c r="C135" s="10" t="s">
        <v>118</v>
      </c>
      <c r="D135" s="10" t="s">
        <v>136</v>
      </c>
      <c r="E135" s="10" t="s">
        <v>704</v>
      </c>
      <c r="F135" s="10" t="s">
        <v>694</v>
      </c>
      <c r="G135" s="10" t="s">
        <v>697</v>
      </c>
      <c r="H135" s="11">
        <v>10</v>
      </c>
      <c r="I135" s="11">
        <v>20</v>
      </c>
      <c r="J135" s="11">
        <v>20</v>
      </c>
      <c r="K135" s="11">
        <v>18</v>
      </c>
      <c r="L135" s="11">
        <v>5</v>
      </c>
      <c r="M135" s="11">
        <v>3</v>
      </c>
      <c r="N135" s="11">
        <v>20</v>
      </c>
      <c r="O135" s="11">
        <v>57</v>
      </c>
      <c r="P135" s="11">
        <f t="shared" si="14"/>
        <v>6</v>
      </c>
      <c r="Q135" s="11">
        <f t="shared" si="14"/>
        <v>3.5999999999999996</v>
      </c>
      <c r="R135" s="11">
        <f t="shared" si="14"/>
        <v>24</v>
      </c>
      <c r="S135" s="11">
        <f t="shared" si="12"/>
        <v>68.399999999999991</v>
      </c>
      <c r="T135" s="18">
        <f t="shared" si="15"/>
        <v>0.6</v>
      </c>
      <c r="U135" s="18">
        <f t="shared" si="15"/>
        <v>0.18</v>
      </c>
      <c r="V135" s="18">
        <f t="shared" si="15"/>
        <v>1.2</v>
      </c>
      <c r="W135" s="18">
        <f t="shared" si="13"/>
        <v>3.7999999999999994</v>
      </c>
    </row>
    <row r="136" spans="1:23" x14ac:dyDescent="0.3">
      <c r="A136" s="9" t="s">
        <v>183</v>
      </c>
      <c r="B136" s="10" t="s">
        <v>541</v>
      </c>
      <c r="C136" s="10" t="s">
        <v>118</v>
      </c>
      <c r="D136" s="10" t="s">
        <v>134</v>
      </c>
      <c r="E136" s="10" t="s">
        <v>704</v>
      </c>
      <c r="F136" s="10" t="s">
        <v>694</v>
      </c>
      <c r="G136" s="10" t="s">
        <v>698</v>
      </c>
      <c r="H136" s="11">
        <v>10</v>
      </c>
      <c r="I136" s="11">
        <v>38</v>
      </c>
      <c r="J136" s="11">
        <v>39</v>
      </c>
      <c r="K136" s="11">
        <v>17</v>
      </c>
      <c r="L136" s="11">
        <v>23</v>
      </c>
      <c r="M136" s="11">
        <v>25</v>
      </c>
      <c r="N136" s="11">
        <v>29</v>
      </c>
      <c r="O136" s="11">
        <v>81</v>
      </c>
      <c r="P136" s="11">
        <f t="shared" si="14"/>
        <v>27.6</v>
      </c>
      <c r="Q136" s="11">
        <f t="shared" si="14"/>
        <v>30</v>
      </c>
      <c r="R136" s="11">
        <f t="shared" si="14"/>
        <v>34.799999999999997</v>
      </c>
      <c r="S136" s="11">
        <f t="shared" si="12"/>
        <v>97.2</v>
      </c>
      <c r="T136" s="18">
        <f t="shared" si="15"/>
        <v>2.7600000000000002</v>
      </c>
      <c r="U136" s="18">
        <f t="shared" si="15"/>
        <v>0.78947368421052633</v>
      </c>
      <c r="V136" s="18">
        <f t="shared" si="15"/>
        <v>0.89230769230769225</v>
      </c>
      <c r="W136" s="18">
        <f t="shared" si="13"/>
        <v>5.7176470588235295</v>
      </c>
    </row>
    <row r="137" spans="1:23" x14ac:dyDescent="0.3">
      <c r="A137" s="9" t="s">
        <v>184</v>
      </c>
      <c r="B137" s="10" t="s">
        <v>542</v>
      </c>
      <c r="C137" s="10" t="s">
        <v>118</v>
      </c>
      <c r="D137" s="10" t="s">
        <v>136</v>
      </c>
      <c r="E137" s="10" t="s">
        <v>704</v>
      </c>
      <c r="F137" s="10" t="s">
        <v>694</v>
      </c>
      <c r="G137" s="10" t="s">
        <v>697</v>
      </c>
      <c r="H137" s="11">
        <v>10</v>
      </c>
      <c r="I137" s="11">
        <v>13</v>
      </c>
      <c r="J137" s="11">
        <v>16</v>
      </c>
      <c r="K137" s="11">
        <v>12</v>
      </c>
      <c r="L137" s="11">
        <v>12</v>
      </c>
      <c r="M137" s="11">
        <v>9</v>
      </c>
      <c r="N137" s="11">
        <v>14</v>
      </c>
      <c r="O137" s="11">
        <v>18</v>
      </c>
      <c r="P137" s="11">
        <f t="shared" si="14"/>
        <v>14.399999999999999</v>
      </c>
      <c r="Q137" s="11">
        <f t="shared" si="14"/>
        <v>10.799999999999999</v>
      </c>
      <c r="R137" s="11">
        <f t="shared" si="14"/>
        <v>16.8</v>
      </c>
      <c r="S137" s="11">
        <f t="shared" si="12"/>
        <v>21.599999999999998</v>
      </c>
      <c r="T137" s="18">
        <f t="shared" si="15"/>
        <v>1.44</v>
      </c>
      <c r="U137" s="18">
        <f t="shared" si="15"/>
        <v>0.8307692307692307</v>
      </c>
      <c r="V137" s="18">
        <f t="shared" si="15"/>
        <v>1.05</v>
      </c>
      <c r="W137" s="18">
        <f t="shared" si="13"/>
        <v>1.7999999999999998</v>
      </c>
    </row>
    <row r="138" spans="1:23" x14ac:dyDescent="0.3">
      <c r="A138" s="9" t="s">
        <v>192</v>
      </c>
      <c r="B138" s="10" t="s">
        <v>550</v>
      </c>
      <c r="C138" s="10" t="s">
        <v>118</v>
      </c>
      <c r="D138" s="10" t="s">
        <v>134</v>
      </c>
      <c r="E138" s="10" t="s">
        <v>704</v>
      </c>
      <c r="F138" s="10" t="s">
        <v>694</v>
      </c>
      <c r="G138" s="10" t="s">
        <v>699</v>
      </c>
      <c r="H138" s="11">
        <v>10</v>
      </c>
      <c r="I138" s="11">
        <v>10</v>
      </c>
      <c r="J138" s="11">
        <v>10</v>
      </c>
      <c r="K138" s="11">
        <v>15</v>
      </c>
      <c r="L138" s="11">
        <v>10</v>
      </c>
      <c r="M138" s="11">
        <v>11</v>
      </c>
      <c r="N138" s="11">
        <v>13</v>
      </c>
      <c r="O138" s="11">
        <v>35</v>
      </c>
      <c r="P138" s="11">
        <f t="shared" si="14"/>
        <v>12</v>
      </c>
      <c r="Q138" s="11">
        <f t="shared" si="14"/>
        <v>13.2</v>
      </c>
      <c r="R138" s="11">
        <f t="shared" si="14"/>
        <v>15.600000000000001</v>
      </c>
      <c r="S138" s="11">
        <f t="shared" si="12"/>
        <v>42</v>
      </c>
      <c r="T138" s="18">
        <f t="shared" si="15"/>
        <v>1.2</v>
      </c>
      <c r="U138" s="18">
        <f t="shared" si="15"/>
        <v>1.3199999999999998</v>
      </c>
      <c r="V138" s="18">
        <f t="shared" si="15"/>
        <v>1.56</v>
      </c>
      <c r="W138" s="18">
        <f t="shared" si="13"/>
        <v>2.8</v>
      </c>
    </row>
    <row r="139" spans="1:23" x14ac:dyDescent="0.3">
      <c r="A139" s="9" t="s">
        <v>231</v>
      </c>
      <c r="B139" s="10" t="s">
        <v>589</v>
      </c>
      <c r="C139" s="10" t="s">
        <v>118</v>
      </c>
      <c r="D139" s="10" t="s">
        <v>136</v>
      </c>
      <c r="E139" s="10" t="s">
        <v>704</v>
      </c>
      <c r="F139" s="10" t="s">
        <v>694</v>
      </c>
      <c r="G139" s="10" t="s">
        <v>697</v>
      </c>
      <c r="H139" s="11">
        <v>10</v>
      </c>
      <c r="I139" s="11">
        <v>10</v>
      </c>
      <c r="J139" s="11">
        <v>10</v>
      </c>
      <c r="K139" s="11">
        <v>5</v>
      </c>
      <c r="L139" s="11">
        <v>62</v>
      </c>
      <c r="M139" s="11">
        <v>4</v>
      </c>
      <c r="N139" s="11">
        <v>10</v>
      </c>
      <c r="O139" s="11">
        <v>27</v>
      </c>
      <c r="P139" s="11">
        <f t="shared" si="14"/>
        <v>74.400000000000006</v>
      </c>
      <c r="Q139" s="11">
        <f t="shared" si="14"/>
        <v>4.8</v>
      </c>
      <c r="R139" s="11">
        <f t="shared" si="14"/>
        <v>12</v>
      </c>
      <c r="S139" s="11">
        <f t="shared" si="12"/>
        <v>32.400000000000006</v>
      </c>
      <c r="T139" s="18">
        <f t="shared" si="15"/>
        <v>7.44</v>
      </c>
      <c r="U139" s="18">
        <f t="shared" si="15"/>
        <v>0.48</v>
      </c>
      <c r="V139" s="18">
        <f t="shared" si="15"/>
        <v>1.2</v>
      </c>
      <c r="W139" s="18">
        <f t="shared" si="13"/>
        <v>6.4800000000000013</v>
      </c>
    </row>
    <row r="140" spans="1:23" x14ac:dyDescent="0.3">
      <c r="A140" s="9" t="s">
        <v>179</v>
      </c>
      <c r="B140" s="10" t="s">
        <v>537</v>
      </c>
      <c r="C140" s="10" t="s">
        <v>118</v>
      </c>
      <c r="D140" s="10" t="s">
        <v>134</v>
      </c>
      <c r="E140" s="10" t="s">
        <v>704</v>
      </c>
      <c r="F140" s="10" t="s">
        <v>694</v>
      </c>
      <c r="G140" s="10" t="s">
        <v>698</v>
      </c>
      <c r="H140" s="11">
        <v>10</v>
      </c>
      <c r="I140" s="11">
        <v>15</v>
      </c>
      <c r="J140" s="11">
        <v>19</v>
      </c>
      <c r="K140" s="11">
        <v>19</v>
      </c>
      <c r="L140" s="11">
        <v>17</v>
      </c>
      <c r="M140" s="11">
        <v>25</v>
      </c>
      <c r="N140" s="11">
        <v>25</v>
      </c>
      <c r="O140" s="11">
        <v>38</v>
      </c>
      <c r="P140" s="11">
        <f t="shared" si="14"/>
        <v>20.400000000000002</v>
      </c>
      <c r="Q140" s="11">
        <f t="shared" si="14"/>
        <v>30</v>
      </c>
      <c r="R140" s="11">
        <f t="shared" si="14"/>
        <v>30</v>
      </c>
      <c r="S140" s="11">
        <f t="shared" si="12"/>
        <v>45.6</v>
      </c>
      <c r="T140" s="18">
        <f t="shared" si="15"/>
        <v>2.04</v>
      </c>
      <c r="U140" s="18">
        <f t="shared" si="15"/>
        <v>2</v>
      </c>
      <c r="V140" s="18">
        <f t="shared" si="15"/>
        <v>1.5789473684210527</v>
      </c>
      <c r="W140" s="18">
        <f t="shared" si="13"/>
        <v>2.4</v>
      </c>
    </row>
    <row r="141" spans="1:23" x14ac:dyDescent="0.3">
      <c r="A141" s="9" t="s">
        <v>185</v>
      </c>
      <c r="B141" s="10" t="s">
        <v>543</v>
      </c>
      <c r="C141" s="10" t="s">
        <v>118</v>
      </c>
      <c r="D141" s="10" t="s">
        <v>134</v>
      </c>
      <c r="E141" s="10" t="s">
        <v>704</v>
      </c>
      <c r="F141" s="10" t="s">
        <v>694</v>
      </c>
      <c r="G141" s="10" t="s">
        <v>700</v>
      </c>
      <c r="H141" s="11">
        <v>15</v>
      </c>
      <c r="I141" s="11">
        <v>26</v>
      </c>
      <c r="J141" s="11">
        <v>20</v>
      </c>
      <c r="K141" s="11">
        <v>17</v>
      </c>
      <c r="L141" s="11">
        <v>10</v>
      </c>
      <c r="M141" s="11">
        <v>14</v>
      </c>
      <c r="N141" s="11">
        <v>12</v>
      </c>
      <c r="O141" s="11">
        <v>27</v>
      </c>
      <c r="P141" s="11">
        <f t="shared" si="14"/>
        <v>12</v>
      </c>
      <c r="Q141" s="11">
        <f t="shared" si="14"/>
        <v>16.8</v>
      </c>
      <c r="R141" s="11">
        <f t="shared" si="14"/>
        <v>14.399999999999999</v>
      </c>
      <c r="S141" s="11">
        <f t="shared" si="12"/>
        <v>32.400000000000006</v>
      </c>
      <c r="T141" s="18">
        <f t="shared" si="15"/>
        <v>0.8</v>
      </c>
      <c r="U141" s="18">
        <f t="shared" si="15"/>
        <v>0.64615384615384619</v>
      </c>
      <c r="V141" s="18">
        <f t="shared" si="15"/>
        <v>0.72</v>
      </c>
      <c r="W141" s="18">
        <f t="shared" si="13"/>
        <v>1.9058823529411768</v>
      </c>
    </row>
    <row r="142" spans="1:23" x14ac:dyDescent="0.3">
      <c r="A142" s="9" t="s">
        <v>186</v>
      </c>
      <c r="B142" s="10" t="s">
        <v>544</v>
      </c>
      <c r="C142" s="10" t="s">
        <v>118</v>
      </c>
      <c r="D142" s="10" t="s">
        <v>134</v>
      </c>
      <c r="E142" s="10" t="s">
        <v>704</v>
      </c>
      <c r="F142" s="10" t="s">
        <v>694</v>
      </c>
      <c r="G142" s="10" t="s">
        <v>698</v>
      </c>
      <c r="H142" s="11">
        <v>11</v>
      </c>
      <c r="I142" s="11">
        <v>24</v>
      </c>
      <c r="J142" s="11">
        <v>17</v>
      </c>
      <c r="K142" s="11">
        <v>9</v>
      </c>
      <c r="L142" s="11">
        <v>7</v>
      </c>
      <c r="M142" s="11">
        <v>18</v>
      </c>
      <c r="N142" s="11">
        <v>24</v>
      </c>
      <c r="O142" s="11">
        <v>18</v>
      </c>
      <c r="P142" s="11">
        <f t="shared" si="14"/>
        <v>8.4</v>
      </c>
      <c r="Q142" s="11">
        <f t="shared" si="14"/>
        <v>21.599999999999998</v>
      </c>
      <c r="R142" s="11">
        <f t="shared" si="14"/>
        <v>28.799999999999997</v>
      </c>
      <c r="S142" s="11">
        <f t="shared" si="12"/>
        <v>21.599999999999998</v>
      </c>
      <c r="T142" s="18">
        <f t="shared" si="15"/>
        <v>0.76363636363636367</v>
      </c>
      <c r="U142" s="18">
        <f t="shared" si="15"/>
        <v>0.89999999999999991</v>
      </c>
      <c r="V142" s="18">
        <f t="shared" si="15"/>
        <v>1.6941176470588233</v>
      </c>
      <c r="W142" s="18">
        <f t="shared" si="13"/>
        <v>2.4</v>
      </c>
    </row>
    <row r="143" spans="1:23" x14ac:dyDescent="0.3">
      <c r="A143" s="9" t="s">
        <v>178</v>
      </c>
      <c r="B143" s="10" t="s">
        <v>536</v>
      </c>
      <c r="C143" s="10" t="s">
        <v>118</v>
      </c>
      <c r="D143" s="10" t="s">
        <v>134</v>
      </c>
      <c r="E143" s="10" t="s">
        <v>704</v>
      </c>
      <c r="F143" s="10" t="s">
        <v>694</v>
      </c>
      <c r="G143" s="10" t="s">
        <v>699</v>
      </c>
      <c r="H143" s="11">
        <v>10</v>
      </c>
      <c r="I143" s="11">
        <v>31</v>
      </c>
      <c r="J143" s="11">
        <v>23</v>
      </c>
      <c r="K143" s="11">
        <v>70</v>
      </c>
      <c r="L143" s="11">
        <v>31</v>
      </c>
      <c r="M143" s="11">
        <v>31</v>
      </c>
      <c r="N143" s="11">
        <v>33</v>
      </c>
      <c r="O143" s="11">
        <v>51</v>
      </c>
      <c r="P143" s="11">
        <f t="shared" si="14"/>
        <v>37.200000000000003</v>
      </c>
      <c r="Q143" s="11">
        <f t="shared" si="14"/>
        <v>37.200000000000003</v>
      </c>
      <c r="R143" s="11">
        <f t="shared" si="14"/>
        <v>39.6</v>
      </c>
      <c r="S143" s="11">
        <f t="shared" si="12"/>
        <v>61.2</v>
      </c>
      <c r="T143" s="18">
        <f t="shared" si="15"/>
        <v>3.72</v>
      </c>
      <c r="U143" s="18">
        <f t="shared" si="15"/>
        <v>1.2000000000000002</v>
      </c>
      <c r="V143" s="18">
        <f t="shared" si="15"/>
        <v>1.7217391304347827</v>
      </c>
      <c r="W143" s="18">
        <f t="shared" si="13"/>
        <v>0.87428571428571433</v>
      </c>
    </row>
    <row r="144" spans="1:23" x14ac:dyDescent="0.3">
      <c r="A144" s="9" t="s">
        <v>188</v>
      </c>
      <c r="B144" s="10" t="s">
        <v>546</v>
      </c>
      <c r="C144" s="10" t="s">
        <v>118</v>
      </c>
      <c r="D144" s="10" t="s">
        <v>134</v>
      </c>
      <c r="E144" s="10" t="s">
        <v>704</v>
      </c>
      <c r="F144" s="10" t="s">
        <v>694</v>
      </c>
      <c r="G144" s="10" t="s">
        <v>700</v>
      </c>
      <c r="H144" s="11">
        <v>10</v>
      </c>
      <c r="I144" s="11">
        <v>10</v>
      </c>
      <c r="J144" s="11">
        <v>10</v>
      </c>
      <c r="K144" s="11">
        <v>15</v>
      </c>
      <c r="L144" s="11">
        <v>5</v>
      </c>
      <c r="M144" s="11">
        <v>6</v>
      </c>
      <c r="N144" s="11">
        <v>4</v>
      </c>
      <c r="O144" s="11">
        <v>4</v>
      </c>
      <c r="P144" s="11">
        <f t="shared" si="14"/>
        <v>6</v>
      </c>
      <c r="Q144" s="11">
        <f t="shared" si="14"/>
        <v>7.1999999999999993</v>
      </c>
      <c r="R144" s="11">
        <f t="shared" si="14"/>
        <v>4.8</v>
      </c>
      <c r="S144" s="11">
        <f t="shared" si="12"/>
        <v>4.8</v>
      </c>
      <c r="T144" s="18">
        <f t="shared" si="15"/>
        <v>0.6</v>
      </c>
      <c r="U144" s="18">
        <f t="shared" si="15"/>
        <v>0.72</v>
      </c>
      <c r="V144" s="18">
        <f t="shared" si="15"/>
        <v>0.48</v>
      </c>
      <c r="W144" s="18">
        <f t="shared" si="13"/>
        <v>0.32</v>
      </c>
    </row>
    <row r="145" spans="1:23" x14ac:dyDescent="0.3">
      <c r="A145" s="9" t="s">
        <v>177</v>
      </c>
      <c r="B145" s="10" t="s">
        <v>535</v>
      </c>
      <c r="C145" s="10" t="s">
        <v>118</v>
      </c>
      <c r="D145" s="10" t="s">
        <v>134</v>
      </c>
      <c r="E145" s="10" t="s">
        <v>704</v>
      </c>
      <c r="F145" s="10" t="s">
        <v>694</v>
      </c>
      <c r="G145" s="10" t="s">
        <v>695</v>
      </c>
      <c r="H145" s="11">
        <v>10</v>
      </c>
      <c r="I145" s="11">
        <v>14</v>
      </c>
      <c r="J145" s="11">
        <v>15</v>
      </c>
      <c r="K145" s="11">
        <v>29</v>
      </c>
      <c r="L145" s="11">
        <v>15</v>
      </c>
      <c r="M145" s="11">
        <v>7</v>
      </c>
      <c r="N145" s="11">
        <v>19</v>
      </c>
      <c r="O145" s="11">
        <v>19</v>
      </c>
      <c r="P145" s="11">
        <f t="shared" si="14"/>
        <v>18</v>
      </c>
      <c r="Q145" s="11">
        <f t="shared" si="14"/>
        <v>8.4</v>
      </c>
      <c r="R145" s="11">
        <f t="shared" si="14"/>
        <v>22.8</v>
      </c>
      <c r="S145" s="11">
        <f t="shared" si="12"/>
        <v>22.8</v>
      </c>
      <c r="T145" s="18">
        <f t="shared" si="15"/>
        <v>1.8</v>
      </c>
      <c r="U145" s="18">
        <f t="shared" si="15"/>
        <v>0.6</v>
      </c>
      <c r="V145" s="18">
        <f t="shared" si="15"/>
        <v>1.52</v>
      </c>
      <c r="W145" s="18">
        <f t="shared" si="13"/>
        <v>0.78620689655172415</v>
      </c>
    </row>
    <row r="146" spans="1:23" x14ac:dyDescent="0.3">
      <c r="A146" s="9" t="s">
        <v>228</v>
      </c>
      <c r="B146" s="10" t="s">
        <v>586</v>
      </c>
      <c r="C146" s="10" t="s">
        <v>118</v>
      </c>
      <c r="D146" s="10" t="s">
        <v>134</v>
      </c>
      <c r="E146" s="10" t="s">
        <v>704</v>
      </c>
      <c r="F146" s="10" t="s">
        <v>694</v>
      </c>
      <c r="G146" s="10" t="s">
        <v>698</v>
      </c>
      <c r="H146" s="11">
        <v>10</v>
      </c>
      <c r="I146" s="11">
        <v>10</v>
      </c>
      <c r="J146" s="11">
        <v>10</v>
      </c>
      <c r="K146" s="11">
        <v>5</v>
      </c>
      <c r="L146" s="11">
        <v>1</v>
      </c>
      <c r="M146" s="11">
        <v>6</v>
      </c>
      <c r="N146" s="11">
        <v>3</v>
      </c>
      <c r="O146" s="11">
        <v>1</v>
      </c>
      <c r="P146" s="11">
        <f t="shared" si="14"/>
        <v>1.2</v>
      </c>
      <c r="Q146" s="11">
        <f t="shared" si="14"/>
        <v>7.1999999999999993</v>
      </c>
      <c r="R146" s="11">
        <f t="shared" si="14"/>
        <v>3.5999999999999996</v>
      </c>
      <c r="S146" s="11">
        <f t="shared" si="12"/>
        <v>1.2</v>
      </c>
      <c r="T146" s="18">
        <f t="shared" si="15"/>
        <v>0.12</v>
      </c>
      <c r="U146" s="18">
        <f t="shared" si="15"/>
        <v>0.72</v>
      </c>
      <c r="V146" s="18">
        <f t="shared" si="15"/>
        <v>0.36</v>
      </c>
      <c r="W146" s="18">
        <f t="shared" si="13"/>
        <v>0.24</v>
      </c>
    </row>
    <row r="147" spans="1:23" x14ac:dyDescent="0.3">
      <c r="A147" s="9" t="s">
        <v>191</v>
      </c>
      <c r="B147" s="10" t="s">
        <v>549</v>
      </c>
      <c r="C147" s="10" t="s">
        <v>118</v>
      </c>
      <c r="D147" s="10" t="s">
        <v>128</v>
      </c>
      <c r="E147" s="10" t="s">
        <v>704</v>
      </c>
      <c r="F147" s="10" t="s">
        <v>694</v>
      </c>
      <c r="G147" s="10" t="s">
        <v>698</v>
      </c>
      <c r="H147" s="11">
        <v>10</v>
      </c>
      <c r="I147" s="11">
        <v>10</v>
      </c>
      <c r="J147" s="11">
        <v>10</v>
      </c>
      <c r="K147" s="11">
        <v>5</v>
      </c>
      <c r="L147" s="11">
        <v>4</v>
      </c>
      <c r="M147" s="11">
        <v>4</v>
      </c>
      <c r="N147" s="11">
        <v>3</v>
      </c>
      <c r="O147" s="11">
        <v>5</v>
      </c>
      <c r="P147" s="11">
        <f t="shared" si="14"/>
        <v>4.8</v>
      </c>
      <c r="Q147" s="11">
        <f t="shared" si="14"/>
        <v>4.8</v>
      </c>
      <c r="R147" s="11">
        <f t="shared" si="14"/>
        <v>3.5999999999999996</v>
      </c>
      <c r="S147" s="11">
        <f t="shared" si="12"/>
        <v>6</v>
      </c>
      <c r="T147" s="18">
        <f t="shared" si="15"/>
        <v>0.48</v>
      </c>
      <c r="U147" s="18">
        <f t="shared" si="15"/>
        <v>0.48</v>
      </c>
      <c r="V147" s="18">
        <f t="shared" si="15"/>
        <v>0.36</v>
      </c>
      <c r="W147" s="18">
        <f t="shared" si="13"/>
        <v>1.2</v>
      </c>
    </row>
    <row r="148" spans="1:23" x14ac:dyDescent="0.3">
      <c r="A148" s="9" t="s">
        <v>189</v>
      </c>
      <c r="B148" s="10" t="s">
        <v>547</v>
      </c>
      <c r="C148" s="10" t="s">
        <v>118</v>
      </c>
      <c r="D148" s="10" t="s">
        <v>136</v>
      </c>
      <c r="E148" s="10" t="s">
        <v>704</v>
      </c>
      <c r="F148" s="10" t="s">
        <v>694</v>
      </c>
      <c r="G148" s="10" t="s">
        <v>696</v>
      </c>
      <c r="H148" s="11">
        <v>10</v>
      </c>
      <c r="I148" s="11">
        <v>21</v>
      </c>
      <c r="J148" s="11">
        <v>16</v>
      </c>
      <c r="K148" s="11">
        <v>5</v>
      </c>
      <c r="L148" s="11">
        <v>7</v>
      </c>
      <c r="M148" s="11">
        <v>22</v>
      </c>
      <c r="N148" s="11">
        <v>17</v>
      </c>
      <c r="O148" s="11">
        <v>54</v>
      </c>
      <c r="P148" s="11">
        <f t="shared" si="14"/>
        <v>8.4</v>
      </c>
      <c r="Q148" s="11">
        <f t="shared" si="14"/>
        <v>26.4</v>
      </c>
      <c r="R148" s="11">
        <f t="shared" si="14"/>
        <v>20.400000000000002</v>
      </c>
      <c r="S148" s="11">
        <f t="shared" si="12"/>
        <v>64.800000000000011</v>
      </c>
      <c r="T148" s="18">
        <f t="shared" si="15"/>
        <v>0.84000000000000008</v>
      </c>
      <c r="U148" s="18">
        <f t="shared" si="15"/>
        <v>1.2571428571428571</v>
      </c>
      <c r="V148" s="18">
        <f t="shared" si="15"/>
        <v>1.2750000000000001</v>
      </c>
      <c r="W148" s="18">
        <f t="shared" si="13"/>
        <v>12.960000000000003</v>
      </c>
    </row>
    <row r="149" spans="1:23" x14ac:dyDescent="0.3">
      <c r="A149" s="9" t="s">
        <v>235</v>
      </c>
      <c r="B149" s="10" t="s">
        <v>593</v>
      </c>
      <c r="C149" s="10" t="s">
        <v>118</v>
      </c>
      <c r="D149" s="10" t="s">
        <v>136</v>
      </c>
      <c r="E149" s="10" t="s">
        <v>704</v>
      </c>
      <c r="F149" s="10" t="s">
        <v>694</v>
      </c>
      <c r="G149" s="10" t="s">
        <v>696</v>
      </c>
      <c r="H149" s="11">
        <v>10</v>
      </c>
      <c r="I149" s="11">
        <v>10</v>
      </c>
      <c r="J149" s="11">
        <v>10</v>
      </c>
      <c r="K149" s="11">
        <v>5</v>
      </c>
      <c r="L149" s="11">
        <v>7</v>
      </c>
      <c r="M149" s="11">
        <v>6</v>
      </c>
      <c r="N149" s="11">
        <v>8</v>
      </c>
      <c r="O149" s="11">
        <v>14</v>
      </c>
      <c r="P149" s="11">
        <f t="shared" si="14"/>
        <v>8.4</v>
      </c>
      <c r="Q149" s="11">
        <f t="shared" si="14"/>
        <v>7.1999999999999993</v>
      </c>
      <c r="R149" s="11">
        <f t="shared" si="14"/>
        <v>9.6</v>
      </c>
      <c r="S149" s="11">
        <f t="shared" si="12"/>
        <v>16.8</v>
      </c>
      <c r="T149" s="18">
        <f t="shared" si="15"/>
        <v>0.84000000000000008</v>
      </c>
      <c r="U149" s="18">
        <f t="shared" si="15"/>
        <v>0.72</v>
      </c>
      <c r="V149" s="18">
        <f t="shared" si="15"/>
        <v>0.96</v>
      </c>
      <c r="W149" s="18">
        <f t="shared" si="13"/>
        <v>3.3600000000000003</v>
      </c>
    </row>
    <row r="150" spans="1:23" x14ac:dyDescent="0.3">
      <c r="A150" s="9" t="s">
        <v>187</v>
      </c>
      <c r="B150" s="10" t="s">
        <v>545</v>
      </c>
      <c r="C150" s="10" t="s">
        <v>118</v>
      </c>
      <c r="D150" s="10" t="s">
        <v>136</v>
      </c>
      <c r="E150" s="10" t="s">
        <v>704</v>
      </c>
      <c r="F150" s="10" t="s">
        <v>694</v>
      </c>
      <c r="G150" s="10" t="s">
        <v>697</v>
      </c>
      <c r="H150" s="11">
        <v>10</v>
      </c>
      <c r="I150" s="11">
        <v>10</v>
      </c>
      <c r="J150" s="11">
        <v>10</v>
      </c>
      <c r="K150" s="11">
        <v>12</v>
      </c>
      <c r="L150" s="11">
        <v>2</v>
      </c>
      <c r="M150" s="11">
        <v>2</v>
      </c>
      <c r="N150" s="11">
        <v>1</v>
      </c>
      <c r="O150" s="11">
        <v>6</v>
      </c>
      <c r="P150" s="11">
        <f t="shared" si="14"/>
        <v>2.4</v>
      </c>
      <c r="Q150" s="11">
        <f t="shared" si="14"/>
        <v>2.4</v>
      </c>
      <c r="R150" s="11">
        <f t="shared" si="14"/>
        <v>1.2</v>
      </c>
      <c r="S150" s="11">
        <f t="shared" si="12"/>
        <v>7.1999999999999993</v>
      </c>
      <c r="T150" s="18">
        <f t="shared" si="15"/>
        <v>0.24</v>
      </c>
      <c r="U150" s="18">
        <f t="shared" si="15"/>
        <v>0.24</v>
      </c>
      <c r="V150" s="18">
        <f t="shared" si="15"/>
        <v>0.12</v>
      </c>
      <c r="W150" s="18">
        <f t="shared" si="13"/>
        <v>0.6</v>
      </c>
    </row>
    <row r="151" spans="1:23" x14ac:dyDescent="0.3">
      <c r="A151" s="9" t="s">
        <v>180</v>
      </c>
      <c r="B151" s="10" t="s">
        <v>538</v>
      </c>
      <c r="C151" s="10" t="s">
        <v>118</v>
      </c>
      <c r="D151" s="10" t="s">
        <v>136</v>
      </c>
      <c r="E151" s="10" t="s">
        <v>704</v>
      </c>
      <c r="F151" s="10" t="s">
        <v>694</v>
      </c>
      <c r="G151" s="10" t="s">
        <v>697</v>
      </c>
      <c r="H151" s="11">
        <v>11</v>
      </c>
      <c r="I151" s="11">
        <v>30</v>
      </c>
      <c r="J151" s="11">
        <v>14</v>
      </c>
      <c r="K151" s="11">
        <v>33</v>
      </c>
      <c r="L151" s="11">
        <v>9</v>
      </c>
      <c r="M151" s="11">
        <v>17</v>
      </c>
      <c r="N151" s="11">
        <v>23</v>
      </c>
      <c r="O151" s="11">
        <v>27</v>
      </c>
      <c r="P151" s="11">
        <f t="shared" si="14"/>
        <v>10.799999999999999</v>
      </c>
      <c r="Q151" s="11">
        <f t="shared" si="14"/>
        <v>20.400000000000002</v>
      </c>
      <c r="R151" s="11">
        <f t="shared" si="14"/>
        <v>27.6</v>
      </c>
      <c r="S151" s="11">
        <f t="shared" si="12"/>
        <v>32.400000000000006</v>
      </c>
      <c r="T151" s="18">
        <f t="shared" si="15"/>
        <v>0.9818181818181817</v>
      </c>
      <c r="U151" s="18">
        <f t="shared" si="15"/>
        <v>0.68</v>
      </c>
      <c r="V151" s="18">
        <f t="shared" si="15"/>
        <v>1.9714285714285715</v>
      </c>
      <c r="W151" s="18">
        <f t="shared" si="13"/>
        <v>0.98181818181818203</v>
      </c>
    </row>
    <row r="152" spans="1:23" x14ac:dyDescent="0.3">
      <c r="A152" s="9" t="s">
        <v>175</v>
      </c>
      <c r="B152" s="10" t="s">
        <v>533</v>
      </c>
      <c r="C152" s="10" t="s">
        <v>118</v>
      </c>
      <c r="D152" s="10" t="s">
        <v>136</v>
      </c>
      <c r="E152" s="10" t="s">
        <v>704</v>
      </c>
      <c r="F152" s="10" t="s">
        <v>694</v>
      </c>
      <c r="G152" s="10" t="s">
        <v>696</v>
      </c>
      <c r="H152" s="11">
        <v>10</v>
      </c>
      <c r="I152" s="11">
        <v>10</v>
      </c>
      <c r="J152" s="11">
        <v>10</v>
      </c>
      <c r="K152" s="11">
        <v>6</v>
      </c>
      <c r="L152" s="11">
        <v>9</v>
      </c>
      <c r="M152" s="11">
        <v>14</v>
      </c>
      <c r="N152" s="11">
        <v>22</v>
      </c>
      <c r="O152" s="11">
        <v>37</v>
      </c>
      <c r="P152" s="11">
        <f t="shared" si="14"/>
        <v>10.799999999999999</v>
      </c>
      <c r="Q152" s="11">
        <f t="shared" si="14"/>
        <v>16.8</v>
      </c>
      <c r="R152" s="11">
        <f t="shared" si="14"/>
        <v>26.4</v>
      </c>
      <c r="S152" s="11">
        <f t="shared" si="12"/>
        <v>44.4</v>
      </c>
      <c r="T152" s="18">
        <f t="shared" si="15"/>
        <v>1.0799999999999998</v>
      </c>
      <c r="U152" s="18">
        <f t="shared" si="15"/>
        <v>1.6800000000000002</v>
      </c>
      <c r="V152" s="18">
        <f t="shared" si="15"/>
        <v>2.6399999999999997</v>
      </c>
      <c r="W152" s="18">
        <f t="shared" si="13"/>
        <v>7.3999999999999995</v>
      </c>
    </row>
    <row r="153" spans="1:23" x14ac:dyDescent="0.3">
      <c r="A153" s="9" t="s">
        <v>232</v>
      </c>
      <c r="B153" s="10" t="s">
        <v>590</v>
      </c>
      <c r="C153" s="10" t="s">
        <v>118</v>
      </c>
      <c r="D153" s="10" t="s">
        <v>136</v>
      </c>
      <c r="E153" s="10" t="s">
        <v>704</v>
      </c>
      <c r="F153" s="10" t="s">
        <v>694</v>
      </c>
      <c r="G153" s="10" t="s">
        <v>696</v>
      </c>
      <c r="H153" s="11">
        <v>10</v>
      </c>
      <c r="I153" s="11">
        <v>10</v>
      </c>
      <c r="J153" s="11">
        <v>10</v>
      </c>
      <c r="K153" s="11">
        <v>35</v>
      </c>
      <c r="L153" s="11">
        <v>4</v>
      </c>
      <c r="M153" s="11">
        <v>11</v>
      </c>
      <c r="N153" s="11">
        <v>8</v>
      </c>
      <c r="O153" s="11">
        <v>20</v>
      </c>
      <c r="P153" s="11">
        <f t="shared" si="14"/>
        <v>4.8</v>
      </c>
      <c r="Q153" s="11">
        <f t="shared" si="14"/>
        <v>13.2</v>
      </c>
      <c r="R153" s="11">
        <f t="shared" si="14"/>
        <v>9.6</v>
      </c>
      <c r="S153" s="11">
        <f t="shared" si="12"/>
        <v>24</v>
      </c>
      <c r="T153" s="18">
        <f t="shared" si="15"/>
        <v>0.48</v>
      </c>
      <c r="U153" s="18">
        <f t="shared" si="15"/>
        <v>1.3199999999999998</v>
      </c>
      <c r="V153" s="18">
        <f t="shared" si="15"/>
        <v>0.96</v>
      </c>
      <c r="W153" s="18">
        <f t="shared" si="13"/>
        <v>0.68571428571428572</v>
      </c>
    </row>
    <row r="154" spans="1:23" x14ac:dyDescent="0.3">
      <c r="A154" s="9" t="s">
        <v>181</v>
      </c>
      <c r="B154" s="10" t="s">
        <v>539</v>
      </c>
      <c r="C154" s="10" t="s">
        <v>118</v>
      </c>
      <c r="D154" s="10" t="s">
        <v>136</v>
      </c>
      <c r="E154" s="10" t="s">
        <v>704</v>
      </c>
      <c r="F154" s="10" t="s">
        <v>694</v>
      </c>
      <c r="G154" s="10" t="s">
        <v>697</v>
      </c>
      <c r="H154" s="11">
        <v>10</v>
      </c>
      <c r="I154" s="11">
        <v>10</v>
      </c>
      <c r="J154" s="11">
        <v>10</v>
      </c>
      <c r="K154" s="11">
        <v>5</v>
      </c>
      <c r="L154" s="11">
        <v>10</v>
      </c>
      <c r="M154" s="11">
        <v>17</v>
      </c>
      <c r="N154" s="11">
        <v>5</v>
      </c>
      <c r="O154" s="11">
        <v>6</v>
      </c>
      <c r="P154" s="11">
        <f t="shared" si="14"/>
        <v>12</v>
      </c>
      <c r="Q154" s="11">
        <f t="shared" si="14"/>
        <v>20.400000000000002</v>
      </c>
      <c r="R154" s="11">
        <f t="shared" si="14"/>
        <v>6</v>
      </c>
      <c r="S154" s="11">
        <f t="shared" si="12"/>
        <v>7.1999999999999993</v>
      </c>
      <c r="T154" s="18">
        <f t="shared" si="15"/>
        <v>1.2</v>
      </c>
      <c r="U154" s="18">
        <f t="shared" si="15"/>
        <v>2.04</v>
      </c>
      <c r="V154" s="18">
        <f t="shared" si="15"/>
        <v>0.6</v>
      </c>
      <c r="W154" s="18">
        <f t="shared" si="13"/>
        <v>1.44</v>
      </c>
    </row>
    <row r="155" spans="1:23" x14ac:dyDescent="0.3">
      <c r="A155" s="9" t="s">
        <v>190</v>
      </c>
      <c r="B155" s="10" t="s">
        <v>548</v>
      </c>
      <c r="C155" s="10" t="s">
        <v>118</v>
      </c>
      <c r="D155" s="10" t="s">
        <v>134</v>
      </c>
      <c r="E155" s="10" t="s">
        <v>704</v>
      </c>
      <c r="F155" s="10" t="s">
        <v>694</v>
      </c>
      <c r="G155" s="10" t="s">
        <v>699</v>
      </c>
      <c r="H155" s="11">
        <v>10</v>
      </c>
      <c r="I155" s="11">
        <v>10</v>
      </c>
      <c r="J155" s="11">
        <v>10</v>
      </c>
      <c r="K155" s="11">
        <v>5</v>
      </c>
      <c r="L155" s="11">
        <v>2</v>
      </c>
      <c r="M155" s="11">
        <v>3</v>
      </c>
      <c r="N155" s="11">
        <v>6</v>
      </c>
      <c r="O155" s="11">
        <v>5</v>
      </c>
      <c r="P155" s="11">
        <f t="shared" si="14"/>
        <v>2.4</v>
      </c>
      <c r="Q155" s="11">
        <f t="shared" si="14"/>
        <v>3.5999999999999996</v>
      </c>
      <c r="R155" s="11">
        <f t="shared" si="14"/>
        <v>7.1999999999999993</v>
      </c>
      <c r="S155" s="11">
        <f t="shared" si="12"/>
        <v>6</v>
      </c>
      <c r="T155" s="18">
        <f t="shared" si="15"/>
        <v>0.24</v>
      </c>
      <c r="U155" s="18">
        <f t="shared" si="15"/>
        <v>0.36</v>
      </c>
      <c r="V155" s="18">
        <f t="shared" si="15"/>
        <v>0.72</v>
      </c>
      <c r="W155" s="18">
        <f t="shared" si="13"/>
        <v>1.2</v>
      </c>
    </row>
    <row r="156" spans="1:23" x14ac:dyDescent="0.3">
      <c r="A156" s="9" t="s">
        <v>182</v>
      </c>
      <c r="B156" s="10" t="s">
        <v>540</v>
      </c>
      <c r="C156" s="10" t="s">
        <v>118</v>
      </c>
      <c r="D156" s="10" t="s">
        <v>136</v>
      </c>
      <c r="E156" s="10" t="s">
        <v>704</v>
      </c>
      <c r="F156" s="10" t="s">
        <v>694</v>
      </c>
      <c r="G156" s="10" t="s">
        <v>697</v>
      </c>
      <c r="H156" s="11">
        <v>10</v>
      </c>
      <c r="I156" s="11">
        <v>10</v>
      </c>
      <c r="J156" s="11">
        <v>10</v>
      </c>
      <c r="K156" s="11">
        <v>15</v>
      </c>
      <c r="L156" s="11">
        <v>2</v>
      </c>
      <c r="M156" s="11">
        <v>4</v>
      </c>
      <c r="N156" s="11">
        <v>10</v>
      </c>
      <c r="O156" s="11">
        <v>15</v>
      </c>
      <c r="P156" s="11">
        <f t="shared" si="14"/>
        <v>2.4</v>
      </c>
      <c r="Q156" s="11">
        <f t="shared" si="14"/>
        <v>4.8</v>
      </c>
      <c r="R156" s="11">
        <f t="shared" si="14"/>
        <v>12</v>
      </c>
      <c r="S156" s="11">
        <f t="shared" si="12"/>
        <v>18</v>
      </c>
      <c r="T156" s="18">
        <f t="shared" si="15"/>
        <v>0.24</v>
      </c>
      <c r="U156" s="18">
        <f t="shared" si="15"/>
        <v>0.48</v>
      </c>
      <c r="V156" s="18">
        <f t="shared" si="15"/>
        <v>1.2</v>
      </c>
      <c r="W156" s="18">
        <f t="shared" si="13"/>
        <v>1.2</v>
      </c>
    </row>
    <row r="157" spans="1:23" x14ac:dyDescent="0.3">
      <c r="A157" s="9" t="s">
        <v>223</v>
      </c>
      <c r="B157" s="10" t="s">
        <v>581</v>
      </c>
      <c r="C157" s="10" t="s">
        <v>118</v>
      </c>
      <c r="D157" s="10" t="s">
        <v>136</v>
      </c>
      <c r="E157" s="10" t="s">
        <v>704</v>
      </c>
      <c r="F157" s="10" t="s">
        <v>694</v>
      </c>
      <c r="G157" s="10" t="s">
        <v>697</v>
      </c>
      <c r="H157" s="11">
        <v>10</v>
      </c>
      <c r="I157" s="11">
        <v>10</v>
      </c>
      <c r="J157" s="11">
        <v>10</v>
      </c>
      <c r="K157" s="11">
        <v>9</v>
      </c>
      <c r="L157" s="11">
        <v>2</v>
      </c>
      <c r="M157" s="11">
        <v>0</v>
      </c>
      <c r="N157" s="11">
        <v>2</v>
      </c>
      <c r="O157" s="11">
        <v>2</v>
      </c>
      <c r="P157" s="11">
        <f t="shared" si="14"/>
        <v>2.4</v>
      </c>
      <c r="Q157" s="11">
        <f t="shared" si="14"/>
        <v>0</v>
      </c>
      <c r="R157" s="11">
        <f t="shared" si="14"/>
        <v>2.4</v>
      </c>
      <c r="S157" s="11">
        <f t="shared" si="12"/>
        <v>2.4</v>
      </c>
      <c r="T157" s="18">
        <f t="shared" si="15"/>
        <v>0.24</v>
      </c>
      <c r="U157" s="18">
        <f t="shared" si="15"/>
        <v>0</v>
      </c>
      <c r="V157" s="18">
        <f t="shared" si="15"/>
        <v>0.24</v>
      </c>
      <c r="W157" s="18">
        <f t="shared" si="13"/>
        <v>0.26666666666666666</v>
      </c>
    </row>
    <row r="158" spans="1:23" x14ac:dyDescent="0.3">
      <c r="A158" s="5" t="s">
        <v>24</v>
      </c>
      <c r="B158" s="8"/>
      <c r="C158" s="8"/>
      <c r="D158" s="8"/>
      <c r="E158" s="8"/>
      <c r="F158" s="8"/>
      <c r="G158" s="8"/>
      <c r="H158" s="13">
        <f>SUM(H5:H157)</f>
        <v>1199</v>
      </c>
      <c r="I158" s="13">
        <f t="shared" ref="I158:S158" si="16">SUM(I5:I157)</f>
        <v>1198</v>
      </c>
      <c r="J158" s="13">
        <f t="shared" si="16"/>
        <v>1354</v>
      </c>
      <c r="K158" s="13">
        <f t="shared" si="16"/>
        <v>1063</v>
      </c>
      <c r="L158" s="13">
        <f t="shared" si="16"/>
        <v>823</v>
      </c>
      <c r="M158" s="13">
        <f t="shared" si="16"/>
        <v>745</v>
      </c>
      <c r="N158" s="13">
        <f t="shared" si="16"/>
        <v>732</v>
      </c>
      <c r="O158" s="13">
        <f t="shared" si="16"/>
        <v>1091</v>
      </c>
      <c r="P158" s="13">
        <f t="shared" si="16"/>
        <v>987.5999999999998</v>
      </c>
      <c r="Q158" s="13">
        <f t="shared" si="16"/>
        <v>894</v>
      </c>
      <c r="R158" s="13">
        <f t="shared" si="16"/>
        <v>878.39999999999964</v>
      </c>
      <c r="S158" s="13">
        <f t="shared" si="16"/>
        <v>1309.1999999999998</v>
      </c>
      <c r="T158" s="14">
        <f t="shared" si="15"/>
        <v>0.82368640533778137</v>
      </c>
      <c r="U158" s="14">
        <f t="shared" si="15"/>
        <v>0.74624373956594325</v>
      </c>
      <c r="V158" s="14">
        <f t="shared" si="15"/>
        <v>0.64874446085672055</v>
      </c>
      <c r="W158" s="14">
        <f t="shared" si="13"/>
        <v>1.2316086547507055</v>
      </c>
    </row>
    <row r="171" spans="1:42" s="16" customFormat="1" ht="23.35" customHeight="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</sheetData>
  <autoFilter ref="A4:W158" xr:uid="{60EBAEF1-B3ED-49C0-9A75-083393D4FE3D}"/>
  <mergeCells count="2">
    <mergeCell ref="A3:W3"/>
    <mergeCell ref="Z3:AP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3A3E-0B34-4D49-8824-F984CE9CA391}">
  <dimension ref="A1:T208"/>
  <sheetViews>
    <sheetView showGridLines="0" zoomScale="70" workbookViewId="0">
      <pane ySplit="4" topLeftCell="A5" activePane="bottomLeft" state="frozen"/>
      <selection activeCell="K133" sqref="K133"/>
      <selection pane="bottomLeft" activeCell="K133" sqref="K133"/>
    </sheetView>
  </sheetViews>
  <sheetFormatPr defaultRowHeight="15.05" x14ac:dyDescent="0.3"/>
  <cols>
    <col min="1" max="1" width="11.5546875" bestFit="1" customWidth="1"/>
    <col min="2" max="2" width="38.77734375" bestFit="1" customWidth="1"/>
    <col min="3" max="3" width="15.109375" bestFit="1" customWidth="1"/>
    <col min="4" max="4" width="23" bestFit="1" customWidth="1"/>
    <col min="5" max="6" width="23" customWidth="1"/>
    <col min="7" max="7" width="19.44140625" bestFit="1" customWidth="1"/>
    <col min="8" max="8" width="19.44140625" customWidth="1"/>
    <col min="9" max="11" width="16" customWidth="1"/>
    <col min="12" max="12" width="19.44140625" customWidth="1"/>
    <col min="15" max="15" width="25.44140625" customWidth="1"/>
    <col min="16" max="20" width="19.77734375" customWidth="1"/>
  </cols>
  <sheetData>
    <row r="1" spans="1:20" x14ac:dyDescent="0.3">
      <c r="A1" s="1">
        <v>14</v>
      </c>
      <c r="B1" s="1">
        <v>46</v>
      </c>
      <c r="C1" t="s">
        <v>382</v>
      </c>
      <c r="G1" s="16"/>
      <c r="H1" s="16"/>
      <c r="I1" s="16"/>
      <c r="J1" s="16"/>
      <c r="K1" s="16"/>
      <c r="L1" s="16"/>
    </row>
    <row r="2" spans="1:20" x14ac:dyDescent="0.3">
      <c r="A2" s="1">
        <v>29</v>
      </c>
      <c r="B2" s="17"/>
    </row>
    <row r="3" spans="1:20" s="4" customFormat="1" ht="23.5" customHeight="1" x14ac:dyDescent="0.3">
      <c r="A3" s="2" t="str">
        <f>"REDMI NOTE 17 (16 - "&amp;A2&amp;" SEPTEMBER 2026)"</f>
        <v>REDMI NOTE 17 (16 - 29 SEPTEMBER 2026)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O3" s="2" t="str">
        <f>A3</f>
        <v>REDMI NOTE 17 (16 - 29 SEPTEMBER 2026)</v>
      </c>
      <c r="P3" s="2"/>
      <c r="Q3" s="2"/>
      <c r="R3" s="2"/>
      <c r="S3" s="2"/>
      <c r="T3" s="2"/>
    </row>
    <row r="4" spans="1:20" s="4" customFormat="1" ht="23.5" customHeight="1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8</v>
      </c>
      <c r="I4" s="8" t="s">
        <v>9</v>
      </c>
      <c r="J4" s="8" t="s">
        <v>10</v>
      </c>
      <c r="K4" s="8" t="s">
        <v>383</v>
      </c>
      <c r="L4" s="8" t="s">
        <v>11</v>
      </c>
      <c r="O4" s="8" t="s">
        <v>2</v>
      </c>
      <c r="P4" s="8" t="s">
        <v>8</v>
      </c>
      <c r="Q4" s="8" t="s">
        <v>9</v>
      </c>
      <c r="R4" s="8" t="s">
        <v>10</v>
      </c>
      <c r="S4" s="8" t="s">
        <v>383</v>
      </c>
      <c r="T4" s="8" t="s">
        <v>11</v>
      </c>
    </row>
    <row r="5" spans="1:20" x14ac:dyDescent="0.3">
      <c r="A5" s="9" t="s">
        <v>170</v>
      </c>
      <c r="B5" s="10" t="s">
        <v>528</v>
      </c>
      <c r="C5" s="10" t="s">
        <v>118</v>
      </c>
      <c r="D5" s="10" t="s">
        <v>123</v>
      </c>
      <c r="E5" s="10" t="s">
        <v>703</v>
      </c>
      <c r="F5" s="10" t="s">
        <v>694</v>
      </c>
      <c r="G5" s="10" t="s">
        <v>696</v>
      </c>
      <c r="H5" s="11">
        <v>99</v>
      </c>
      <c r="I5" s="11">
        <v>40</v>
      </c>
      <c r="J5" s="11">
        <f>IFERROR((I5/$A$1*$B$1),0)</f>
        <v>131.42857142857144</v>
      </c>
      <c r="K5" s="12">
        <f>IFERROR((I5/H5),0)</f>
        <v>0.40404040404040403</v>
      </c>
      <c r="L5" s="12">
        <f>IFERROR((J5/H5),0)</f>
        <v>1.3275613275613278</v>
      </c>
      <c r="O5" s="10" t="s">
        <v>20</v>
      </c>
      <c r="P5" s="11">
        <f t="shared" ref="P5:R7" si="0">SUMIF($C:$C,$O5,H:H)</f>
        <v>931</v>
      </c>
      <c r="Q5" s="11">
        <f t="shared" si="0"/>
        <v>374</v>
      </c>
      <c r="R5" s="11">
        <f t="shared" si="0"/>
        <v>1228.8571428571429</v>
      </c>
      <c r="S5" s="12">
        <f>IFERROR((Q5/P5),0)</f>
        <v>0.40171858216971001</v>
      </c>
      <c r="T5" s="12">
        <f>IFERROR((R5/P5),0)</f>
        <v>1.3199324842719042</v>
      </c>
    </row>
    <row r="6" spans="1:20" x14ac:dyDescent="0.3">
      <c r="A6" s="9" t="s">
        <v>168</v>
      </c>
      <c r="B6" s="10" t="s">
        <v>526</v>
      </c>
      <c r="C6" s="10" t="s">
        <v>118</v>
      </c>
      <c r="D6" s="10" t="s">
        <v>123</v>
      </c>
      <c r="E6" s="10" t="s">
        <v>703</v>
      </c>
      <c r="F6" s="10" t="s">
        <v>694</v>
      </c>
      <c r="G6" s="10" t="s">
        <v>696</v>
      </c>
      <c r="H6" s="11">
        <v>100</v>
      </c>
      <c r="I6" s="11">
        <v>19</v>
      </c>
      <c r="J6" s="11">
        <f t="shared" ref="J6:J87" si="1">IFERROR((I6/$A$1*$B$1),0)</f>
        <v>62.428571428571431</v>
      </c>
      <c r="K6" s="12">
        <f t="shared" ref="K6:K69" si="2">IFERROR((I6/H6),0)</f>
        <v>0.19</v>
      </c>
      <c r="L6" s="12">
        <f t="shared" ref="L6:L69" si="3">IFERROR((J6/H6),0)</f>
        <v>0.62428571428571433</v>
      </c>
      <c r="O6" s="10" t="s">
        <v>22</v>
      </c>
      <c r="P6" s="11">
        <f t="shared" si="0"/>
        <v>1704</v>
      </c>
      <c r="Q6" s="11">
        <f t="shared" si="0"/>
        <v>513</v>
      </c>
      <c r="R6" s="11">
        <f t="shared" si="0"/>
        <v>1685.5714285714282</v>
      </c>
      <c r="S6" s="12">
        <f t="shared" ref="S6:S8" si="4">IFERROR((Q6/P6),0)</f>
        <v>0.301056338028169</v>
      </c>
      <c r="T6" s="12">
        <f t="shared" ref="T6:T8" si="5">IFERROR((R6/P6),0)</f>
        <v>0.98918511066398374</v>
      </c>
    </row>
    <row r="7" spans="1:20" x14ac:dyDescent="0.3">
      <c r="A7" s="9" t="s">
        <v>171</v>
      </c>
      <c r="B7" s="10" t="s">
        <v>529</v>
      </c>
      <c r="C7" s="10" t="s">
        <v>118</v>
      </c>
      <c r="D7" s="10" t="s">
        <v>138</v>
      </c>
      <c r="E7" s="10" t="s">
        <v>703</v>
      </c>
      <c r="F7" s="10" t="s">
        <v>694</v>
      </c>
      <c r="G7" s="10" t="s">
        <v>699</v>
      </c>
      <c r="H7" s="11">
        <v>99</v>
      </c>
      <c r="I7" s="11">
        <v>14</v>
      </c>
      <c r="J7" s="11">
        <f t="shared" si="1"/>
        <v>46</v>
      </c>
      <c r="K7" s="12">
        <f t="shared" si="2"/>
        <v>0.14141414141414141</v>
      </c>
      <c r="L7" s="12">
        <f t="shared" si="3"/>
        <v>0.46464646464646464</v>
      </c>
      <c r="O7" s="10" t="s">
        <v>118</v>
      </c>
      <c r="P7" s="11">
        <f t="shared" si="0"/>
        <v>1208</v>
      </c>
      <c r="Q7" s="11">
        <f t="shared" si="0"/>
        <v>388</v>
      </c>
      <c r="R7" s="11">
        <f t="shared" si="0"/>
        <v>1274.8571428571427</v>
      </c>
      <c r="S7" s="12">
        <f t="shared" si="4"/>
        <v>0.32119205298013243</v>
      </c>
      <c r="T7" s="12">
        <f t="shared" si="5"/>
        <v>1.0553453169347207</v>
      </c>
    </row>
    <row r="8" spans="1:20" x14ac:dyDescent="0.3">
      <c r="A8" s="9" t="s">
        <v>166</v>
      </c>
      <c r="B8" s="10" t="s">
        <v>524</v>
      </c>
      <c r="C8" s="10" t="s">
        <v>118</v>
      </c>
      <c r="D8" s="10" t="s">
        <v>138</v>
      </c>
      <c r="E8" s="10" t="s">
        <v>703</v>
      </c>
      <c r="F8" s="10" t="s">
        <v>694</v>
      </c>
      <c r="G8" s="10" t="s">
        <v>698</v>
      </c>
      <c r="H8" s="11">
        <v>109</v>
      </c>
      <c r="I8" s="11">
        <v>29</v>
      </c>
      <c r="J8" s="11">
        <f t="shared" si="1"/>
        <v>95.285714285714292</v>
      </c>
      <c r="K8" s="12">
        <f t="shared" si="2"/>
        <v>0.26605504587155965</v>
      </c>
      <c r="L8" s="12">
        <f t="shared" si="3"/>
        <v>0.87418086500655312</v>
      </c>
      <c r="O8" s="5" t="s">
        <v>67</v>
      </c>
      <c r="P8" s="13">
        <f>SUM(P5:P7)</f>
        <v>3843</v>
      </c>
      <c r="Q8" s="13">
        <f t="shared" ref="Q8:R8" si="6">SUM(Q5:Q7)</f>
        <v>1275</v>
      </c>
      <c r="R8" s="13">
        <f t="shared" si="6"/>
        <v>4189.2857142857138</v>
      </c>
      <c r="S8" s="14">
        <f t="shared" si="4"/>
        <v>0.33177205308352847</v>
      </c>
      <c r="T8" s="14">
        <f t="shared" si="5"/>
        <v>1.0901081744173078</v>
      </c>
    </row>
    <row r="9" spans="1:20" x14ac:dyDescent="0.3">
      <c r="A9" s="9" t="s">
        <v>169</v>
      </c>
      <c r="B9" s="10" t="s">
        <v>527</v>
      </c>
      <c r="C9" s="10" t="s">
        <v>118</v>
      </c>
      <c r="D9" s="10" t="s">
        <v>138</v>
      </c>
      <c r="E9" s="10" t="s">
        <v>703</v>
      </c>
      <c r="F9" s="10" t="s">
        <v>694</v>
      </c>
      <c r="G9" s="10" t="s">
        <v>699</v>
      </c>
      <c r="H9" s="11">
        <v>117</v>
      </c>
      <c r="I9" s="11">
        <v>40</v>
      </c>
      <c r="J9" s="11">
        <f t="shared" si="1"/>
        <v>131.42857142857144</v>
      </c>
      <c r="K9" s="12">
        <f t="shared" si="2"/>
        <v>0.34188034188034189</v>
      </c>
      <c r="L9" s="12">
        <f t="shared" si="3"/>
        <v>1.1233211233211235</v>
      </c>
    </row>
    <row r="10" spans="1:20" x14ac:dyDescent="0.3">
      <c r="A10" s="9" t="s">
        <v>165</v>
      </c>
      <c r="B10" s="10" t="s">
        <v>523</v>
      </c>
      <c r="C10" s="10" t="s">
        <v>118</v>
      </c>
      <c r="D10" s="10" t="s">
        <v>138</v>
      </c>
      <c r="E10" s="10" t="s">
        <v>703</v>
      </c>
      <c r="F10" s="10" t="s">
        <v>694</v>
      </c>
      <c r="G10" s="10" t="s">
        <v>698</v>
      </c>
      <c r="H10" s="11">
        <v>97</v>
      </c>
      <c r="I10" s="11">
        <v>40</v>
      </c>
      <c r="J10" s="11">
        <f t="shared" si="1"/>
        <v>131.42857142857144</v>
      </c>
      <c r="K10" s="12">
        <f t="shared" si="2"/>
        <v>0.41237113402061853</v>
      </c>
      <c r="L10" s="12">
        <f t="shared" si="3"/>
        <v>1.3549337260677468</v>
      </c>
      <c r="O10" s="8" t="s">
        <v>3</v>
      </c>
      <c r="P10" s="8" t="s">
        <v>8</v>
      </c>
      <c r="Q10" s="8" t="s">
        <v>9</v>
      </c>
      <c r="R10" s="8" t="s">
        <v>10</v>
      </c>
      <c r="S10" s="8" t="s">
        <v>383</v>
      </c>
      <c r="T10" s="8" t="s">
        <v>11</v>
      </c>
    </row>
    <row r="11" spans="1:20" x14ac:dyDescent="0.3">
      <c r="A11" s="9" t="s">
        <v>167</v>
      </c>
      <c r="B11" s="10" t="s">
        <v>525</v>
      </c>
      <c r="C11" s="10" t="s">
        <v>118</v>
      </c>
      <c r="D11" s="10" t="s">
        <v>138</v>
      </c>
      <c r="E11" s="10" t="s">
        <v>703</v>
      </c>
      <c r="F11" s="10" t="s">
        <v>694</v>
      </c>
      <c r="G11" s="10" t="s">
        <v>700</v>
      </c>
      <c r="H11" s="11">
        <v>105</v>
      </c>
      <c r="I11" s="11">
        <v>30</v>
      </c>
      <c r="J11" s="11">
        <f t="shared" si="1"/>
        <v>98.571428571428569</v>
      </c>
      <c r="K11" s="12">
        <f t="shared" si="2"/>
        <v>0.2857142857142857</v>
      </c>
      <c r="L11" s="12">
        <f t="shared" si="3"/>
        <v>0.93877551020408156</v>
      </c>
      <c r="O11" s="10" t="s">
        <v>28</v>
      </c>
      <c r="P11" s="11">
        <f t="shared" ref="P11:R23" si="7">SUMIF($D:$D,$O11,H:H)</f>
        <v>376</v>
      </c>
      <c r="Q11" s="11">
        <f t="shared" si="7"/>
        <v>104</v>
      </c>
      <c r="R11" s="11">
        <f t="shared" si="7"/>
        <v>341.71428571428578</v>
      </c>
      <c r="S11" s="12">
        <f t="shared" ref="S11:S24" si="8">IFERROR((Q11/P11),0)</f>
        <v>0.27659574468085107</v>
      </c>
      <c r="T11" s="12">
        <f t="shared" ref="T11:T24" si="9">IFERROR((R11/P11),0)</f>
        <v>0.90881458966565365</v>
      </c>
    </row>
    <row r="12" spans="1:20" x14ac:dyDescent="0.3">
      <c r="A12" s="9" t="s">
        <v>173</v>
      </c>
      <c r="B12" s="10" t="s">
        <v>531</v>
      </c>
      <c r="C12" s="10" t="s">
        <v>118</v>
      </c>
      <c r="D12" s="10" t="s">
        <v>138</v>
      </c>
      <c r="E12" s="10" t="s">
        <v>703</v>
      </c>
      <c r="F12" s="10" t="s">
        <v>694</v>
      </c>
      <c r="G12" s="10" t="s">
        <v>698</v>
      </c>
      <c r="H12" s="11">
        <v>153</v>
      </c>
      <c r="I12" s="11">
        <v>39</v>
      </c>
      <c r="J12" s="11">
        <f t="shared" si="1"/>
        <v>128.14285714285714</v>
      </c>
      <c r="K12" s="12">
        <f t="shared" si="2"/>
        <v>0.25490196078431371</v>
      </c>
      <c r="L12" s="12">
        <f t="shared" si="3"/>
        <v>0.83753501400560226</v>
      </c>
      <c r="O12" s="10" t="s">
        <v>48</v>
      </c>
      <c r="P12" s="11">
        <f t="shared" si="7"/>
        <v>244</v>
      </c>
      <c r="Q12" s="11">
        <f t="shared" si="7"/>
        <v>86</v>
      </c>
      <c r="R12" s="11">
        <f t="shared" si="7"/>
        <v>282.57142857142856</v>
      </c>
      <c r="S12" s="12">
        <f t="shared" si="8"/>
        <v>0.35245901639344263</v>
      </c>
      <c r="T12" s="12">
        <f t="shared" si="9"/>
        <v>1.1580796252927399</v>
      </c>
    </row>
    <row r="13" spans="1:20" x14ac:dyDescent="0.3">
      <c r="A13" s="9" t="s">
        <v>172</v>
      </c>
      <c r="B13" s="10" t="s">
        <v>530</v>
      </c>
      <c r="C13" s="10" t="s">
        <v>118</v>
      </c>
      <c r="D13" s="10" t="s">
        <v>138</v>
      </c>
      <c r="E13" s="10" t="s">
        <v>703</v>
      </c>
      <c r="F13" s="10" t="s">
        <v>694</v>
      </c>
      <c r="G13" s="10" t="s">
        <v>695</v>
      </c>
      <c r="H13" s="11">
        <v>151</v>
      </c>
      <c r="I13" s="11">
        <v>40</v>
      </c>
      <c r="J13" s="11">
        <f t="shared" si="1"/>
        <v>131.42857142857144</v>
      </c>
      <c r="K13" s="12">
        <f t="shared" si="2"/>
        <v>0.26490066225165565</v>
      </c>
      <c r="L13" s="12">
        <f t="shared" si="3"/>
        <v>0.87038789025544006</v>
      </c>
      <c r="O13" s="10" t="s">
        <v>42</v>
      </c>
      <c r="P13" s="11">
        <f t="shared" si="7"/>
        <v>289</v>
      </c>
      <c r="Q13" s="11">
        <f t="shared" si="7"/>
        <v>95</v>
      </c>
      <c r="R13" s="11">
        <f t="shared" si="7"/>
        <v>312.14285714285705</v>
      </c>
      <c r="S13" s="12">
        <f t="shared" si="8"/>
        <v>0.32871972318339099</v>
      </c>
      <c r="T13" s="12">
        <f t="shared" si="9"/>
        <v>1.0800790904597131</v>
      </c>
    </row>
    <row r="14" spans="1:20" x14ac:dyDescent="0.3">
      <c r="A14" s="9" t="s">
        <v>174</v>
      </c>
      <c r="B14" s="10" t="s">
        <v>532</v>
      </c>
      <c r="C14" s="10" t="s">
        <v>118</v>
      </c>
      <c r="D14" s="10" t="s">
        <v>138</v>
      </c>
      <c r="E14" s="10" t="s">
        <v>703</v>
      </c>
      <c r="F14" s="10" t="s">
        <v>694</v>
      </c>
      <c r="G14" s="10" t="s">
        <v>698</v>
      </c>
      <c r="H14" s="11">
        <v>91</v>
      </c>
      <c r="I14" s="11">
        <v>21</v>
      </c>
      <c r="J14" s="11">
        <f t="shared" si="1"/>
        <v>69</v>
      </c>
      <c r="K14" s="12">
        <f t="shared" si="2"/>
        <v>0.23076923076923078</v>
      </c>
      <c r="L14" s="12">
        <f t="shared" si="3"/>
        <v>0.75824175824175821</v>
      </c>
      <c r="O14" s="10" t="s">
        <v>38</v>
      </c>
      <c r="P14" s="11">
        <f t="shared" si="7"/>
        <v>197</v>
      </c>
      <c r="Q14" s="11">
        <f t="shared" si="7"/>
        <v>104</v>
      </c>
      <c r="R14" s="11">
        <f t="shared" si="7"/>
        <v>341.71428571428567</v>
      </c>
      <c r="S14" s="12">
        <f t="shared" si="8"/>
        <v>0.52791878172588835</v>
      </c>
      <c r="T14" s="12">
        <f t="shared" si="9"/>
        <v>1.7345902828136328</v>
      </c>
    </row>
    <row r="15" spans="1:20" x14ac:dyDescent="0.3">
      <c r="A15" s="9" t="s">
        <v>229</v>
      </c>
      <c r="B15" s="10" t="s">
        <v>587</v>
      </c>
      <c r="C15" s="10" t="s">
        <v>118</v>
      </c>
      <c r="D15" s="10" t="s">
        <v>123</v>
      </c>
      <c r="E15" s="10" t="s">
        <v>703</v>
      </c>
      <c r="F15" s="10" t="s">
        <v>694</v>
      </c>
      <c r="G15" s="10" t="s">
        <v>696</v>
      </c>
      <c r="H15" s="11">
        <v>18</v>
      </c>
      <c r="I15" s="11">
        <v>12</v>
      </c>
      <c r="J15" s="11">
        <f t="shared" si="1"/>
        <v>39.428571428571423</v>
      </c>
      <c r="K15" s="12">
        <f t="shared" si="2"/>
        <v>0.66666666666666663</v>
      </c>
      <c r="L15" s="12">
        <f t="shared" si="3"/>
        <v>2.1904761904761902</v>
      </c>
      <c r="O15" s="10" t="s">
        <v>32</v>
      </c>
      <c r="P15" s="11">
        <f t="shared" si="7"/>
        <v>217</v>
      </c>
      <c r="Q15" s="11">
        <f t="shared" si="7"/>
        <v>96</v>
      </c>
      <c r="R15" s="11">
        <f t="shared" si="7"/>
        <v>315.42857142857144</v>
      </c>
      <c r="S15" s="12">
        <f t="shared" si="8"/>
        <v>0.44239631336405533</v>
      </c>
      <c r="T15" s="12">
        <f t="shared" si="9"/>
        <v>1.4535878867676104</v>
      </c>
    </row>
    <row r="16" spans="1:20" x14ac:dyDescent="0.3">
      <c r="A16" s="9" t="s">
        <v>230</v>
      </c>
      <c r="B16" s="10" t="s">
        <v>588</v>
      </c>
      <c r="C16" s="10" t="s">
        <v>118</v>
      </c>
      <c r="D16" s="10" t="s">
        <v>138</v>
      </c>
      <c r="E16" s="10" t="s">
        <v>703</v>
      </c>
      <c r="F16" s="10" t="s">
        <v>694</v>
      </c>
      <c r="G16" s="10" t="s">
        <v>699</v>
      </c>
      <c r="H16" s="11">
        <v>42</v>
      </c>
      <c r="I16" s="11">
        <v>13</v>
      </c>
      <c r="J16" s="11">
        <f t="shared" si="1"/>
        <v>42.714285714285715</v>
      </c>
      <c r="K16" s="12">
        <f t="shared" si="2"/>
        <v>0.30952380952380953</v>
      </c>
      <c r="L16" s="12">
        <f t="shared" si="3"/>
        <v>1.0170068027210886</v>
      </c>
      <c r="O16" s="10" t="s">
        <v>36</v>
      </c>
      <c r="P16" s="11">
        <f t="shared" si="7"/>
        <v>171</v>
      </c>
      <c r="Q16" s="11">
        <f t="shared" si="7"/>
        <v>78</v>
      </c>
      <c r="R16" s="11">
        <f t="shared" si="7"/>
        <v>256.28571428571428</v>
      </c>
      <c r="S16" s="12">
        <f t="shared" si="8"/>
        <v>0.45614035087719296</v>
      </c>
      <c r="T16" s="12">
        <f t="shared" si="9"/>
        <v>1.4987468671679198</v>
      </c>
    </row>
    <row r="17" spans="1:20" x14ac:dyDescent="0.3">
      <c r="A17" s="9" t="s">
        <v>242</v>
      </c>
      <c r="B17" s="10" t="s">
        <v>598</v>
      </c>
      <c r="C17" s="10" t="s">
        <v>118</v>
      </c>
      <c r="D17" s="10" t="s">
        <v>123</v>
      </c>
      <c r="E17" s="10" t="s">
        <v>703</v>
      </c>
      <c r="F17" s="10" t="s">
        <v>694</v>
      </c>
      <c r="G17" s="10" t="s">
        <v>696</v>
      </c>
      <c r="H17" s="11">
        <v>2</v>
      </c>
      <c r="I17" s="11">
        <v>13</v>
      </c>
      <c r="J17" s="11">
        <f t="shared" si="1"/>
        <v>42.714285714285715</v>
      </c>
      <c r="K17" s="12">
        <f t="shared" si="2"/>
        <v>6.5</v>
      </c>
      <c r="L17" s="12">
        <f t="shared" si="3"/>
        <v>21.357142857142858</v>
      </c>
      <c r="O17" s="10" t="s">
        <v>34</v>
      </c>
      <c r="P17" s="11">
        <f t="shared" si="7"/>
        <v>111</v>
      </c>
      <c r="Q17" s="11">
        <f t="shared" si="7"/>
        <v>22</v>
      </c>
      <c r="R17" s="11">
        <f t="shared" si="7"/>
        <v>72.285714285714292</v>
      </c>
      <c r="S17" s="12">
        <f t="shared" si="8"/>
        <v>0.1981981981981982</v>
      </c>
      <c r="T17" s="12">
        <f t="shared" si="9"/>
        <v>0.65122265122265133</v>
      </c>
    </row>
    <row r="18" spans="1:20" x14ac:dyDescent="0.3">
      <c r="A18" s="9" t="s">
        <v>236</v>
      </c>
      <c r="B18" s="10" t="s">
        <v>594</v>
      </c>
      <c r="C18" s="10" t="s">
        <v>118</v>
      </c>
      <c r="D18" s="10" t="s">
        <v>138</v>
      </c>
      <c r="E18" s="10" t="s">
        <v>703</v>
      </c>
      <c r="F18" s="10" t="s">
        <v>694</v>
      </c>
      <c r="G18" s="10" t="s">
        <v>698</v>
      </c>
      <c r="H18" s="11">
        <v>5</v>
      </c>
      <c r="I18" s="11">
        <v>5</v>
      </c>
      <c r="J18" s="11">
        <f t="shared" si="1"/>
        <v>16.428571428571431</v>
      </c>
      <c r="K18" s="12">
        <f t="shared" si="2"/>
        <v>1</v>
      </c>
      <c r="L18" s="12">
        <f t="shared" si="3"/>
        <v>3.285714285714286</v>
      </c>
      <c r="O18" s="10" t="s">
        <v>46</v>
      </c>
      <c r="P18" s="11">
        <f t="shared" si="7"/>
        <v>214</v>
      </c>
      <c r="Q18" s="11">
        <f t="shared" si="7"/>
        <v>55</v>
      </c>
      <c r="R18" s="11">
        <f t="shared" si="7"/>
        <v>180.71428571428572</v>
      </c>
      <c r="S18" s="12">
        <f t="shared" si="8"/>
        <v>0.2570093457943925</v>
      </c>
      <c r="T18" s="12">
        <f t="shared" si="9"/>
        <v>0.84445927903871831</v>
      </c>
    </row>
    <row r="19" spans="1:20" x14ac:dyDescent="0.3">
      <c r="A19" s="9" t="s">
        <v>402</v>
      </c>
      <c r="B19" s="10" t="s">
        <v>692</v>
      </c>
      <c r="C19" s="10" t="s">
        <v>118</v>
      </c>
      <c r="D19" s="10" t="s">
        <v>123</v>
      </c>
      <c r="E19" s="10" t="s">
        <v>703</v>
      </c>
      <c r="F19" s="10" t="s">
        <v>694</v>
      </c>
      <c r="G19" s="10" t="s">
        <v>697</v>
      </c>
      <c r="H19" s="11">
        <v>4</v>
      </c>
      <c r="I19" s="11">
        <v>1</v>
      </c>
      <c r="J19" s="11">
        <f t="shared" si="1"/>
        <v>3.2857142857142856</v>
      </c>
      <c r="K19" s="12">
        <f t="shared" si="2"/>
        <v>0.25</v>
      </c>
      <c r="L19" s="12">
        <f t="shared" si="3"/>
        <v>0.8214285714285714</v>
      </c>
      <c r="O19" s="10" t="s">
        <v>40</v>
      </c>
      <c r="P19" s="11">
        <f t="shared" si="7"/>
        <v>378</v>
      </c>
      <c r="Q19" s="11">
        <f t="shared" si="7"/>
        <v>109</v>
      </c>
      <c r="R19" s="11">
        <f t="shared" si="7"/>
        <v>358.14285714285728</v>
      </c>
      <c r="S19" s="12">
        <f t="shared" si="8"/>
        <v>0.28835978835978837</v>
      </c>
      <c r="T19" s="12">
        <f t="shared" si="9"/>
        <v>0.94746787603930493</v>
      </c>
    </row>
    <row r="20" spans="1:20" x14ac:dyDescent="0.3">
      <c r="A20" s="9" t="s">
        <v>244</v>
      </c>
      <c r="B20" s="10" t="s">
        <v>600</v>
      </c>
      <c r="C20" s="10" t="s">
        <v>118</v>
      </c>
      <c r="D20" s="10" t="s">
        <v>138</v>
      </c>
      <c r="E20" s="10" t="s">
        <v>703</v>
      </c>
      <c r="F20" s="10" t="s">
        <v>694</v>
      </c>
      <c r="G20" s="10" t="s">
        <v>699</v>
      </c>
      <c r="H20" s="11">
        <v>4</v>
      </c>
      <c r="I20" s="11">
        <v>9</v>
      </c>
      <c r="J20" s="11">
        <f t="shared" si="1"/>
        <v>29.571428571428573</v>
      </c>
      <c r="K20" s="12">
        <f t="shared" si="2"/>
        <v>2.25</v>
      </c>
      <c r="L20" s="12">
        <f t="shared" si="3"/>
        <v>7.3928571428571432</v>
      </c>
      <c r="O20" s="10" t="s">
        <v>30</v>
      </c>
      <c r="P20" s="11">
        <f t="shared" si="7"/>
        <v>235</v>
      </c>
      <c r="Q20" s="11">
        <f t="shared" si="7"/>
        <v>74</v>
      </c>
      <c r="R20" s="11">
        <f t="shared" si="7"/>
        <v>243.14285714285714</v>
      </c>
      <c r="S20" s="12">
        <f t="shared" si="8"/>
        <v>0.31489361702127661</v>
      </c>
      <c r="T20" s="12">
        <f t="shared" si="9"/>
        <v>1.0346504559270517</v>
      </c>
    </row>
    <row r="21" spans="1:20" x14ac:dyDescent="0.3">
      <c r="A21" s="9" t="s">
        <v>243</v>
      </c>
      <c r="B21" s="10" t="s">
        <v>599</v>
      </c>
      <c r="C21" s="10" t="s">
        <v>118</v>
      </c>
      <c r="D21" s="10" t="s">
        <v>138</v>
      </c>
      <c r="E21" s="10" t="s">
        <v>703</v>
      </c>
      <c r="F21" s="10" t="s">
        <v>694</v>
      </c>
      <c r="G21" s="10" t="s">
        <v>695</v>
      </c>
      <c r="H21" s="11">
        <v>4</v>
      </c>
      <c r="I21" s="11">
        <v>5</v>
      </c>
      <c r="J21" s="11">
        <f t="shared" si="1"/>
        <v>16.428571428571431</v>
      </c>
      <c r="K21" s="12">
        <f t="shared" si="2"/>
        <v>1.25</v>
      </c>
      <c r="L21" s="12">
        <f t="shared" si="3"/>
        <v>4.1071428571428577</v>
      </c>
      <c r="O21" s="10" t="s">
        <v>44</v>
      </c>
      <c r="P21" s="11">
        <f t="shared" si="7"/>
        <v>203</v>
      </c>
      <c r="Q21" s="11">
        <f t="shared" si="7"/>
        <v>64</v>
      </c>
      <c r="R21" s="11">
        <f t="shared" si="7"/>
        <v>210.28571428571433</v>
      </c>
      <c r="S21" s="12">
        <f t="shared" si="8"/>
        <v>0.31527093596059114</v>
      </c>
      <c r="T21" s="12">
        <f t="shared" si="9"/>
        <v>1.0358902181562282</v>
      </c>
    </row>
    <row r="22" spans="1:20" x14ac:dyDescent="0.3">
      <c r="A22" s="9" t="s">
        <v>245</v>
      </c>
      <c r="B22" s="10" t="s">
        <v>601</v>
      </c>
      <c r="C22" s="10" t="s">
        <v>118</v>
      </c>
      <c r="D22" s="10" t="s">
        <v>138</v>
      </c>
      <c r="E22" s="10" t="s">
        <v>703</v>
      </c>
      <c r="F22" s="10" t="s">
        <v>694</v>
      </c>
      <c r="G22" s="10" t="s">
        <v>695</v>
      </c>
      <c r="H22" s="11">
        <v>4</v>
      </c>
      <c r="I22" s="11">
        <v>10</v>
      </c>
      <c r="J22" s="11">
        <f t="shared" si="1"/>
        <v>32.857142857142861</v>
      </c>
      <c r="K22" s="12">
        <f t="shared" si="2"/>
        <v>2.5</v>
      </c>
      <c r="L22" s="12">
        <f t="shared" si="3"/>
        <v>8.2142857142857153</v>
      </c>
      <c r="O22" s="10" t="s">
        <v>138</v>
      </c>
      <c r="P22" s="11">
        <f t="shared" si="7"/>
        <v>985</v>
      </c>
      <c r="Q22" s="11">
        <f t="shared" si="7"/>
        <v>303</v>
      </c>
      <c r="R22" s="11">
        <f t="shared" si="7"/>
        <v>995.57142857142867</v>
      </c>
      <c r="S22" s="12">
        <f t="shared" si="8"/>
        <v>0.30761421319796955</v>
      </c>
      <c r="T22" s="12">
        <f t="shared" si="9"/>
        <v>1.0107324147933285</v>
      </c>
    </row>
    <row r="23" spans="1:20" x14ac:dyDescent="0.3">
      <c r="A23" s="9" t="s">
        <v>241</v>
      </c>
      <c r="B23" s="10" t="s">
        <v>597</v>
      </c>
      <c r="C23" s="10" t="s">
        <v>118</v>
      </c>
      <c r="D23" s="10" t="s">
        <v>138</v>
      </c>
      <c r="E23" s="10" t="s">
        <v>703</v>
      </c>
      <c r="F23" s="10" t="s">
        <v>694</v>
      </c>
      <c r="G23" s="10" t="s">
        <v>698</v>
      </c>
      <c r="H23" s="11">
        <v>4</v>
      </c>
      <c r="I23" s="11">
        <v>8</v>
      </c>
      <c r="J23" s="11">
        <f t="shared" si="1"/>
        <v>26.285714285714285</v>
      </c>
      <c r="K23" s="12">
        <f t="shared" si="2"/>
        <v>2</v>
      </c>
      <c r="L23" s="12">
        <f t="shared" si="3"/>
        <v>6.5714285714285712</v>
      </c>
      <c r="O23" s="10" t="s">
        <v>123</v>
      </c>
      <c r="P23" s="11">
        <f t="shared" si="7"/>
        <v>223</v>
      </c>
      <c r="Q23" s="11">
        <f t="shared" si="7"/>
        <v>85</v>
      </c>
      <c r="R23" s="11">
        <f t="shared" si="7"/>
        <v>279.28571428571428</v>
      </c>
      <c r="S23" s="12">
        <f t="shared" si="8"/>
        <v>0.3811659192825112</v>
      </c>
      <c r="T23" s="12">
        <f t="shared" si="9"/>
        <v>1.2524023062139653</v>
      </c>
    </row>
    <row r="24" spans="1:20" x14ac:dyDescent="0.3">
      <c r="A24" s="9" t="s">
        <v>25</v>
      </c>
      <c r="B24" s="10" t="s">
        <v>407</v>
      </c>
      <c r="C24" s="10" t="s">
        <v>20</v>
      </c>
      <c r="D24" s="10" t="s">
        <v>32</v>
      </c>
      <c r="E24" s="10" t="s">
        <v>693</v>
      </c>
      <c r="F24" s="10" t="s">
        <v>694</v>
      </c>
      <c r="G24" s="10" t="s">
        <v>696</v>
      </c>
      <c r="H24" s="11">
        <v>27</v>
      </c>
      <c r="I24" s="11">
        <v>14</v>
      </c>
      <c r="J24" s="11">
        <f t="shared" si="1"/>
        <v>46</v>
      </c>
      <c r="K24" s="12">
        <f t="shared" si="2"/>
        <v>0.51851851851851849</v>
      </c>
      <c r="L24" s="12">
        <f t="shared" si="3"/>
        <v>1.7037037037037037</v>
      </c>
      <c r="O24" s="5" t="s">
        <v>67</v>
      </c>
      <c r="P24" s="13">
        <f>SUM(P11:P23)</f>
        <v>3843</v>
      </c>
      <c r="Q24" s="13">
        <f t="shared" ref="Q24:R24" si="10">SUM(Q11:Q23)</f>
        <v>1275</v>
      </c>
      <c r="R24" s="13">
        <f t="shared" si="10"/>
        <v>4189.2857142857147</v>
      </c>
      <c r="S24" s="14">
        <f t="shared" si="8"/>
        <v>0.33177205308352847</v>
      </c>
      <c r="T24" s="14">
        <f t="shared" si="9"/>
        <v>1.090108174417308</v>
      </c>
    </row>
    <row r="25" spans="1:20" x14ac:dyDescent="0.3">
      <c r="A25" s="9" t="s">
        <v>117</v>
      </c>
      <c r="B25" s="10" t="s">
        <v>485</v>
      </c>
      <c r="C25" s="10" t="s">
        <v>20</v>
      </c>
      <c r="D25" s="10" t="s">
        <v>38</v>
      </c>
      <c r="E25" s="10" t="s">
        <v>693</v>
      </c>
      <c r="F25" s="10" t="s">
        <v>694</v>
      </c>
      <c r="G25" s="10" t="s">
        <v>696</v>
      </c>
      <c r="H25" s="11">
        <v>22</v>
      </c>
      <c r="I25" s="11">
        <v>11</v>
      </c>
      <c r="J25" s="11">
        <f t="shared" si="1"/>
        <v>36.142857142857139</v>
      </c>
      <c r="K25" s="12">
        <f t="shared" si="2"/>
        <v>0.5</v>
      </c>
      <c r="L25" s="12">
        <f t="shared" si="3"/>
        <v>1.6428571428571426</v>
      </c>
    </row>
    <row r="26" spans="1:20" x14ac:dyDescent="0.3">
      <c r="A26" s="9" t="s">
        <v>47</v>
      </c>
      <c r="B26" s="10" t="s">
        <v>419</v>
      </c>
      <c r="C26" s="10" t="s">
        <v>20</v>
      </c>
      <c r="D26" s="10" t="s">
        <v>38</v>
      </c>
      <c r="E26" s="10" t="s">
        <v>693</v>
      </c>
      <c r="F26" s="10" t="s">
        <v>694</v>
      </c>
      <c r="G26" s="10" t="s">
        <v>696</v>
      </c>
      <c r="H26" s="11">
        <v>22</v>
      </c>
      <c r="I26" s="11">
        <v>33</v>
      </c>
      <c r="J26" s="11">
        <f t="shared" si="1"/>
        <v>108.42857142857143</v>
      </c>
      <c r="K26" s="12">
        <f t="shared" si="2"/>
        <v>1.5</v>
      </c>
      <c r="L26" s="12">
        <f t="shared" si="3"/>
        <v>4.9285714285714288</v>
      </c>
    </row>
    <row r="27" spans="1:20" x14ac:dyDescent="0.3">
      <c r="A27" s="9" t="s">
        <v>119</v>
      </c>
      <c r="B27" s="10" t="s">
        <v>486</v>
      </c>
      <c r="C27" s="10" t="s">
        <v>20</v>
      </c>
      <c r="D27" s="10" t="s">
        <v>34</v>
      </c>
      <c r="E27" s="10" t="s">
        <v>693</v>
      </c>
      <c r="F27" s="10" t="s">
        <v>694</v>
      </c>
      <c r="G27" s="10" t="s">
        <v>697</v>
      </c>
      <c r="H27" s="11">
        <v>15</v>
      </c>
      <c r="I27" s="11">
        <v>3</v>
      </c>
      <c r="J27" s="11">
        <f t="shared" si="1"/>
        <v>9.8571428571428559</v>
      </c>
      <c r="K27" s="12">
        <f t="shared" si="2"/>
        <v>0.2</v>
      </c>
      <c r="L27" s="12">
        <f t="shared" si="3"/>
        <v>0.65714285714285703</v>
      </c>
    </row>
    <row r="28" spans="1:20" x14ac:dyDescent="0.3">
      <c r="A28" s="9" t="s">
        <v>120</v>
      </c>
      <c r="B28" s="10" t="s">
        <v>487</v>
      </c>
      <c r="C28" s="10" t="s">
        <v>20</v>
      </c>
      <c r="D28" s="10" t="s">
        <v>36</v>
      </c>
      <c r="E28" s="10" t="s">
        <v>693</v>
      </c>
      <c r="F28" s="10" t="s">
        <v>694</v>
      </c>
      <c r="G28" s="10" t="s">
        <v>697</v>
      </c>
      <c r="H28" s="11">
        <v>12</v>
      </c>
      <c r="I28" s="11">
        <v>0</v>
      </c>
      <c r="J28" s="11">
        <f t="shared" si="1"/>
        <v>0</v>
      </c>
      <c r="K28" s="12">
        <f t="shared" si="2"/>
        <v>0</v>
      </c>
      <c r="L28" s="12">
        <f t="shared" si="3"/>
        <v>0</v>
      </c>
    </row>
    <row r="29" spans="1:20" x14ac:dyDescent="0.3">
      <c r="A29" s="9" t="s">
        <v>56</v>
      </c>
      <c r="B29" s="10" t="s">
        <v>427</v>
      </c>
      <c r="C29" s="10" t="s">
        <v>22</v>
      </c>
      <c r="D29" s="10" t="s">
        <v>48</v>
      </c>
      <c r="E29" s="10" t="s">
        <v>693</v>
      </c>
      <c r="F29" s="10" t="s">
        <v>694</v>
      </c>
      <c r="G29" s="10" t="s">
        <v>699</v>
      </c>
      <c r="H29" s="11">
        <v>19</v>
      </c>
      <c r="I29" s="11">
        <v>13</v>
      </c>
      <c r="J29" s="11">
        <f t="shared" si="1"/>
        <v>42.714285714285715</v>
      </c>
      <c r="K29" s="12">
        <f t="shared" si="2"/>
        <v>0.68421052631578949</v>
      </c>
      <c r="L29" s="12">
        <f t="shared" si="3"/>
        <v>2.24812030075188</v>
      </c>
    </row>
    <row r="30" spans="1:20" x14ac:dyDescent="0.3">
      <c r="A30" s="9" t="s">
        <v>121</v>
      </c>
      <c r="B30" s="10" t="s">
        <v>488</v>
      </c>
      <c r="C30" s="10" t="s">
        <v>20</v>
      </c>
      <c r="D30" s="10" t="s">
        <v>36</v>
      </c>
      <c r="E30" s="10" t="s">
        <v>693</v>
      </c>
      <c r="F30" s="10" t="s">
        <v>694</v>
      </c>
      <c r="G30" s="10" t="s">
        <v>697</v>
      </c>
      <c r="H30" s="11">
        <v>11</v>
      </c>
      <c r="I30" s="11">
        <v>23</v>
      </c>
      <c r="J30" s="11">
        <f t="shared" si="1"/>
        <v>75.571428571428569</v>
      </c>
      <c r="K30" s="12">
        <f t="shared" si="2"/>
        <v>2.0909090909090908</v>
      </c>
      <c r="L30" s="12">
        <f t="shared" si="3"/>
        <v>6.8701298701298699</v>
      </c>
    </row>
    <row r="31" spans="1:20" x14ac:dyDescent="0.3">
      <c r="A31" s="9" t="s">
        <v>60</v>
      </c>
      <c r="B31" s="10" t="s">
        <v>431</v>
      </c>
      <c r="C31" s="10" t="s">
        <v>22</v>
      </c>
      <c r="D31" s="10" t="s">
        <v>46</v>
      </c>
      <c r="E31" s="10" t="s">
        <v>693</v>
      </c>
      <c r="F31" s="10" t="s">
        <v>694</v>
      </c>
      <c r="G31" s="10" t="s">
        <v>700</v>
      </c>
      <c r="H31" s="11">
        <v>14</v>
      </c>
      <c r="I31" s="11">
        <v>0</v>
      </c>
      <c r="J31" s="11">
        <f t="shared" si="1"/>
        <v>0</v>
      </c>
      <c r="K31" s="12">
        <f t="shared" si="2"/>
        <v>0</v>
      </c>
      <c r="L31" s="12">
        <f t="shared" si="3"/>
        <v>0</v>
      </c>
    </row>
    <row r="32" spans="1:20" x14ac:dyDescent="0.3">
      <c r="A32" s="9" t="s">
        <v>63</v>
      </c>
      <c r="B32" s="10" t="s">
        <v>434</v>
      </c>
      <c r="C32" s="10" t="s">
        <v>22</v>
      </c>
      <c r="D32" s="10" t="s">
        <v>42</v>
      </c>
      <c r="E32" s="10" t="s">
        <v>693</v>
      </c>
      <c r="F32" s="10" t="s">
        <v>694</v>
      </c>
      <c r="G32" s="10" t="s">
        <v>699</v>
      </c>
      <c r="H32" s="11">
        <v>16</v>
      </c>
      <c r="I32" s="11">
        <v>3</v>
      </c>
      <c r="J32" s="11">
        <f t="shared" si="1"/>
        <v>9.8571428571428559</v>
      </c>
      <c r="K32" s="12">
        <f t="shared" si="2"/>
        <v>0.1875</v>
      </c>
      <c r="L32" s="12">
        <f t="shared" si="3"/>
        <v>0.61607142857142849</v>
      </c>
    </row>
    <row r="33" spans="1:12" x14ac:dyDescent="0.3">
      <c r="A33" s="9" t="s">
        <v>122</v>
      </c>
      <c r="B33" s="10" t="s">
        <v>489</v>
      </c>
      <c r="C33" s="10" t="s">
        <v>22</v>
      </c>
      <c r="D33" s="10" t="s">
        <v>44</v>
      </c>
      <c r="E33" s="10" t="s">
        <v>693</v>
      </c>
      <c r="F33" s="10" t="s">
        <v>694</v>
      </c>
      <c r="G33" s="10" t="s">
        <v>698</v>
      </c>
      <c r="H33" s="11">
        <v>23</v>
      </c>
      <c r="I33" s="11">
        <v>11</v>
      </c>
      <c r="J33" s="11">
        <f t="shared" si="1"/>
        <v>36.142857142857139</v>
      </c>
      <c r="K33" s="12">
        <f t="shared" si="2"/>
        <v>0.47826086956521741</v>
      </c>
      <c r="L33" s="12">
        <f t="shared" si="3"/>
        <v>1.5714285714285712</v>
      </c>
    </row>
    <row r="34" spans="1:12" x14ac:dyDescent="0.3">
      <c r="A34" s="9" t="s">
        <v>124</v>
      </c>
      <c r="B34" s="10" t="s">
        <v>490</v>
      </c>
      <c r="C34" s="10" t="s">
        <v>22</v>
      </c>
      <c r="D34" s="10" t="s">
        <v>42</v>
      </c>
      <c r="E34" s="10" t="s">
        <v>693</v>
      </c>
      <c r="F34" s="10" t="s">
        <v>694</v>
      </c>
      <c r="G34" s="10" t="s">
        <v>699</v>
      </c>
      <c r="H34" s="11">
        <v>10</v>
      </c>
      <c r="I34" s="11">
        <v>3</v>
      </c>
      <c r="J34" s="11">
        <f t="shared" si="1"/>
        <v>9.8571428571428559</v>
      </c>
      <c r="K34" s="12">
        <f t="shared" si="2"/>
        <v>0.3</v>
      </c>
      <c r="L34" s="12">
        <f t="shared" si="3"/>
        <v>0.98571428571428554</v>
      </c>
    </row>
    <row r="35" spans="1:12" x14ac:dyDescent="0.3">
      <c r="A35" s="9" t="s">
        <v>125</v>
      </c>
      <c r="B35" s="10" t="s">
        <v>491</v>
      </c>
      <c r="C35" s="10" t="s">
        <v>22</v>
      </c>
      <c r="D35" s="10" t="s">
        <v>42</v>
      </c>
      <c r="E35" s="10" t="s">
        <v>693</v>
      </c>
      <c r="F35" s="10" t="s">
        <v>694</v>
      </c>
      <c r="G35" s="10" t="s">
        <v>698</v>
      </c>
      <c r="H35" s="11">
        <v>21</v>
      </c>
      <c r="I35" s="11">
        <v>7</v>
      </c>
      <c r="J35" s="11">
        <f t="shared" si="1"/>
        <v>23</v>
      </c>
      <c r="K35" s="12">
        <f t="shared" si="2"/>
        <v>0.33333333333333331</v>
      </c>
      <c r="L35" s="12">
        <f t="shared" si="3"/>
        <v>1.0952380952380953</v>
      </c>
    </row>
    <row r="36" spans="1:12" x14ac:dyDescent="0.3">
      <c r="A36" s="9" t="s">
        <v>126</v>
      </c>
      <c r="B36" s="10" t="s">
        <v>492</v>
      </c>
      <c r="C36" s="10" t="s">
        <v>20</v>
      </c>
      <c r="D36" s="10" t="s">
        <v>34</v>
      </c>
      <c r="E36" s="10" t="s">
        <v>693</v>
      </c>
      <c r="F36" s="10" t="s">
        <v>694</v>
      </c>
      <c r="G36" s="10" t="s">
        <v>697</v>
      </c>
      <c r="H36" s="11">
        <v>10</v>
      </c>
      <c r="I36" s="11">
        <v>0</v>
      </c>
      <c r="J36" s="11">
        <f t="shared" si="1"/>
        <v>0</v>
      </c>
      <c r="K36" s="12">
        <f t="shared" si="2"/>
        <v>0</v>
      </c>
      <c r="L36" s="12">
        <f t="shared" si="3"/>
        <v>0</v>
      </c>
    </row>
    <row r="37" spans="1:12" x14ac:dyDescent="0.3">
      <c r="A37" s="9" t="s">
        <v>64</v>
      </c>
      <c r="B37" s="10" t="s">
        <v>435</v>
      </c>
      <c r="C37" s="10" t="s">
        <v>20</v>
      </c>
      <c r="D37" s="10" t="s">
        <v>34</v>
      </c>
      <c r="E37" s="10" t="s">
        <v>693</v>
      </c>
      <c r="F37" s="10" t="s">
        <v>694</v>
      </c>
      <c r="G37" s="10" t="s">
        <v>697</v>
      </c>
      <c r="H37" s="11">
        <v>21</v>
      </c>
      <c r="I37" s="11">
        <v>7</v>
      </c>
      <c r="J37" s="11">
        <f t="shared" si="1"/>
        <v>23</v>
      </c>
      <c r="K37" s="12">
        <f t="shared" si="2"/>
        <v>0.33333333333333331</v>
      </c>
      <c r="L37" s="12">
        <f t="shared" si="3"/>
        <v>1.0952380952380953</v>
      </c>
    </row>
    <row r="38" spans="1:12" x14ac:dyDescent="0.3">
      <c r="A38" s="9" t="s">
        <v>127</v>
      </c>
      <c r="B38" s="10" t="s">
        <v>493</v>
      </c>
      <c r="C38" s="10" t="s">
        <v>22</v>
      </c>
      <c r="D38" s="10" t="s">
        <v>28</v>
      </c>
      <c r="E38" s="10" t="s">
        <v>693</v>
      </c>
      <c r="F38" s="10" t="s">
        <v>694</v>
      </c>
      <c r="G38" s="10" t="s">
        <v>695</v>
      </c>
      <c r="H38" s="11">
        <v>25</v>
      </c>
      <c r="I38" s="11">
        <v>11</v>
      </c>
      <c r="J38" s="11">
        <f t="shared" si="1"/>
        <v>36.142857142857139</v>
      </c>
      <c r="K38" s="12">
        <f t="shared" si="2"/>
        <v>0.44</v>
      </c>
      <c r="L38" s="12">
        <f t="shared" si="3"/>
        <v>1.4457142857142855</v>
      </c>
    </row>
    <row r="39" spans="1:12" x14ac:dyDescent="0.3">
      <c r="A39" s="9" t="s">
        <v>59</v>
      </c>
      <c r="B39" s="10" t="s">
        <v>430</v>
      </c>
      <c r="C39" s="10" t="s">
        <v>20</v>
      </c>
      <c r="D39" s="10" t="s">
        <v>36</v>
      </c>
      <c r="E39" s="10" t="s">
        <v>693</v>
      </c>
      <c r="F39" s="10" t="s">
        <v>694</v>
      </c>
      <c r="G39" s="10" t="s">
        <v>697</v>
      </c>
      <c r="H39" s="11">
        <v>18</v>
      </c>
      <c r="I39" s="11">
        <v>3</v>
      </c>
      <c r="J39" s="11">
        <f t="shared" si="1"/>
        <v>9.8571428571428559</v>
      </c>
      <c r="K39" s="12">
        <f t="shared" si="2"/>
        <v>0.16666666666666666</v>
      </c>
      <c r="L39" s="12">
        <f t="shared" si="3"/>
        <v>0.54761904761904756</v>
      </c>
    </row>
    <row r="40" spans="1:12" x14ac:dyDescent="0.3">
      <c r="A40" s="9" t="s">
        <v>57</v>
      </c>
      <c r="B40" s="10" t="s">
        <v>428</v>
      </c>
      <c r="C40" s="10" t="s">
        <v>22</v>
      </c>
      <c r="D40" s="10" t="s">
        <v>46</v>
      </c>
      <c r="E40" s="10" t="s">
        <v>693</v>
      </c>
      <c r="F40" s="10" t="s">
        <v>694</v>
      </c>
      <c r="G40" s="10" t="s">
        <v>700</v>
      </c>
      <c r="H40" s="11">
        <v>10</v>
      </c>
      <c r="I40" s="11">
        <v>4</v>
      </c>
      <c r="J40" s="11">
        <f t="shared" si="1"/>
        <v>13.142857142857142</v>
      </c>
      <c r="K40" s="12">
        <f t="shared" si="2"/>
        <v>0.4</v>
      </c>
      <c r="L40" s="12">
        <f t="shared" si="3"/>
        <v>1.3142857142857143</v>
      </c>
    </row>
    <row r="41" spans="1:12" x14ac:dyDescent="0.3">
      <c r="A41" s="9" t="s">
        <v>33</v>
      </c>
      <c r="B41" s="10" t="s">
        <v>412</v>
      </c>
      <c r="C41" s="10" t="s">
        <v>20</v>
      </c>
      <c r="D41" s="10" t="s">
        <v>30</v>
      </c>
      <c r="E41" s="10" t="s">
        <v>693</v>
      </c>
      <c r="F41" s="10" t="s">
        <v>694</v>
      </c>
      <c r="G41" s="10" t="s">
        <v>696</v>
      </c>
      <c r="H41" s="11">
        <v>14</v>
      </c>
      <c r="I41" s="11">
        <v>5</v>
      </c>
      <c r="J41" s="11">
        <f t="shared" si="1"/>
        <v>16.428571428571431</v>
      </c>
      <c r="K41" s="12">
        <f t="shared" si="2"/>
        <v>0.35714285714285715</v>
      </c>
      <c r="L41" s="12">
        <f t="shared" si="3"/>
        <v>1.1734693877551021</v>
      </c>
    </row>
    <row r="42" spans="1:12" x14ac:dyDescent="0.3">
      <c r="A42" s="9" t="s">
        <v>54</v>
      </c>
      <c r="B42" s="10" t="s">
        <v>425</v>
      </c>
      <c r="C42" s="10" t="s">
        <v>22</v>
      </c>
      <c r="D42" s="10" t="s">
        <v>48</v>
      </c>
      <c r="E42" s="10" t="s">
        <v>693</v>
      </c>
      <c r="F42" s="10" t="s">
        <v>694</v>
      </c>
      <c r="G42" s="10" t="s">
        <v>699</v>
      </c>
      <c r="H42" s="11">
        <v>23</v>
      </c>
      <c r="I42" s="11">
        <v>6</v>
      </c>
      <c r="J42" s="11">
        <f t="shared" si="1"/>
        <v>19.714285714285712</v>
      </c>
      <c r="K42" s="12">
        <f t="shared" si="2"/>
        <v>0.2608695652173913</v>
      </c>
      <c r="L42" s="12">
        <f t="shared" si="3"/>
        <v>0.85714285714285698</v>
      </c>
    </row>
    <row r="43" spans="1:12" x14ac:dyDescent="0.3">
      <c r="A43" s="9" t="s">
        <v>21</v>
      </c>
      <c r="B43" s="10" t="s">
        <v>405</v>
      </c>
      <c r="C43" s="10" t="s">
        <v>20</v>
      </c>
      <c r="D43" s="10" t="s">
        <v>30</v>
      </c>
      <c r="E43" s="10" t="s">
        <v>693</v>
      </c>
      <c r="F43" s="10" t="s">
        <v>694</v>
      </c>
      <c r="G43" s="10" t="s">
        <v>696</v>
      </c>
      <c r="H43" s="11">
        <v>18</v>
      </c>
      <c r="I43" s="11">
        <v>5</v>
      </c>
      <c r="J43" s="11">
        <f t="shared" si="1"/>
        <v>16.428571428571431</v>
      </c>
      <c r="K43" s="12">
        <f t="shared" si="2"/>
        <v>0.27777777777777779</v>
      </c>
      <c r="L43" s="12">
        <f t="shared" si="3"/>
        <v>0.91269841269841279</v>
      </c>
    </row>
    <row r="44" spans="1:12" x14ac:dyDescent="0.3">
      <c r="A44" s="9" t="s">
        <v>23</v>
      </c>
      <c r="B44" s="10" t="s">
        <v>406</v>
      </c>
      <c r="C44" s="10" t="s">
        <v>20</v>
      </c>
      <c r="D44" s="10" t="s">
        <v>30</v>
      </c>
      <c r="E44" s="10" t="s">
        <v>693</v>
      </c>
      <c r="F44" s="10" t="s">
        <v>694</v>
      </c>
      <c r="G44" s="10" t="s">
        <v>696</v>
      </c>
      <c r="H44" s="11">
        <v>33</v>
      </c>
      <c r="I44" s="11">
        <v>6</v>
      </c>
      <c r="J44" s="11">
        <f t="shared" si="1"/>
        <v>19.714285714285712</v>
      </c>
      <c r="K44" s="12">
        <f t="shared" si="2"/>
        <v>0.18181818181818182</v>
      </c>
      <c r="L44" s="12">
        <f t="shared" si="3"/>
        <v>0.59740259740259738</v>
      </c>
    </row>
    <row r="45" spans="1:12" x14ac:dyDescent="0.3">
      <c r="A45" s="9" t="s">
        <v>130</v>
      </c>
      <c r="B45" s="10" t="s">
        <v>494</v>
      </c>
      <c r="C45" s="10" t="s">
        <v>22</v>
      </c>
      <c r="D45" s="10" t="s">
        <v>42</v>
      </c>
      <c r="E45" s="10" t="s">
        <v>693</v>
      </c>
      <c r="F45" s="10" t="s">
        <v>694</v>
      </c>
      <c r="G45" s="10" t="s">
        <v>699</v>
      </c>
      <c r="H45" s="11">
        <v>18</v>
      </c>
      <c r="I45" s="11">
        <v>10</v>
      </c>
      <c r="J45" s="11">
        <f t="shared" si="1"/>
        <v>32.857142857142861</v>
      </c>
      <c r="K45" s="12">
        <f t="shared" si="2"/>
        <v>0.55555555555555558</v>
      </c>
      <c r="L45" s="12">
        <f t="shared" si="3"/>
        <v>1.8253968253968256</v>
      </c>
    </row>
    <row r="46" spans="1:12" x14ac:dyDescent="0.3">
      <c r="A46" s="9" t="s">
        <v>52</v>
      </c>
      <c r="B46" s="10" t="s">
        <v>423</v>
      </c>
      <c r="C46" s="10" t="s">
        <v>22</v>
      </c>
      <c r="D46" s="10" t="s">
        <v>46</v>
      </c>
      <c r="E46" s="10" t="s">
        <v>693</v>
      </c>
      <c r="F46" s="10" t="s">
        <v>694</v>
      </c>
      <c r="G46" s="10" t="s">
        <v>700</v>
      </c>
      <c r="H46" s="11">
        <v>16</v>
      </c>
      <c r="I46" s="11">
        <v>7</v>
      </c>
      <c r="J46" s="11">
        <f t="shared" si="1"/>
        <v>23</v>
      </c>
      <c r="K46" s="12">
        <f t="shared" si="2"/>
        <v>0.4375</v>
      </c>
      <c r="L46" s="12">
        <f t="shared" si="3"/>
        <v>1.4375</v>
      </c>
    </row>
    <row r="47" spans="1:12" x14ac:dyDescent="0.3">
      <c r="A47" s="9" t="s">
        <v>41</v>
      </c>
      <c r="B47" s="10" t="s">
        <v>416</v>
      </c>
      <c r="C47" s="10" t="s">
        <v>22</v>
      </c>
      <c r="D47" s="10" t="s">
        <v>40</v>
      </c>
      <c r="E47" s="10" t="s">
        <v>693</v>
      </c>
      <c r="F47" s="10" t="s">
        <v>694</v>
      </c>
      <c r="G47" s="10" t="s">
        <v>698</v>
      </c>
      <c r="H47" s="11">
        <v>12</v>
      </c>
      <c r="I47" s="11">
        <v>5</v>
      </c>
      <c r="J47" s="11">
        <f t="shared" si="1"/>
        <v>16.428571428571431</v>
      </c>
      <c r="K47" s="12">
        <f t="shared" si="2"/>
        <v>0.41666666666666669</v>
      </c>
      <c r="L47" s="12">
        <f t="shared" si="3"/>
        <v>1.3690476190476193</v>
      </c>
    </row>
    <row r="48" spans="1:12" x14ac:dyDescent="0.3">
      <c r="A48" s="9" t="s">
        <v>49</v>
      </c>
      <c r="B48" s="10" t="s">
        <v>420</v>
      </c>
      <c r="C48" s="10" t="s">
        <v>22</v>
      </c>
      <c r="D48" s="10" t="s">
        <v>46</v>
      </c>
      <c r="E48" s="10" t="s">
        <v>693</v>
      </c>
      <c r="F48" s="10" t="s">
        <v>694</v>
      </c>
      <c r="G48" s="10" t="s">
        <v>700</v>
      </c>
      <c r="H48" s="11">
        <v>11</v>
      </c>
      <c r="I48" s="11">
        <v>4</v>
      </c>
      <c r="J48" s="11">
        <f t="shared" si="1"/>
        <v>13.142857142857142</v>
      </c>
      <c r="K48" s="12">
        <f t="shared" si="2"/>
        <v>0.36363636363636365</v>
      </c>
      <c r="L48" s="12">
        <f t="shared" si="3"/>
        <v>1.1948051948051948</v>
      </c>
    </row>
    <row r="49" spans="1:12" x14ac:dyDescent="0.3">
      <c r="A49" s="9" t="s">
        <v>135</v>
      </c>
      <c r="B49" s="10" t="s">
        <v>495</v>
      </c>
      <c r="C49" s="10" t="s">
        <v>20</v>
      </c>
      <c r="D49" s="10" t="s">
        <v>32</v>
      </c>
      <c r="E49" s="10" t="s">
        <v>693</v>
      </c>
      <c r="F49" s="10" t="s">
        <v>694</v>
      </c>
      <c r="G49" s="10" t="s">
        <v>696</v>
      </c>
      <c r="H49" s="11">
        <v>18</v>
      </c>
      <c r="I49" s="11">
        <v>7</v>
      </c>
      <c r="J49" s="11">
        <f t="shared" si="1"/>
        <v>23</v>
      </c>
      <c r="K49" s="12">
        <f t="shared" si="2"/>
        <v>0.3888888888888889</v>
      </c>
      <c r="L49" s="12">
        <f t="shared" si="3"/>
        <v>1.2777777777777777</v>
      </c>
    </row>
    <row r="50" spans="1:12" x14ac:dyDescent="0.3">
      <c r="A50" s="9" t="s">
        <v>137</v>
      </c>
      <c r="B50" s="10" t="s">
        <v>496</v>
      </c>
      <c r="C50" s="10" t="s">
        <v>20</v>
      </c>
      <c r="D50" s="10" t="s">
        <v>34</v>
      </c>
      <c r="E50" s="10" t="s">
        <v>693</v>
      </c>
      <c r="F50" s="10" t="s">
        <v>694</v>
      </c>
      <c r="G50" s="10" t="s">
        <v>697</v>
      </c>
      <c r="H50" s="11">
        <v>8</v>
      </c>
      <c r="I50" s="11">
        <v>0</v>
      </c>
      <c r="J50" s="11">
        <f t="shared" si="1"/>
        <v>0</v>
      </c>
      <c r="K50" s="12">
        <f t="shared" si="2"/>
        <v>0</v>
      </c>
      <c r="L50" s="12">
        <f t="shared" si="3"/>
        <v>0</v>
      </c>
    </row>
    <row r="51" spans="1:12" x14ac:dyDescent="0.3">
      <c r="A51" s="9" t="s">
        <v>50</v>
      </c>
      <c r="B51" s="10" t="s">
        <v>421</v>
      </c>
      <c r="C51" s="10" t="s">
        <v>22</v>
      </c>
      <c r="D51" s="10" t="s">
        <v>40</v>
      </c>
      <c r="E51" s="10" t="s">
        <v>693</v>
      </c>
      <c r="F51" s="10" t="s">
        <v>694</v>
      </c>
      <c r="G51" s="10" t="s">
        <v>698</v>
      </c>
      <c r="H51" s="11">
        <v>20</v>
      </c>
      <c r="I51" s="11">
        <v>12</v>
      </c>
      <c r="J51" s="11">
        <f t="shared" si="1"/>
        <v>39.428571428571423</v>
      </c>
      <c r="K51" s="12">
        <f t="shared" si="2"/>
        <v>0.6</v>
      </c>
      <c r="L51" s="12">
        <f t="shared" si="3"/>
        <v>1.9714285714285711</v>
      </c>
    </row>
    <row r="52" spans="1:12" x14ac:dyDescent="0.3">
      <c r="A52" s="9" t="s">
        <v>51</v>
      </c>
      <c r="B52" s="10" t="s">
        <v>422</v>
      </c>
      <c r="C52" s="10" t="s">
        <v>22</v>
      </c>
      <c r="D52" s="10" t="s">
        <v>28</v>
      </c>
      <c r="E52" s="10" t="s">
        <v>693</v>
      </c>
      <c r="F52" s="10" t="s">
        <v>694</v>
      </c>
      <c r="G52" s="10" t="s">
        <v>695</v>
      </c>
      <c r="H52" s="11">
        <v>24</v>
      </c>
      <c r="I52" s="11">
        <v>5</v>
      </c>
      <c r="J52" s="11">
        <f t="shared" si="1"/>
        <v>16.428571428571431</v>
      </c>
      <c r="K52" s="12">
        <f t="shared" si="2"/>
        <v>0.20833333333333334</v>
      </c>
      <c r="L52" s="12">
        <f t="shared" si="3"/>
        <v>0.68452380952380965</v>
      </c>
    </row>
    <row r="53" spans="1:12" x14ac:dyDescent="0.3">
      <c r="A53" s="9" t="s">
        <v>139</v>
      </c>
      <c r="B53" s="10" t="s">
        <v>497</v>
      </c>
      <c r="C53" s="10" t="s">
        <v>20</v>
      </c>
      <c r="D53" s="10" t="s">
        <v>32</v>
      </c>
      <c r="E53" s="10" t="s">
        <v>693</v>
      </c>
      <c r="F53" s="10" t="s">
        <v>694</v>
      </c>
      <c r="G53" s="10" t="s">
        <v>696</v>
      </c>
      <c r="H53" s="11">
        <v>15</v>
      </c>
      <c r="I53" s="11">
        <v>7</v>
      </c>
      <c r="J53" s="11">
        <f t="shared" si="1"/>
        <v>23</v>
      </c>
      <c r="K53" s="12">
        <f t="shared" si="2"/>
        <v>0.46666666666666667</v>
      </c>
      <c r="L53" s="12">
        <f t="shared" si="3"/>
        <v>1.5333333333333334</v>
      </c>
    </row>
    <row r="54" spans="1:12" x14ac:dyDescent="0.3">
      <c r="A54" s="9" t="s">
        <v>92</v>
      </c>
      <c r="B54" s="10" t="s">
        <v>461</v>
      </c>
      <c r="C54" s="10" t="s">
        <v>22</v>
      </c>
      <c r="D54" s="10" t="s">
        <v>40</v>
      </c>
      <c r="E54" s="10" t="s">
        <v>693</v>
      </c>
      <c r="F54" s="10" t="s">
        <v>694</v>
      </c>
      <c r="G54" s="10" t="s">
        <v>698</v>
      </c>
      <c r="H54" s="11">
        <v>11</v>
      </c>
      <c r="I54" s="11">
        <v>5</v>
      </c>
      <c r="J54" s="11">
        <f t="shared" si="1"/>
        <v>16.428571428571431</v>
      </c>
      <c r="K54" s="12">
        <f t="shared" si="2"/>
        <v>0.45454545454545453</v>
      </c>
      <c r="L54" s="12">
        <f t="shared" si="3"/>
        <v>1.4935064935064937</v>
      </c>
    </row>
    <row r="55" spans="1:12" x14ac:dyDescent="0.3">
      <c r="A55" s="9" t="s">
        <v>62</v>
      </c>
      <c r="B55" s="10" t="s">
        <v>433</v>
      </c>
      <c r="C55" s="10" t="s">
        <v>20</v>
      </c>
      <c r="D55" s="10" t="s">
        <v>34</v>
      </c>
      <c r="E55" s="10" t="s">
        <v>693</v>
      </c>
      <c r="F55" s="10" t="s">
        <v>694</v>
      </c>
      <c r="G55" s="10" t="s">
        <v>697</v>
      </c>
      <c r="H55" s="11">
        <v>13</v>
      </c>
      <c r="I55" s="11">
        <v>7</v>
      </c>
      <c r="J55" s="11">
        <f t="shared" si="1"/>
        <v>23</v>
      </c>
      <c r="K55" s="12">
        <f t="shared" si="2"/>
        <v>0.53846153846153844</v>
      </c>
      <c r="L55" s="12">
        <f t="shared" si="3"/>
        <v>1.7692307692307692</v>
      </c>
    </row>
    <row r="56" spans="1:12" x14ac:dyDescent="0.3">
      <c r="A56" s="9" t="s">
        <v>140</v>
      </c>
      <c r="B56" s="10" t="s">
        <v>498</v>
      </c>
      <c r="C56" s="10" t="s">
        <v>22</v>
      </c>
      <c r="D56" s="10" t="s">
        <v>28</v>
      </c>
      <c r="E56" s="10" t="s">
        <v>693</v>
      </c>
      <c r="F56" s="10" t="s">
        <v>694</v>
      </c>
      <c r="G56" s="10" t="s">
        <v>695</v>
      </c>
      <c r="H56" s="11">
        <v>17</v>
      </c>
      <c r="I56" s="11">
        <v>5</v>
      </c>
      <c r="J56" s="11">
        <f t="shared" si="1"/>
        <v>16.428571428571431</v>
      </c>
      <c r="K56" s="12">
        <f t="shared" si="2"/>
        <v>0.29411764705882354</v>
      </c>
      <c r="L56" s="12">
        <f t="shared" si="3"/>
        <v>0.96638655462184886</v>
      </c>
    </row>
    <row r="57" spans="1:12" x14ac:dyDescent="0.3">
      <c r="A57" s="9" t="s">
        <v>141</v>
      </c>
      <c r="B57" s="10" t="s">
        <v>499</v>
      </c>
      <c r="C57" s="10" t="s">
        <v>22</v>
      </c>
      <c r="D57" s="10" t="s">
        <v>46</v>
      </c>
      <c r="E57" s="10" t="s">
        <v>693</v>
      </c>
      <c r="F57" s="10" t="s">
        <v>694</v>
      </c>
      <c r="G57" s="10" t="s">
        <v>700</v>
      </c>
      <c r="H57" s="11">
        <v>14</v>
      </c>
      <c r="I57" s="11">
        <v>2</v>
      </c>
      <c r="J57" s="11">
        <f t="shared" si="1"/>
        <v>6.5714285714285712</v>
      </c>
      <c r="K57" s="12">
        <f t="shared" si="2"/>
        <v>0.14285714285714285</v>
      </c>
      <c r="L57" s="12">
        <f t="shared" si="3"/>
        <v>0.46938775510204078</v>
      </c>
    </row>
    <row r="58" spans="1:12" x14ac:dyDescent="0.3">
      <c r="A58" s="9" t="s">
        <v>142</v>
      </c>
      <c r="B58" s="10" t="s">
        <v>500</v>
      </c>
      <c r="C58" s="10" t="s">
        <v>20</v>
      </c>
      <c r="D58" s="10" t="s">
        <v>32</v>
      </c>
      <c r="E58" s="10" t="s">
        <v>693</v>
      </c>
      <c r="F58" s="10" t="s">
        <v>694</v>
      </c>
      <c r="G58" s="10" t="s">
        <v>696</v>
      </c>
      <c r="H58" s="11">
        <v>14</v>
      </c>
      <c r="I58" s="11">
        <v>4</v>
      </c>
      <c r="J58" s="11">
        <f t="shared" si="1"/>
        <v>13.142857142857142</v>
      </c>
      <c r="K58" s="12">
        <f t="shared" si="2"/>
        <v>0.2857142857142857</v>
      </c>
      <c r="L58" s="12">
        <f t="shared" si="3"/>
        <v>0.93877551020408156</v>
      </c>
    </row>
    <row r="59" spans="1:12" x14ac:dyDescent="0.3">
      <c r="A59" s="9" t="s">
        <v>143</v>
      </c>
      <c r="B59" s="10" t="s">
        <v>501</v>
      </c>
      <c r="C59" s="10" t="s">
        <v>22</v>
      </c>
      <c r="D59" s="10" t="s">
        <v>46</v>
      </c>
      <c r="E59" s="10" t="s">
        <v>693</v>
      </c>
      <c r="F59" s="10" t="s">
        <v>694</v>
      </c>
      <c r="G59" s="10" t="s">
        <v>700</v>
      </c>
      <c r="H59" s="11">
        <v>11</v>
      </c>
      <c r="I59" s="11">
        <v>3</v>
      </c>
      <c r="J59" s="11">
        <f t="shared" si="1"/>
        <v>9.8571428571428559</v>
      </c>
      <c r="K59" s="12">
        <f t="shared" si="2"/>
        <v>0.27272727272727271</v>
      </c>
      <c r="L59" s="12">
        <f t="shared" si="3"/>
        <v>0.89610389610389596</v>
      </c>
    </row>
    <row r="60" spans="1:12" x14ac:dyDescent="0.3">
      <c r="A60" s="9" t="s">
        <v>58</v>
      </c>
      <c r="B60" s="10" t="s">
        <v>429</v>
      </c>
      <c r="C60" s="10" t="s">
        <v>22</v>
      </c>
      <c r="D60" s="10" t="s">
        <v>48</v>
      </c>
      <c r="E60" s="10" t="s">
        <v>693</v>
      </c>
      <c r="F60" s="10" t="s">
        <v>694</v>
      </c>
      <c r="G60" s="10" t="s">
        <v>699</v>
      </c>
      <c r="H60" s="11">
        <v>20</v>
      </c>
      <c r="I60" s="11">
        <v>9</v>
      </c>
      <c r="J60" s="11">
        <f t="shared" si="1"/>
        <v>29.571428571428573</v>
      </c>
      <c r="K60" s="12">
        <f t="shared" si="2"/>
        <v>0.45</v>
      </c>
      <c r="L60" s="12">
        <f t="shared" si="3"/>
        <v>1.4785714285714286</v>
      </c>
    </row>
    <row r="61" spans="1:12" x14ac:dyDescent="0.3">
      <c r="A61" s="9" t="s">
        <v>74</v>
      </c>
      <c r="B61" s="10" t="s">
        <v>443</v>
      </c>
      <c r="C61" s="10" t="s">
        <v>20</v>
      </c>
      <c r="D61" s="10" t="s">
        <v>38</v>
      </c>
      <c r="E61" s="10" t="s">
        <v>693</v>
      </c>
      <c r="F61" s="10" t="s">
        <v>694</v>
      </c>
      <c r="G61" s="10" t="s">
        <v>696</v>
      </c>
      <c r="H61" s="11">
        <v>10</v>
      </c>
      <c r="I61" s="11">
        <v>7</v>
      </c>
      <c r="J61" s="11">
        <f t="shared" si="1"/>
        <v>23</v>
      </c>
      <c r="K61" s="12">
        <f t="shared" si="2"/>
        <v>0.7</v>
      </c>
      <c r="L61" s="12">
        <f t="shared" si="3"/>
        <v>2.2999999999999998</v>
      </c>
    </row>
    <row r="62" spans="1:12" x14ac:dyDescent="0.3">
      <c r="A62" s="9" t="s">
        <v>103</v>
      </c>
      <c r="B62" s="10" t="s">
        <v>472</v>
      </c>
      <c r="C62" s="10" t="s">
        <v>22</v>
      </c>
      <c r="D62" s="10" t="s">
        <v>44</v>
      </c>
      <c r="E62" s="10" t="s">
        <v>693</v>
      </c>
      <c r="F62" s="10" t="s">
        <v>694</v>
      </c>
      <c r="G62" s="10" t="s">
        <v>695</v>
      </c>
      <c r="H62" s="11">
        <v>12</v>
      </c>
      <c r="I62" s="11">
        <v>2</v>
      </c>
      <c r="J62" s="11">
        <f t="shared" si="1"/>
        <v>6.5714285714285712</v>
      </c>
      <c r="K62" s="12">
        <f t="shared" si="2"/>
        <v>0.16666666666666666</v>
      </c>
      <c r="L62" s="12">
        <f t="shared" si="3"/>
        <v>0.54761904761904756</v>
      </c>
    </row>
    <row r="63" spans="1:12" x14ac:dyDescent="0.3">
      <c r="A63" s="9" t="s">
        <v>144</v>
      </c>
      <c r="B63" s="10" t="s">
        <v>502</v>
      </c>
      <c r="C63" s="10" t="s">
        <v>22</v>
      </c>
      <c r="D63" s="10" t="s">
        <v>44</v>
      </c>
      <c r="E63" s="10" t="s">
        <v>693</v>
      </c>
      <c r="F63" s="10" t="s">
        <v>694</v>
      </c>
      <c r="G63" s="10" t="s">
        <v>695</v>
      </c>
      <c r="H63" s="11">
        <v>13</v>
      </c>
      <c r="I63" s="11">
        <v>8</v>
      </c>
      <c r="J63" s="11">
        <f t="shared" si="1"/>
        <v>26.285714285714285</v>
      </c>
      <c r="K63" s="12">
        <f t="shared" si="2"/>
        <v>0.61538461538461542</v>
      </c>
      <c r="L63" s="12">
        <f t="shared" si="3"/>
        <v>2.0219780219780219</v>
      </c>
    </row>
    <row r="64" spans="1:12" x14ac:dyDescent="0.3">
      <c r="A64" s="9" t="s">
        <v>78</v>
      </c>
      <c r="B64" s="10" t="s">
        <v>447</v>
      </c>
      <c r="C64" s="10" t="s">
        <v>20</v>
      </c>
      <c r="D64" s="10" t="s">
        <v>32</v>
      </c>
      <c r="E64" s="10" t="s">
        <v>693</v>
      </c>
      <c r="F64" s="10" t="s">
        <v>694</v>
      </c>
      <c r="G64" s="10" t="s">
        <v>696</v>
      </c>
      <c r="H64" s="11">
        <v>16</v>
      </c>
      <c r="I64" s="11">
        <v>4</v>
      </c>
      <c r="J64" s="11">
        <f t="shared" si="1"/>
        <v>13.142857142857142</v>
      </c>
      <c r="K64" s="12">
        <f t="shared" si="2"/>
        <v>0.25</v>
      </c>
      <c r="L64" s="12">
        <f t="shared" si="3"/>
        <v>0.8214285714285714</v>
      </c>
    </row>
    <row r="65" spans="1:12" x14ac:dyDescent="0.3">
      <c r="A65" s="9" t="s">
        <v>84</v>
      </c>
      <c r="B65" s="10" t="s">
        <v>453</v>
      </c>
      <c r="C65" s="10" t="s">
        <v>22</v>
      </c>
      <c r="D65" s="10" t="s">
        <v>48</v>
      </c>
      <c r="E65" s="10" t="s">
        <v>693</v>
      </c>
      <c r="F65" s="10" t="s">
        <v>694</v>
      </c>
      <c r="G65" s="10" t="s">
        <v>699</v>
      </c>
      <c r="H65" s="11">
        <v>11</v>
      </c>
      <c r="I65" s="11">
        <v>0</v>
      </c>
      <c r="J65" s="11">
        <f t="shared" si="1"/>
        <v>0</v>
      </c>
      <c r="K65" s="12">
        <f t="shared" si="2"/>
        <v>0</v>
      </c>
      <c r="L65" s="12">
        <f t="shared" si="3"/>
        <v>0</v>
      </c>
    </row>
    <row r="66" spans="1:12" x14ac:dyDescent="0.3">
      <c r="A66" s="9" t="s">
        <v>26</v>
      </c>
      <c r="B66" s="10" t="s">
        <v>408</v>
      </c>
      <c r="C66" s="10" t="s">
        <v>20</v>
      </c>
      <c r="D66" s="10" t="s">
        <v>34</v>
      </c>
      <c r="E66" s="10" t="s">
        <v>693</v>
      </c>
      <c r="F66" s="10" t="s">
        <v>694</v>
      </c>
      <c r="G66" s="10" t="s">
        <v>697</v>
      </c>
      <c r="H66" s="11">
        <v>23</v>
      </c>
      <c r="I66" s="11">
        <v>3</v>
      </c>
      <c r="J66" s="11">
        <f t="shared" si="1"/>
        <v>9.8571428571428559</v>
      </c>
      <c r="K66" s="12">
        <f t="shared" si="2"/>
        <v>0.13043478260869565</v>
      </c>
      <c r="L66" s="12">
        <f t="shared" si="3"/>
        <v>0.42857142857142849</v>
      </c>
    </row>
    <row r="67" spans="1:12" x14ac:dyDescent="0.3">
      <c r="A67" s="9" t="s">
        <v>145</v>
      </c>
      <c r="B67" s="10" t="s">
        <v>503</v>
      </c>
      <c r="C67" s="10" t="s">
        <v>20</v>
      </c>
      <c r="D67" s="10" t="s">
        <v>36</v>
      </c>
      <c r="E67" s="10" t="s">
        <v>693</v>
      </c>
      <c r="F67" s="10" t="s">
        <v>694</v>
      </c>
      <c r="G67" s="10" t="s">
        <v>697</v>
      </c>
      <c r="H67" s="11">
        <v>20</v>
      </c>
      <c r="I67" s="11">
        <v>11</v>
      </c>
      <c r="J67" s="11">
        <f t="shared" si="1"/>
        <v>36.142857142857139</v>
      </c>
      <c r="K67" s="12">
        <f t="shared" si="2"/>
        <v>0.55000000000000004</v>
      </c>
      <c r="L67" s="12">
        <f t="shared" si="3"/>
        <v>1.8071428571428569</v>
      </c>
    </row>
    <row r="68" spans="1:12" x14ac:dyDescent="0.3">
      <c r="A68" s="9" t="s">
        <v>146</v>
      </c>
      <c r="B68" s="10" t="s">
        <v>504</v>
      </c>
      <c r="C68" s="10" t="s">
        <v>20</v>
      </c>
      <c r="D68" s="10" t="s">
        <v>30</v>
      </c>
      <c r="E68" s="10" t="s">
        <v>693</v>
      </c>
      <c r="F68" s="10" t="s">
        <v>694</v>
      </c>
      <c r="G68" s="10" t="s">
        <v>696</v>
      </c>
      <c r="H68" s="11">
        <v>17</v>
      </c>
      <c r="I68" s="11">
        <v>6</v>
      </c>
      <c r="J68" s="11">
        <f t="shared" si="1"/>
        <v>19.714285714285712</v>
      </c>
      <c r="K68" s="12">
        <f t="shared" si="2"/>
        <v>0.35294117647058826</v>
      </c>
      <c r="L68" s="12">
        <f t="shared" si="3"/>
        <v>1.1596638655462184</v>
      </c>
    </row>
    <row r="69" spans="1:12" x14ac:dyDescent="0.3">
      <c r="A69" s="9" t="s">
        <v>27</v>
      </c>
      <c r="B69" s="10" t="s">
        <v>409</v>
      </c>
      <c r="C69" s="10" t="s">
        <v>20</v>
      </c>
      <c r="D69" s="10" t="s">
        <v>36</v>
      </c>
      <c r="E69" s="10" t="s">
        <v>693</v>
      </c>
      <c r="F69" s="10" t="s">
        <v>694</v>
      </c>
      <c r="G69" s="10" t="s">
        <v>697</v>
      </c>
      <c r="H69" s="11">
        <v>24</v>
      </c>
      <c r="I69" s="11">
        <v>14</v>
      </c>
      <c r="J69" s="11">
        <f t="shared" si="1"/>
        <v>46</v>
      </c>
      <c r="K69" s="12">
        <f t="shared" si="2"/>
        <v>0.58333333333333337</v>
      </c>
      <c r="L69" s="12">
        <f t="shared" si="3"/>
        <v>1.9166666666666667</v>
      </c>
    </row>
    <row r="70" spans="1:12" x14ac:dyDescent="0.3">
      <c r="A70" s="9" t="s">
        <v>83</v>
      </c>
      <c r="B70" s="10" t="s">
        <v>452</v>
      </c>
      <c r="C70" s="10" t="s">
        <v>22</v>
      </c>
      <c r="D70" s="10" t="s">
        <v>28</v>
      </c>
      <c r="E70" s="10" t="s">
        <v>693</v>
      </c>
      <c r="F70" s="10" t="s">
        <v>694</v>
      </c>
      <c r="G70" s="10" t="s">
        <v>695</v>
      </c>
      <c r="H70" s="11">
        <v>8</v>
      </c>
      <c r="I70" s="11">
        <v>1</v>
      </c>
      <c r="J70" s="11">
        <f t="shared" si="1"/>
        <v>3.2857142857142856</v>
      </c>
      <c r="K70" s="12">
        <f t="shared" ref="K70:K133" si="11">IFERROR((I70/H70),0)</f>
        <v>0.125</v>
      </c>
      <c r="L70" s="12">
        <f t="shared" ref="L70:L133" si="12">IFERROR((J70/H70),0)</f>
        <v>0.4107142857142857</v>
      </c>
    </row>
    <row r="71" spans="1:12" x14ac:dyDescent="0.3">
      <c r="A71" s="9" t="s">
        <v>70</v>
      </c>
      <c r="B71" s="10" t="s">
        <v>439</v>
      </c>
      <c r="C71" s="10" t="s">
        <v>20</v>
      </c>
      <c r="D71" s="10" t="s">
        <v>32</v>
      </c>
      <c r="E71" s="10" t="s">
        <v>693</v>
      </c>
      <c r="F71" s="10" t="s">
        <v>694</v>
      </c>
      <c r="G71" s="10" t="s">
        <v>696</v>
      </c>
      <c r="H71" s="11">
        <v>15</v>
      </c>
      <c r="I71" s="11">
        <v>13</v>
      </c>
      <c r="J71" s="11">
        <f t="shared" si="1"/>
        <v>42.714285714285715</v>
      </c>
      <c r="K71" s="12">
        <f t="shared" si="11"/>
        <v>0.8666666666666667</v>
      </c>
      <c r="L71" s="12">
        <f t="shared" si="12"/>
        <v>2.8476190476190477</v>
      </c>
    </row>
    <row r="72" spans="1:12" x14ac:dyDescent="0.3">
      <c r="A72" s="9" t="s">
        <v>100</v>
      </c>
      <c r="B72" s="10" t="s">
        <v>469</v>
      </c>
      <c r="C72" s="10" t="s">
        <v>20</v>
      </c>
      <c r="D72" s="10" t="s">
        <v>38</v>
      </c>
      <c r="E72" s="10" t="s">
        <v>693</v>
      </c>
      <c r="F72" s="10" t="s">
        <v>694</v>
      </c>
      <c r="G72" s="10" t="s">
        <v>696</v>
      </c>
      <c r="H72" s="11">
        <v>9</v>
      </c>
      <c r="I72" s="11">
        <v>2</v>
      </c>
      <c r="J72" s="11">
        <f t="shared" si="1"/>
        <v>6.5714285714285712</v>
      </c>
      <c r="K72" s="12">
        <f t="shared" si="11"/>
        <v>0.22222222222222221</v>
      </c>
      <c r="L72" s="12">
        <f t="shared" si="12"/>
        <v>0.73015873015873012</v>
      </c>
    </row>
    <row r="73" spans="1:12" x14ac:dyDescent="0.3">
      <c r="A73" s="9" t="s">
        <v>147</v>
      </c>
      <c r="B73" s="10" t="s">
        <v>505</v>
      </c>
      <c r="C73" s="10" t="s">
        <v>22</v>
      </c>
      <c r="D73" s="10" t="s">
        <v>42</v>
      </c>
      <c r="E73" s="10" t="s">
        <v>693</v>
      </c>
      <c r="F73" s="10" t="s">
        <v>694</v>
      </c>
      <c r="G73" s="10" t="s">
        <v>699</v>
      </c>
      <c r="H73" s="11">
        <v>12</v>
      </c>
      <c r="I73" s="11">
        <v>1</v>
      </c>
      <c r="J73" s="11">
        <f t="shared" si="1"/>
        <v>3.2857142857142856</v>
      </c>
      <c r="K73" s="12">
        <f t="shared" si="11"/>
        <v>8.3333333333333329E-2</v>
      </c>
      <c r="L73" s="12">
        <f t="shared" si="12"/>
        <v>0.27380952380952378</v>
      </c>
    </row>
    <row r="74" spans="1:12" x14ac:dyDescent="0.3">
      <c r="A74" s="9" t="s">
        <v>148</v>
      </c>
      <c r="B74" s="10" t="s">
        <v>506</v>
      </c>
      <c r="C74" s="10" t="s">
        <v>22</v>
      </c>
      <c r="D74" s="10" t="s">
        <v>46</v>
      </c>
      <c r="E74" s="10" t="s">
        <v>693</v>
      </c>
      <c r="F74" s="10" t="s">
        <v>694</v>
      </c>
      <c r="G74" s="10" t="s">
        <v>700</v>
      </c>
      <c r="H74" s="11">
        <v>8</v>
      </c>
      <c r="I74" s="11">
        <v>0</v>
      </c>
      <c r="J74" s="11">
        <f t="shared" si="1"/>
        <v>0</v>
      </c>
      <c r="K74" s="12">
        <f t="shared" si="11"/>
        <v>0</v>
      </c>
      <c r="L74" s="12">
        <f t="shared" si="12"/>
        <v>0</v>
      </c>
    </row>
    <row r="75" spans="1:12" x14ac:dyDescent="0.3">
      <c r="A75" s="9" t="s">
        <v>72</v>
      </c>
      <c r="B75" s="10" t="s">
        <v>441</v>
      </c>
      <c r="C75" s="10" t="s">
        <v>20</v>
      </c>
      <c r="D75" s="10" t="s">
        <v>30</v>
      </c>
      <c r="E75" s="10" t="s">
        <v>693</v>
      </c>
      <c r="F75" s="10" t="s">
        <v>694</v>
      </c>
      <c r="G75" s="10" t="s">
        <v>696</v>
      </c>
      <c r="H75" s="11">
        <v>17</v>
      </c>
      <c r="I75" s="11">
        <v>4</v>
      </c>
      <c r="J75" s="11">
        <f t="shared" si="1"/>
        <v>13.142857142857142</v>
      </c>
      <c r="K75" s="12">
        <f t="shared" si="11"/>
        <v>0.23529411764705882</v>
      </c>
      <c r="L75" s="12">
        <f t="shared" si="12"/>
        <v>0.77310924369747891</v>
      </c>
    </row>
    <row r="76" spans="1:12" x14ac:dyDescent="0.3">
      <c r="A76" s="9" t="s">
        <v>87</v>
      </c>
      <c r="B76" s="10" t="s">
        <v>456</v>
      </c>
      <c r="C76" s="10" t="s">
        <v>20</v>
      </c>
      <c r="D76" s="10" t="s">
        <v>38</v>
      </c>
      <c r="E76" s="10" t="s">
        <v>693</v>
      </c>
      <c r="F76" s="10" t="s">
        <v>694</v>
      </c>
      <c r="G76" s="10" t="s">
        <v>696</v>
      </c>
      <c r="H76" s="11">
        <v>9</v>
      </c>
      <c r="I76" s="11">
        <v>1</v>
      </c>
      <c r="J76" s="11">
        <f t="shared" si="1"/>
        <v>3.2857142857142856</v>
      </c>
      <c r="K76" s="12">
        <f t="shared" si="11"/>
        <v>0.1111111111111111</v>
      </c>
      <c r="L76" s="12">
        <f t="shared" si="12"/>
        <v>0.36507936507936506</v>
      </c>
    </row>
    <row r="77" spans="1:12" x14ac:dyDescent="0.3">
      <c r="A77" s="9" t="s">
        <v>85</v>
      </c>
      <c r="B77" s="10" t="s">
        <v>454</v>
      </c>
      <c r="C77" s="10" t="s">
        <v>22</v>
      </c>
      <c r="D77" s="10" t="s">
        <v>46</v>
      </c>
      <c r="E77" s="10" t="s">
        <v>693</v>
      </c>
      <c r="F77" s="10" t="s">
        <v>694</v>
      </c>
      <c r="G77" s="10" t="s">
        <v>700</v>
      </c>
      <c r="H77" s="11">
        <v>18</v>
      </c>
      <c r="I77" s="11">
        <v>5</v>
      </c>
      <c r="J77" s="11">
        <f t="shared" si="1"/>
        <v>16.428571428571431</v>
      </c>
      <c r="K77" s="12">
        <f t="shared" si="11"/>
        <v>0.27777777777777779</v>
      </c>
      <c r="L77" s="12">
        <f t="shared" si="12"/>
        <v>0.91269841269841279</v>
      </c>
    </row>
    <row r="78" spans="1:12" x14ac:dyDescent="0.3">
      <c r="A78" s="9" t="s">
        <v>37</v>
      </c>
      <c r="B78" s="10" t="s">
        <v>414</v>
      </c>
      <c r="C78" s="10" t="s">
        <v>20</v>
      </c>
      <c r="D78" s="10" t="s">
        <v>38</v>
      </c>
      <c r="E78" s="10" t="s">
        <v>693</v>
      </c>
      <c r="F78" s="10" t="s">
        <v>694</v>
      </c>
      <c r="G78" s="10" t="s">
        <v>696</v>
      </c>
      <c r="H78" s="11">
        <v>21</v>
      </c>
      <c r="I78" s="11">
        <v>8</v>
      </c>
      <c r="J78" s="11">
        <f t="shared" si="1"/>
        <v>26.285714285714285</v>
      </c>
      <c r="K78" s="12">
        <f t="shared" si="11"/>
        <v>0.38095238095238093</v>
      </c>
      <c r="L78" s="12">
        <f t="shared" si="12"/>
        <v>1.2517006802721089</v>
      </c>
    </row>
    <row r="79" spans="1:12" x14ac:dyDescent="0.3">
      <c r="A79" s="9" t="s">
        <v>93</v>
      </c>
      <c r="B79" s="10" t="s">
        <v>462</v>
      </c>
      <c r="C79" s="10" t="s">
        <v>22</v>
      </c>
      <c r="D79" s="10" t="s">
        <v>42</v>
      </c>
      <c r="E79" s="10" t="s">
        <v>693</v>
      </c>
      <c r="F79" s="10" t="s">
        <v>694</v>
      </c>
      <c r="G79" s="10" t="s">
        <v>699</v>
      </c>
      <c r="H79" s="11">
        <v>12</v>
      </c>
      <c r="I79" s="11">
        <v>5</v>
      </c>
      <c r="J79" s="11">
        <f t="shared" si="1"/>
        <v>16.428571428571431</v>
      </c>
      <c r="K79" s="12">
        <f t="shared" si="11"/>
        <v>0.41666666666666669</v>
      </c>
      <c r="L79" s="12">
        <f t="shared" si="12"/>
        <v>1.3690476190476193</v>
      </c>
    </row>
    <row r="80" spans="1:12" x14ac:dyDescent="0.3">
      <c r="A80" s="9" t="s">
        <v>149</v>
      </c>
      <c r="B80" s="10" t="s">
        <v>507</v>
      </c>
      <c r="C80" s="10" t="s">
        <v>22</v>
      </c>
      <c r="D80" s="10" t="s">
        <v>46</v>
      </c>
      <c r="E80" s="10" t="s">
        <v>693</v>
      </c>
      <c r="F80" s="10" t="s">
        <v>694</v>
      </c>
      <c r="G80" s="10" t="s">
        <v>700</v>
      </c>
      <c r="H80" s="11">
        <v>15</v>
      </c>
      <c r="I80" s="11">
        <v>2</v>
      </c>
      <c r="J80" s="11">
        <f t="shared" si="1"/>
        <v>6.5714285714285712</v>
      </c>
      <c r="K80" s="12">
        <f t="shared" si="11"/>
        <v>0.13333333333333333</v>
      </c>
      <c r="L80" s="12">
        <f t="shared" si="12"/>
        <v>0.43809523809523809</v>
      </c>
    </row>
    <row r="81" spans="1:12" x14ac:dyDescent="0.3">
      <c r="A81" s="9" t="s">
        <v>150</v>
      </c>
      <c r="B81" s="10" t="s">
        <v>508</v>
      </c>
      <c r="C81" s="10" t="s">
        <v>20</v>
      </c>
      <c r="D81" s="10" t="s">
        <v>30</v>
      </c>
      <c r="E81" s="10" t="s">
        <v>693</v>
      </c>
      <c r="F81" s="10" t="s">
        <v>694</v>
      </c>
      <c r="G81" s="10" t="s">
        <v>696</v>
      </c>
      <c r="H81" s="11">
        <v>21</v>
      </c>
      <c r="I81" s="11">
        <v>9</v>
      </c>
      <c r="J81" s="11">
        <f t="shared" si="1"/>
        <v>29.571428571428573</v>
      </c>
      <c r="K81" s="12">
        <f t="shared" si="11"/>
        <v>0.42857142857142855</v>
      </c>
      <c r="L81" s="12">
        <f t="shared" si="12"/>
        <v>1.4081632653061225</v>
      </c>
    </row>
    <row r="82" spans="1:12" x14ac:dyDescent="0.3">
      <c r="A82" s="9" t="s">
        <v>86</v>
      </c>
      <c r="B82" s="10" t="s">
        <v>455</v>
      </c>
      <c r="C82" s="10" t="s">
        <v>22</v>
      </c>
      <c r="D82" s="10" t="s">
        <v>48</v>
      </c>
      <c r="E82" s="10" t="s">
        <v>693</v>
      </c>
      <c r="F82" s="10" t="s">
        <v>694</v>
      </c>
      <c r="G82" s="10" t="s">
        <v>699</v>
      </c>
      <c r="H82" s="11">
        <v>11</v>
      </c>
      <c r="I82" s="11">
        <v>2</v>
      </c>
      <c r="J82" s="11">
        <f t="shared" si="1"/>
        <v>6.5714285714285712</v>
      </c>
      <c r="K82" s="12">
        <f t="shared" si="11"/>
        <v>0.18181818181818182</v>
      </c>
      <c r="L82" s="12">
        <f t="shared" si="12"/>
        <v>0.59740259740259738</v>
      </c>
    </row>
    <row r="83" spans="1:12" x14ac:dyDescent="0.3">
      <c r="A83" s="9" t="s">
        <v>111</v>
      </c>
      <c r="B83" s="10" t="s">
        <v>480</v>
      </c>
      <c r="C83" s="10" t="s">
        <v>20</v>
      </c>
      <c r="D83" s="10" t="s">
        <v>38</v>
      </c>
      <c r="E83" s="10" t="s">
        <v>693</v>
      </c>
      <c r="F83" s="10" t="s">
        <v>694</v>
      </c>
      <c r="G83" s="10" t="s">
        <v>696</v>
      </c>
      <c r="H83" s="11">
        <v>8</v>
      </c>
      <c r="I83" s="11">
        <v>1</v>
      </c>
      <c r="J83" s="11">
        <f t="shared" si="1"/>
        <v>3.2857142857142856</v>
      </c>
      <c r="K83" s="12">
        <f t="shared" si="11"/>
        <v>0.125</v>
      </c>
      <c r="L83" s="12">
        <f t="shared" si="12"/>
        <v>0.4107142857142857</v>
      </c>
    </row>
    <row r="84" spans="1:12" x14ac:dyDescent="0.3">
      <c r="A84" s="9" t="s">
        <v>151</v>
      </c>
      <c r="B84" s="10" t="s">
        <v>509</v>
      </c>
      <c r="C84" s="10" t="s">
        <v>22</v>
      </c>
      <c r="D84" s="10" t="s">
        <v>48</v>
      </c>
      <c r="E84" s="10" t="s">
        <v>693</v>
      </c>
      <c r="F84" s="10" t="s">
        <v>701</v>
      </c>
      <c r="G84" s="10" t="s">
        <v>699</v>
      </c>
      <c r="H84" s="11">
        <v>7</v>
      </c>
      <c r="I84" s="11">
        <v>0</v>
      </c>
      <c r="J84" s="11">
        <f t="shared" si="1"/>
        <v>0</v>
      </c>
      <c r="K84" s="12">
        <f t="shared" si="11"/>
        <v>0</v>
      </c>
      <c r="L84" s="12">
        <f t="shared" si="12"/>
        <v>0</v>
      </c>
    </row>
    <row r="85" spans="1:12" x14ac:dyDescent="0.3">
      <c r="A85" s="9" t="s">
        <v>96</v>
      </c>
      <c r="B85" s="10" t="s">
        <v>465</v>
      </c>
      <c r="C85" s="10" t="s">
        <v>22</v>
      </c>
      <c r="D85" s="10" t="s">
        <v>40</v>
      </c>
      <c r="E85" s="10" t="s">
        <v>693</v>
      </c>
      <c r="F85" s="10" t="s">
        <v>694</v>
      </c>
      <c r="G85" s="10" t="s">
        <v>698</v>
      </c>
      <c r="H85" s="11">
        <v>10</v>
      </c>
      <c r="I85" s="11">
        <v>1</v>
      </c>
      <c r="J85" s="11">
        <f t="shared" si="1"/>
        <v>3.2857142857142856</v>
      </c>
      <c r="K85" s="12">
        <f t="shared" si="11"/>
        <v>0.1</v>
      </c>
      <c r="L85" s="12">
        <f t="shared" si="12"/>
        <v>0.32857142857142857</v>
      </c>
    </row>
    <row r="86" spans="1:12" x14ac:dyDescent="0.3">
      <c r="A86" s="9" t="s">
        <v>81</v>
      </c>
      <c r="B86" s="10" t="s">
        <v>450</v>
      </c>
      <c r="C86" s="10" t="s">
        <v>22</v>
      </c>
      <c r="D86" s="10" t="s">
        <v>28</v>
      </c>
      <c r="E86" s="10" t="s">
        <v>693</v>
      </c>
      <c r="F86" s="10" t="s">
        <v>694</v>
      </c>
      <c r="G86" s="10" t="s">
        <v>695</v>
      </c>
      <c r="H86" s="11">
        <v>20</v>
      </c>
      <c r="I86" s="11">
        <v>2</v>
      </c>
      <c r="J86" s="11">
        <f t="shared" si="1"/>
        <v>6.5714285714285712</v>
      </c>
      <c r="K86" s="12">
        <f t="shared" si="11"/>
        <v>0.1</v>
      </c>
      <c r="L86" s="12">
        <f t="shared" si="12"/>
        <v>0.32857142857142857</v>
      </c>
    </row>
    <row r="87" spans="1:12" x14ac:dyDescent="0.3">
      <c r="A87" s="9" t="s">
        <v>97</v>
      </c>
      <c r="B87" s="10" t="s">
        <v>466</v>
      </c>
      <c r="C87" s="10" t="s">
        <v>20</v>
      </c>
      <c r="D87" s="10" t="s">
        <v>36</v>
      </c>
      <c r="E87" s="10" t="s">
        <v>693</v>
      </c>
      <c r="F87" s="10" t="s">
        <v>694</v>
      </c>
      <c r="G87" s="10" t="s">
        <v>697</v>
      </c>
      <c r="H87" s="11">
        <v>10</v>
      </c>
      <c r="I87" s="11">
        <v>3</v>
      </c>
      <c r="J87" s="11">
        <f t="shared" si="1"/>
        <v>9.8571428571428559</v>
      </c>
      <c r="K87" s="12">
        <f t="shared" si="11"/>
        <v>0.3</v>
      </c>
      <c r="L87" s="12">
        <f t="shared" si="12"/>
        <v>0.98571428571428554</v>
      </c>
    </row>
    <row r="88" spans="1:12" x14ac:dyDescent="0.3">
      <c r="A88" s="9" t="s">
        <v>95</v>
      </c>
      <c r="B88" s="10" t="s">
        <v>464</v>
      </c>
      <c r="C88" s="10" t="s">
        <v>20</v>
      </c>
      <c r="D88" s="10" t="s">
        <v>34</v>
      </c>
      <c r="E88" s="10" t="s">
        <v>693</v>
      </c>
      <c r="F88" s="10" t="s">
        <v>694</v>
      </c>
      <c r="G88" s="10" t="s">
        <v>697</v>
      </c>
      <c r="H88" s="11">
        <v>10</v>
      </c>
      <c r="I88" s="11">
        <v>1</v>
      </c>
      <c r="J88" s="11">
        <f t="shared" ref="J88:J194" si="13">IFERROR((I88/$A$1*$B$1),0)</f>
        <v>3.2857142857142856</v>
      </c>
      <c r="K88" s="12">
        <f t="shared" si="11"/>
        <v>0.1</v>
      </c>
      <c r="L88" s="12">
        <f t="shared" si="12"/>
        <v>0.32857142857142857</v>
      </c>
    </row>
    <row r="89" spans="1:12" x14ac:dyDescent="0.3">
      <c r="A89" s="9" t="s">
        <v>69</v>
      </c>
      <c r="B89" s="10" t="s">
        <v>438</v>
      </c>
      <c r="C89" s="10" t="s">
        <v>20</v>
      </c>
      <c r="D89" s="10" t="s">
        <v>38</v>
      </c>
      <c r="E89" s="10" t="s">
        <v>693</v>
      </c>
      <c r="F89" s="10" t="s">
        <v>694</v>
      </c>
      <c r="G89" s="10" t="s">
        <v>696</v>
      </c>
      <c r="H89" s="11">
        <v>11</v>
      </c>
      <c r="I89" s="11">
        <v>6</v>
      </c>
      <c r="J89" s="11">
        <f t="shared" si="13"/>
        <v>19.714285714285712</v>
      </c>
      <c r="K89" s="12">
        <f t="shared" si="11"/>
        <v>0.54545454545454541</v>
      </c>
      <c r="L89" s="12">
        <f t="shared" si="12"/>
        <v>1.7922077922077919</v>
      </c>
    </row>
    <row r="90" spans="1:12" x14ac:dyDescent="0.3">
      <c r="A90" s="9" t="s">
        <v>80</v>
      </c>
      <c r="B90" s="10" t="s">
        <v>449</v>
      </c>
      <c r="C90" s="10" t="s">
        <v>22</v>
      </c>
      <c r="D90" s="10" t="s">
        <v>28</v>
      </c>
      <c r="E90" s="10" t="s">
        <v>693</v>
      </c>
      <c r="F90" s="10" t="s">
        <v>694</v>
      </c>
      <c r="G90" s="10" t="s">
        <v>695</v>
      </c>
      <c r="H90" s="11">
        <v>12</v>
      </c>
      <c r="I90" s="11">
        <v>3</v>
      </c>
      <c r="J90" s="11">
        <f t="shared" si="13"/>
        <v>9.8571428571428559</v>
      </c>
      <c r="K90" s="12">
        <f t="shared" si="11"/>
        <v>0.25</v>
      </c>
      <c r="L90" s="12">
        <f t="shared" si="12"/>
        <v>0.82142857142857129</v>
      </c>
    </row>
    <row r="91" spans="1:12" x14ac:dyDescent="0.3">
      <c r="A91" s="9" t="s">
        <v>101</v>
      </c>
      <c r="B91" s="10" t="s">
        <v>470</v>
      </c>
      <c r="C91" s="10" t="s">
        <v>22</v>
      </c>
      <c r="D91" s="10" t="s">
        <v>48</v>
      </c>
      <c r="E91" s="10" t="s">
        <v>693</v>
      </c>
      <c r="F91" s="10" t="s">
        <v>694</v>
      </c>
      <c r="G91" s="10" t="s">
        <v>699</v>
      </c>
      <c r="H91" s="11">
        <v>9</v>
      </c>
      <c r="I91" s="11">
        <v>0</v>
      </c>
      <c r="J91" s="11">
        <f t="shared" si="13"/>
        <v>0</v>
      </c>
      <c r="K91" s="12">
        <f t="shared" si="11"/>
        <v>0</v>
      </c>
      <c r="L91" s="12">
        <f t="shared" si="12"/>
        <v>0</v>
      </c>
    </row>
    <row r="92" spans="1:12" x14ac:dyDescent="0.3">
      <c r="A92" s="9" t="s">
        <v>104</v>
      </c>
      <c r="B92" s="10" t="s">
        <v>473</v>
      </c>
      <c r="C92" s="10" t="s">
        <v>22</v>
      </c>
      <c r="D92" s="10" t="s">
        <v>28</v>
      </c>
      <c r="E92" s="10" t="s">
        <v>693</v>
      </c>
      <c r="F92" s="10" t="s">
        <v>694</v>
      </c>
      <c r="G92" s="10" t="s">
        <v>695</v>
      </c>
      <c r="H92" s="11">
        <v>10</v>
      </c>
      <c r="I92" s="11">
        <v>1</v>
      </c>
      <c r="J92" s="11">
        <f t="shared" si="13"/>
        <v>3.2857142857142856</v>
      </c>
      <c r="K92" s="12">
        <f t="shared" si="11"/>
        <v>0.1</v>
      </c>
      <c r="L92" s="12">
        <f t="shared" si="12"/>
        <v>0.32857142857142857</v>
      </c>
    </row>
    <row r="93" spans="1:12" x14ac:dyDescent="0.3">
      <c r="A93" s="9" t="s">
        <v>88</v>
      </c>
      <c r="B93" s="10" t="s">
        <v>457</v>
      </c>
      <c r="C93" s="10" t="s">
        <v>22</v>
      </c>
      <c r="D93" s="10" t="s">
        <v>48</v>
      </c>
      <c r="E93" s="10" t="s">
        <v>693</v>
      </c>
      <c r="F93" s="10" t="s">
        <v>694</v>
      </c>
      <c r="G93" s="10" t="s">
        <v>699</v>
      </c>
      <c r="H93" s="11">
        <v>10</v>
      </c>
      <c r="I93" s="11">
        <v>1</v>
      </c>
      <c r="J93" s="11">
        <f t="shared" si="13"/>
        <v>3.2857142857142856</v>
      </c>
      <c r="K93" s="12">
        <f t="shared" si="11"/>
        <v>0.1</v>
      </c>
      <c r="L93" s="12">
        <f t="shared" si="12"/>
        <v>0.32857142857142857</v>
      </c>
    </row>
    <row r="94" spans="1:12" x14ac:dyDescent="0.3">
      <c r="A94" s="9" t="s">
        <v>77</v>
      </c>
      <c r="B94" s="10" t="s">
        <v>446</v>
      </c>
      <c r="C94" s="10" t="s">
        <v>20</v>
      </c>
      <c r="D94" s="10" t="s">
        <v>36</v>
      </c>
      <c r="E94" s="10" t="s">
        <v>693</v>
      </c>
      <c r="F94" s="10" t="s">
        <v>694</v>
      </c>
      <c r="G94" s="10" t="s">
        <v>697</v>
      </c>
      <c r="H94" s="11">
        <v>18</v>
      </c>
      <c r="I94" s="11">
        <v>7</v>
      </c>
      <c r="J94" s="11">
        <f t="shared" si="13"/>
        <v>23</v>
      </c>
      <c r="K94" s="12">
        <f t="shared" si="11"/>
        <v>0.3888888888888889</v>
      </c>
      <c r="L94" s="12">
        <f t="shared" si="12"/>
        <v>1.2777777777777777</v>
      </c>
    </row>
    <row r="95" spans="1:12" x14ac:dyDescent="0.3">
      <c r="A95" s="9" t="s">
        <v>107</v>
      </c>
      <c r="B95" s="10" t="s">
        <v>476</v>
      </c>
      <c r="C95" s="10" t="s">
        <v>22</v>
      </c>
      <c r="D95" s="10" t="s">
        <v>40</v>
      </c>
      <c r="E95" s="10" t="s">
        <v>693</v>
      </c>
      <c r="F95" s="10" t="s">
        <v>694</v>
      </c>
      <c r="G95" s="10" t="s">
        <v>698</v>
      </c>
      <c r="H95" s="11">
        <v>11</v>
      </c>
      <c r="I95" s="11">
        <v>0</v>
      </c>
      <c r="J95" s="11">
        <f t="shared" si="13"/>
        <v>0</v>
      </c>
      <c r="K95" s="12">
        <f t="shared" si="11"/>
        <v>0</v>
      </c>
      <c r="L95" s="12">
        <f t="shared" si="12"/>
        <v>0</v>
      </c>
    </row>
    <row r="96" spans="1:12" x14ac:dyDescent="0.3">
      <c r="A96" s="9" t="s">
        <v>82</v>
      </c>
      <c r="B96" s="10" t="s">
        <v>451</v>
      </c>
      <c r="C96" s="10" t="s">
        <v>22</v>
      </c>
      <c r="D96" s="10" t="s">
        <v>44</v>
      </c>
      <c r="E96" s="10" t="s">
        <v>693</v>
      </c>
      <c r="F96" s="10" t="s">
        <v>694</v>
      </c>
      <c r="G96" s="10" t="s">
        <v>698</v>
      </c>
      <c r="H96" s="11">
        <v>10</v>
      </c>
      <c r="I96" s="11">
        <v>1</v>
      </c>
      <c r="J96" s="11">
        <f t="shared" si="13"/>
        <v>3.2857142857142856</v>
      </c>
      <c r="K96" s="12">
        <f t="shared" si="11"/>
        <v>0.1</v>
      </c>
      <c r="L96" s="12">
        <f t="shared" si="12"/>
        <v>0.32857142857142857</v>
      </c>
    </row>
    <row r="97" spans="1:12" x14ac:dyDescent="0.3">
      <c r="A97" s="9" t="s">
        <v>89</v>
      </c>
      <c r="B97" s="10" t="s">
        <v>458</v>
      </c>
      <c r="C97" s="10" t="s">
        <v>22</v>
      </c>
      <c r="D97" s="10" t="s">
        <v>40</v>
      </c>
      <c r="E97" s="10" t="s">
        <v>693</v>
      </c>
      <c r="F97" s="10" t="s">
        <v>694</v>
      </c>
      <c r="G97" s="10" t="s">
        <v>698</v>
      </c>
      <c r="H97" s="11">
        <v>13</v>
      </c>
      <c r="I97" s="11">
        <v>2</v>
      </c>
      <c r="J97" s="11">
        <f t="shared" si="13"/>
        <v>6.5714285714285712</v>
      </c>
      <c r="K97" s="12">
        <f t="shared" si="11"/>
        <v>0.15384615384615385</v>
      </c>
      <c r="L97" s="12">
        <f t="shared" si="12"/>
        <v>0.50549450549450547</v>
      </c>
    </row>
    <row r="98" spans="1:12" x14ac:dyDescent="0.3">
      <c r="A98" s="9" t="s">
        <v>94</v>
      </c>
      <c r="B98" s="10" t="s">
        <v>463</v>
      </c>
      <c r="C98" s="10" t="s">
        <v>22</v>
      </c>
      <c r="D98" s="10" t="s">
        <v>40</v>
      </c>
      <c r="E98" s="10" t="s">
        <v>693</v>
      </c>
      <c r="F98" s="10" t="s">
        <v>694</v>
      </c>
      <c r="G98" s="10" t="s">
        <v>698</v>
      </c>
      <c r="H98" s="11">
        <v>9</v>
      </c>
      <c r="I98" s="11">
        <v>0</v>
      </c>
      <c r="J98" s="11">
        <f t="shared" si="13"/>
        <v>0</v>
      </c>
      <c r="K98" s="12">
        <f t="shared" si="11"/>
        <v>0</v>
      </c>
      <c r="L98" s="12">
        <f t="shared" si="12"/>
        <v>0</v>
      </c>
    </row>
    <row r="99" spans="1:12" x14ac:dyDescent="0.3">
      <c r="A99" s="9" t="s">
        <v>99</v>
      </c>
      <c r="B99" s="10" t="s">
        <v>468</v>
      </c>
      <c r="C99" s="10" t="s">
        <v>22</v>
      </c>
      <c r="D99" s="10" t="s">
        <v>44</v>
      </c>
      <c r="E99" s="10" t="s">
        <v>693</v>
      </c>
      <c r="F99" s="10" t="s">
        <v>694</v>
      </c>
      <c r="G99" s="10" t="s">
        <v>698</v>
      </c>
      <c r="H99" s="11">
        <v>9</v>
      </c>
      <c r="I99" s="11">
        <v>0</v>
      </c>
      <c r="J99" s="11">
        <f t="shared" si="13"/>
        <v>0</v>
      </c>
      <c r="K99" s="12">
        <f t="shared" si="11"/>
        <v>0</v>
      </c>
      <c r="L99" s="12">
        <f t="shared" si="12"/>
        <v>0</v>
      </c>
    </row>
    <row r="100" spans="1:12" x14ac:dyDescent="0.3">
      <c r="A100" s="9" t="s">
        <v>152</v>
      </c>
      <c r="B100" s="10" t="s">
        <v>510</v>
      </c>
      <c r="C100" s="10" t="s">
        <v>22</v>
      </c>
      <c r="D100" s="10" t="s">
        <v>46</v>
      </c>
      <c r="E100" s="10" t="s">
        <v>693</v>
      </c>
      <c r="F100" s="10" t="s">
        <v>694</v>
      </c>
      <c r="G100" s="10" t="s">
        <v>700</v>
      </c>
      <c r="H100" s="11">
        <v>21</v>
      </c>
      <c r="I100" s="11">
        <v>5</v>
      </c>
      <c r="J100" s="11">
        <f t="shared" si="13"/>
        <v>16.428571428571431</v>
      </c>
      <c r="K100" s="12">
        <f t="shared" si="11"/>
        <v>0.23809523809523808</v>
      </c>
      <c r="L100" s="12">
        <f t="shared" si="12"/>
        <v>0.78231292517006812</v>
      </c>
    </row>
    <row r="101" spans="1:12" x14ac:dyDescent="0.3">
      <c r="A101" s="9" t="s">
        <v>153</v>
      </c>
      <c r="B101" s="10" t="s">
        <v>511</v>
      </c>
      <c r="C101" s="10" t="s">
        <v>22</v>
      </c>
      <c r="D101" s="10" t="s">
        <v>46</v>
      </c>
      <c r="E101" s="10" t="s">
        <v>693</v>
      </c>
      <c r="F101" s="10" t="s">
        <v>694</v>
      </c>
      <c r="G101" s="10" t="s">
        <v>700</v>
      </c>
      <c r="H101" s="11">
        <v>14</v>
      </c>
      <c r="I101" s="11">
        <v>3</v>
      </c>
      <c r="J101" s="11">
        <f t="shared" si="13"/>
        <v>9.8571428571428559</v>
      </c>
      <c r="K101" s="12">
        <f t="shared" si="11"/>
        <v>0.21428571428571427</v>
      </c>
      <c r="L101" s="12">
        <f t="shared" si="12"/>
        <v>0.70408163265306112</v>
      </c>
    </row>
    <row r="102" spans="1:12" x14ac:dyDescent="0.3">
      <c r="A102" s="9" t="s">
        <v>154</v>
      </c>
      <c r="B102" s="10" t="s">
        <v>512</v>
      </c>
      <c r="C102" s="10" t="s">
        <v>22</v>
      </c>
      <c r="D102" s="10" t="s">
        <v>46</v>
      </c>
      <c r="E102" s="10" t="s">
        <v>693</v>
      </c>
      <c r="F102" s="10" t="s">
        <v>694</v>
      </c>
      <c r="G102" s="10" t="s">
        <v>700</v>
      </c>
      <c r="H102" s="11">
        <v>10</v>
      </c>
      <c r="I102" s="11">
        <v>0</v>
      </c>
      <c r="J102" s="11">
        <f t="shared" si="13"/>
        <v>0</v>
      </c>
      <c r="K102" s="12">
        <f t="shared" si="11"/>
        <v>0</v>
      </c>
      <c r="L102" s="12">
        <f t="shared" si="12"/>
        <v>0</v>
      </c>
    </row>
    <row r="103" spans="1:12" x14ac:dyDescent="0.3">
      <c r="A103" s="9" t="s">
        <v>155</v>
      </c>
      <c r="B103" s="10" t="s">
        <v>513</v>
      </c>
      <c r="C103" s="10" t="s">
        <v>22</v>
      </c>
      <c r="D103" s="10" t="s">
        <v>42</v>
      </c>
      <c r="E103" s="10" t="s">
        <v>693</v>
      </c>
      <c r="F103" s="10" t="s">
        <v>694</v>
      </c>
      <c r="G103" s="10" t="s">
        <v>699</v>
      </c>
      <c r="H103" s="11">
        <v>12</v>
      </c>
      <c r="I103" s="11">
        <v>7</v>
      </c>
      <c r="J103" s="11">
        <f t="shared" si="13"/>
        <v>23</v>
      </c>
      <c r="K103" s="12">
        <f t="shared" si="11"/>
        <v>0.58333333333333337</v>
      </c>
      <c r="L103" s="12">
        <f t="shared" si="12"/>
        <v>1.9166666666666667</v>
      </c>
    </row>
    <row r="104" spans="1:12" x14ac:dyDescent="0.3">
      <c r="A104" s="9" t="s">
        <v>108</v>
      </c>
      <c r="B104" s="10" t="s">
        <v>477</v>
      </c>
      <c r="C104" s="10" t="s">
        <v>22</v>
      </c>
      <c r="D104" s="10" t="s">
        <v>40</v>
      </c>
      <c r="E104" s="10" t="s">
        <v>693</v>
      </c>
      <c r="F104" s="10" t="s">
        <v>694</v>
      </c>
      <c r="G104" s="10" t="s">
        <v>698</v>
      </c>
      <c r="H104" s="11">
        <v>11</v>
      </c>
      <c r="I104" s="11">
        <v>1</v>
      </c>
      <c r="J104" s="11">
        <f t="shared" si="13"/>
        <v>3.2857142857142856</v>
      </c>
      <c r="K104" s="12">
        <f t="shared" si="11"/>
        <v>9.0909090909090912E-2</v>
      </c>
      <c r="L104" s="12">
        <f t="shared" si="12"/>
        <v>0.29870129870129869</v>
      </c>
    </row>
    <row r="105" spans="1:12" x14ac:dyDescent="0.3">
      <c r="A105" s="9" t="s">
        <v>114</v>
      </c>
      <c r="B105" s="10" t="s">
        <v>483</v>
      </c>
      <c r="C105" s="10" t="s">
        <v>22</v>
      </c>
      <c r="D105" s="10" t="s">
        <v>44</v>
      </c>
      <c r="E105" s="10" t="s">
        <v>693</v>
      </c>
      <c r="F105" s="10" t="s">
        <v>694</v>
      </c>
      <c r="G105" s="10" t="s">
        <v>698</v>
      </c>
      <c r="H105" s="11">
        <v>9</v>
      </c>
      <c r="I105" s="11">
        <v>1</v>
      </c>
      <c r="J105" s="11">
        <f t="shared" si="13"/>
        <v>3.2857142857142856</v>
      </c>
      <c r="K105" s="12">
        <f t="shared" si="11"/>
        <v>0.1111111111111111</v>
      </c>
      <c r="L105" s="12">
        <f t="shared" si="12"/>
        <v>0.36507936507936506</v>
      </c>
    </row>
    <row r="106" spans="1:12" x14ac:dyDescent="0.3">
      <c r="A106" s="9" t="s">
        <v>110</v>
      </c>
      <c r="B106" s="10" t="s">
        <v>479</v>
      </c>
      <c r="C106" s="10" t="s">
        <v>22</v>
      </c>
      <c r="D106" s="10" t="s">
        <v>44</v>
      </c>
      <c r="E106" s="10" t="s">
        <v>693</v>
      </c>
      <c r="F106" s="10" t="s">
        <v>694</v>
      </c>
      <c r="G106" s="10" t="s">
        <v>698</v>
      </c>
      <c r="H106" s="11">
        <v>10</v>
      </c>
      <c r="I106" s="11">
        <v>1</v>
      </c>
      <c r="J106" s="11">
        <f t="shared" si="13"/>
        <v>3.2857142857142856</v>
      </c>
      <c r="K106" s="12">
        <f t="shared" si="11"/>
        <v>0.1</v>
      </c>
      <c r="L106" s="12">
        <f t="shared" si="12"/>
        <v>0.32857142857142857</v>
      </c>
    </row>
    <row r="107" spans="1:12" x14ac:dyDescent="0.3">
      <c r="A107" s="9" t="s">
        <v>91</v>
      </c>
      <c r="B107" s="10" t="s">
        <v>460</v>
      </c>
      <c r="C107" s="10" t="s">
        <v>20</v>
      </c>
      <c r="D107" s="10" t="s">
        <v>38</v>
      </c>
      <c r="E107" s="10" t="s">
        <v>693</v>
      </c>
      <c r="F107" s="10" t="s">
        <v>694</v>
      </c>
      <c r="G107" s="10" t="s">
        <v>696</v>
      </c>
      <c r="H107" s="11">
        <v>15</v>
      </c>
      <c r="I107" s="11">
        <v>8</v>
      </c>
      <c r="J107" s="11">
        <f t="shared" si="13"/>
        <v>26.285714285714285</v>
      </c>
      <c r="K107" s="12">
        <f t="shared" si="11"/>
        <v>0.53333333333333333</v>
      </c>
      <c r="L107" s="12">
        <f t="shared" si="12"/>
        <v>1.7523809523809524</v>
      </c>
    </row>
    <row r="108" spans="1:12" x14ac:dyDescent="0.3">
      <c r="A108" s="9" t="s">
        <v>156</v>
      </c>
      <c r="B108" s="10" t="s">
        <v>514</v>
      </c>
      <c r="C108" s="10" t="s">
        <v>22</v>
      </c>
      <c r="D108" s="10" t="s">
        <v>46</v>
      </c>
      <c r="E108" s="10" t="s">
        <v>693</v>
      </c>
      <c r="F108" s="10" t="s">
        <v>694</v>
      </c>
      <c r="G108" s="10" t="s">
        <v>700</v>
      </c>
      <c r="H108" s="11">
        <v>12</v>
      </c>
      <c r="I108" s="11">
        <v>0</v>
      </c>
      <c r="J108" s="11">
        <f t="shared" si="13"/>
        <v>0</v>
      </c>
      <c r="K108" s="12">
        <f t="shared" si="11"/>
        <v>0</v>
      </c>
      <c r="L108" s="12">
        <f t="shared" si="12"/>
        <v>0</v>
      </c>
    </row>
    <row r="109" spans="1:12" x14ac:dyDescent="0.3">
      <c r="A109" s="9" t="s">
        <v>71</v>
      </c>
      <c r="B109" s="10" t="s">
        <v>440</v>
      </c>
      <c r="C109" s="10" t="s">
        <v>20</v>
      </c>
      <c r="D109" s="10" t="s">
        <v>36</v>
      </c>
      <c r="E109" s="10" t="s">
        <v>693</v>
      </c>
      <c r="F109" s="10" t="s">
        <v>694</v>
      </c>
      <c r="G109" s="10" t="s">
        <v>697</v>
      </c>
      <c r="H109" s="11">
        <v>16</v>
      </c>
      <c r="I109" s="11">
        <v>7</v>
      </c>
      <c r="J109" s="11">
        <f t="shared" si="13"/>
        <v>23</v>
      </c>
      <c r="K109" s="12">
        <f t="shared" si="11"/>
        <v>0.4375</v>
      </c>
      <c r="L109" s="12">
        <f t="shared" si="12"/>
        <v>1.4375</v>
      </c>
    </row>
    <row r="110" spans="1:12" x14ac:dyDescent="0.3">
      <c r="A110" s="9" t="s">
        <v>112</v>
      </c>
      <c r="B110" s="10" t="s">
        <v>481</v>
      </c>
      <c r="C110" s="10" t="s">
        <v>20</v>
      </c>
      <c r="D110" s="10" t="s">
        <v>30</v>
      </c>
      <c r="E110" s="10" t="s">
        <v>693</v>
      </c>
      <c r="F110" s="10" t="s">
        <v>694</v>
      </c>
      <c r="G110" s="10" t="s">
        <v>696</v>
      </c>
      <c r="H110" s="11">
        <v>8</v>
      </c>
      <c r="I110" s="11">
        <v>2</v>
      </c>
      <c r="J110" s="11">
        <f t="shared" si="13"/>
        <v>6.5714285714285712</v>
      </c>
      <c r="K110" s="12">
        <f t="shared" si="11"/>
        <v>0.25</v>
      </c>
      <c r="L110" s="12">
        <f t="shared" si="12"/>
        <v>0.8214285714285714</v>
      </c>
    </row>
    <row r="111" spans="1:12" x14ac:dyDescent="0.3">
      <c r="A111" s="9" t="s">
        <v>39</v>
      </c>
      <c r="B111" s="10" t="s">
        <v>415</v>
      </c>
      <c r="C111" s="10" t="s">
        <v>22</v>
      </c>
      <c r="D111" s="10" t="s">
        <v>42</v>
      </c>
      <c r="E111" s="10" t="s">
        <v>693</v>
      </c>
      <c r="F111" s="10" t="s">
        <v>694</v>
      </c>
      <c r="G111" s="10" t="s">
        <v>699</v>
      </c>
      <c r="H111" s="11">
        <v>8</v>
      </c>
      <c r="I111" s="11">
        <v>0</v>
      </c>
      <c r="J111" s="11">
        <f t="shared" si="13"/>
        <v>0</v>
      </c>
      <c r="K111" s="12">
        <f t="shared" si="11"/>
        <v>0</v>
      </c>
      <c r="L111" s="12">
        <f t="shared" si="12"/>
        <v>0</v>
      </c>
    </row>
    <row r="112" spans="1:12" x14ac:dyDescent="0.3">
      <c r="A112" s="9" t="s">
        <v>106</v>
      </c>
      <c r="B112" s="10" t="s">
        <v>475</v>
      </c>
      <c r="C112" s="10" t="s">
        <v>20</v>
      </c>
      <c r="D112" s="10" t="s">
        <v>38</v>
      </c>
      <c r="E112" s="10" t="s">
        <v>693</v>
      </c>
      <c r="F112" s="10" t="s">
        <v>694</v>
      </c>
      <c r="G112" s="10" t="s">
        <v>696</v>
      </c>
      <c r="H112" s="11">
        <v>12</v>
      </c>
      <c r="I112" s="11">
        <v>11</v>
      </c>
      <c r="J112" s="11">
        <f t="shared" si="13"/>
        <v>36.142857142857139</v>
      </c>
      <c r="K112" s="12">
        <f t="shared" si="11"/>
        <v>0.91666666666666663</v>
      </c>
      <c r="L112" s="12">
        <f t="shared" si="12"/>
        <v>3.0119047619047614</v>
      </c>
    </row>
    <row r="113" spans="1:12" x14ac:dyDescent="0.3">
      <c r="A113" s="9" t="s">
        <v>98</v>
      </c>
      <c r="B113" s="10" t="s">
        <v>467</v>
      </c>
      <c r="C113" s="10" t="s">
        <v>20</v>
      </c>
      <c r="D113" s="10" t="s">
        <v>30</v>
      </c>
      <c r="E113" s="10" t="s">
        <v>693</v>
      </c>
      <c r="F113" s="10" t="s">
        <v>694</v>
      </c>
      <c r="G113" s="10" t="s">
        <v>696</v>
      </c>
      <c r="H113" s="11">
        <v>11</v>
      </c>
      <c r="I113" s="11">
        <v>1</v>
      </c>
      <c r="J113" s="11">
        <f t="shared" si="13"/>
        <v>3.2857142857142856</v>
      </c>
      <c r="K113" s="12">
        <f t="shared" si="11"/>
        <v>9.0909090909090912E-2</v>
      </c>
      <c r="L113" s="12">
        <f t="shared" si="12"/>
        <v>0.29870129870129869</v>
      </c>
    </row>
    <row r="114" spans="1:12" x14ac:dyDescent="0.3">
      <c r="A114" s="9" t="s">
        <v>105</v>
      </c>
      <c r="B114" s="10" t="s">
        <v>474</v>
      </c>
      <c r="C114" s="10" t="s">
        <v>20</v>
      </c>
      <c r="D114" s="10" t="s">
        <v>32</v>
      </c>
      <c r="E114" s="10" t="s">
        <v>693</v>
      </c>
      <c r="F114" s="10" t="s">
        <v>694</v>
      </c>
      <c r="G114" s="10" t="s">
        <v>696</v>
      </c>
      <c r="H114" s="11">
        <v>14</v>
      </c>
      <c r="I114" s="11">
        <v>8</v>
      </c>
      <c r="J114" s="11">
        <f t="shared" si="13"/>
        <v>26.285714285714285</v>
      </c>
      <c r="K114" s="12">
        <f t="shared" si="11"/>
        <v>0.5714285714285714</v>
      </c>
      <c r="L114" s="12">
        <f t="shared" si="12"/>
        <v>1.8775510204081631</v>
      </c>
    </row>
    <row r="115" spans="1:12" x14ac:dyDescent="0.3">
      <c r="A115" s="9" t="s">
        <v>109</v>
      </c>
      <c r="B115" s="10" t="s">
        <v>478</v>
      </c>
      <c r="C115" s="10" t="s">
        <v>20</v>
      </c>
      <c r="D115" s="10" t="s">
        <v>30</v>
      </c>
      <c r="E115" s="10" t="s">
        <v>693</v>
      </c>
      <c r="F115" s="10" t="s">
        <v>694</v>
      </c>
      <c r="G115" s="10" t="s">
        <v>696</v>
      </c>
      <c r="H115" s="11">
        <v>7</v>
      </c>
      <c r="I115" s="11">
        <v>0</v>
      </c>
      <c r="J115" s="11">
        <f t="shared" si="13"/>
        <v>0</v>
      </c>
      <c r="K115" s="12">
        <f t="shared" si="11"/>
        <v>0</v>
      </c>
      <c r="L115" s="12">
        <f t="shared" si="12"/>
        <v>0</v>
      </c>
    </row>
    <row r="116" spans="1:12" x14ac:dyDescent="0.3">
      <c r="A116" s="9" t="s">
        <v>113</v>
      </c>
      <c r="B116" s="10" t="s">
        <v>482</v>
      </c>
      <c r="C116" s="10" t="s">
        <v>20</v>
      </c>
      <c r="D116" s="10" t="s">
        <v>30</v>
      </c>
      <c r="E116" s="10" t="s">
        <v>693</v>
      </c>
      <c r="F116" s="10" t="s">
        <v>694</v>
      </c>
      <c r="G116" s="10" t="s">
        <v>696</v>
      </c>
      <c r="H116" s="11">
        <v>8</v>
      </c>
      <c r="I116" s="11">
        <v>0</v>
      </c>
      <c r="J116" s="11">
        <f t="shared" si="13"/>
        <v>0</v>
      </c>
      <c r="K116" s="12">
        <f t="shared" si="11"/>
        <v>0</v>
      </c>
      <c r="L116" s="12">
        <f t="shared" si="12"/>
        <v>0</v>
      </c>
    </row>
    <row r="117" spans="1:12" x14ac:dyDescent="0.3">
      <c r="A117" s="9" t="s">
        <v>157</v>
      </c>
      <c r="B117" s="10" t="s">
        <v>515</v>
      </c>
      <c r="C117" s="10" t="s">
        <v>20</v>
      </c>
      <c r="D117" s="10" t="s">
        <v>32</v>
      </c>
      <c r="E117" s="10" t="s">
        <v>693</v>
      </c>
      <c r="F117" s="10" t="s">
        <v>694</v>
      </c>
      <c r="G117" s="10" t="s">
        <v>696</v>
      </c>
      <c r="H117" s="11">
        <v>20</v>
      </c>
      <c r="I117" s="11">
        <v>10</v>
      </c>
      <c r="J117" s="11">
        <f t="shared" si="13"/>
        <v>32.857142857142861</v>
      </c>
      <c r="K117" s="12">
        <f t="shared" si="11"/>
        <v>0.5</v>
      </c>
      <c r="L117" s="12">
        <f t="shared" si="12"/>
        <v>1.642857142857143</v>
      </c>
    </row>
    <row r="118" spans="1:12" x14ac:dyDescent="0.3">
      <c r="A118" s="9" t="s">
        <v>102</v>
      </c>
      <c r="B118" s="10" t="s">
        <v>471</v>
      </c>
      <c r="C118" s="10" t="s">
        <v>22</v>
      </c>
      <c r="D118" s="10" t="s">
        <v>28</v>
      </c>
      <c r="E118" s="10" t="s">
        <v>693</v>
      </c>
      <c r="F118" s="10" t="s">
        <v>694</v>
      </c>
      <c r="G118" s="10" t="s">
        <v>695</v>
      </c>
      <c r="H118" s="11">
        <v>16</v>
      </c>
      <c r="I118" s="11">
        <v>4</v>
      </c>
      <c r="J118" s="11">
        <f t="shared" si="13"/>
        <v>13.142857142857142</v>
      </c>
      <c r="K118" s="12">
        <f t="shared" si="11"/>
        <v>0.25</v>
      </c>
      <c r="L118" s="12">
        <f t="shared" si="12"/>
        <v>0.8214285714285714</v>
      </c>
    </row>
    <row r="119" spans="1:12" x14ac:dyDescent="0.3">
      <c r="A119" s="9" t="s">
        <v>90</v>
      </c>
      <c r="B119" s="10" t="s">
        <v>459</v>
      </c>
      <c r="C119" s="10" t="s">
        <v>22</v>
      </c>
      <c r="D119" s="10" t="s">
        <v>42</v>
      </c>
      <c r="E119" s="10" t="s">
        <v>693</v>
      </c>
      <c r="F119" s="10" t="s">
        <v>694</v>
      </c>
      <c r="G119" s="10" t="s">
        <v>699</v>
      </c>
      <c r="H119" s="11">
        <v>19</v>
      </c>
      <c r="I119" s="11">
        <v>6</v>
      </c>
      <c r="J119" s="11">
        <f t="shared" si="13"/>
        <v>19.714285714285712</v>
      </c>
      <c r="K119" s="12">
        <f t="shared" si="11"/>
        <v>0.31578947368421051</v>
      </c>
      <c r="L119" s="12">
        <f t="shared" si="12"/>
        <v>1.0375939849624058</v>
      </c>
    </row>
    <row r="120" spans="1:12" x14ac:dyDescent="0.3">
      <c r="A120" s="9" t="s">
        <v>158</v>
      </c>
      <c r="B120" s="10" t="s">
        <v>516</v>
      </c>
      <c r="C120" s="10" t="s">
        <v>22</v>
      </c>
      <c r="D120" s="10" t="s">
        <v>40</v>
      </c>
      <c r="E120" s="10" t="s">
        <v>693</v>
      </c>
      <c r="F120" s="10" t="s">
        <v>694</v>
      </c>
      <c r="G120" s="10" t="s">
        <v>698</v>
      </c>
      <c r="H120" s="11">
        <v>9</v>
      </c>
      <c r="I120" s="11">
        <v>0</v>
      </c>
      <c r="J120" s="11">
        <f t="shared" si="13"/>
        <v>0</v>
      </c>
      <c r="K120" s="12">
        <f t="shared" si="11"/>
        <v>0</v>
      </c>
      <c r="L120" s="12">
        <f t="shared" si="12"/>
        <v>0</v>
      </c>
    </row>
    <row r="121" spans="1:12" x14ac:dyDescent="0.3">
      <c r="A121" s="9" t="s">
        <v>115</v>
      </c>
      <c r="B121" s="10" t="s">
        <v>484</v>
      </c>
      <c r="C121" s="10" t="s">
        <v>22</v>
      </c>
      <c r="D121" s="10" t="s">
        <v>40</v>
      </c>
      <c r="E121" s="10" t="s">
        <v>693</v>
      </c>
      <c r="F121" s="10" t="s">
        <v>694</v>
      </c>
      <c r="G121" s="10" t="s">
        <v>698</v>
      </c>
      <c r="H121" s="11">
        <v>8</v>
      </c>
      <c r="I121" s="11">
        <v>3</v>
      </c>
      <c r="J121" s="11">
        <f t="shared" si="13"/>
        <v>9.8571428571428559</v>
      </c>
      <c r="K121" s="12">
        <f t="shared" si="11"/>
        <v>0.375</v>
      </c>
      <c r="L121" s="12">
        <f t="shared" si="12"/>
        <v>1.232142857142857</v>
      </c>
    </row>
    <row r="122" spans="1:12" x14ac:dyDescent="0.3">
      <c r="A122" s="9" t="s">
        <v>159</v>
      </c>
      <c r="B122" s="10" t="s">
        <v>517</v>
      </c>
      <c r="C122" s="10" t="s">
        <v>20</v>
      </c>
      <c r="D122" s="10" t="s">
        <v>34</v>
      </c>
      <c r="E122" s="10" t="s">
        <v>693</v>
      </c>
      <c r="F122" s="10" t="s">
        <v>694</v>
      </c>
      <c r="G122" s="10" t="s">
        <v>697</v>
      </c>
      <c r="H122" s="11">
        <v>11</v>
      </c>
      <c r="I122" s="11">
        <v>1</v>
      </c>
      <c r="J122" s="11">
        <f t="shared" si="13"/>
        <v>3.2857142857142856</v>
      </c>
      <c r="K122" s="12">
        <f t="shared" si="11"/>
        <v>9.0909090909090912E-2</v>
      </c>
      <c r="L122" s="12">
        <f t="shared" si="12"/>
        <v>0.29870129870129869</v>
      </c>
    </row>
    <row r="123" spans="1:12" x14ac:dyDescent="0.3">
      <c r="A123" s="9" t="s">
        <v>61</v>
      </c>
      <c r="B123" s="10" t="s">
        <v>432</v>
      </c>
      <c r="C123" s="10" t="s">
        <v>22</v>
      </c>
      <c r="D123" s="10" t="s">
        <v>48</v>
      </c>
      <c r="E123" s="10" t="s">
        <v>693</v>
      </c>
      <c r="F123" s="10" t="s">
        <v>694</v>
      </c>
      <c r="G123" s="10" t="s">
        <v>699</v>
      </c>
      <c r="H123" s="11">
        <v>16</v>
      </c>
      <c r="I123" s="11">
        <v>6</v>
      </c>
      <c r="J123" s="11">
        <f t="shared" si="13"/>
        <v>19.714285714285712</v>
      </c>
      <c r="K123" s="12">
        <f t="shared" si="11"/>
        <v>0.375</v>
      </c>
      <c r="L123" s="12">
        <f t="shared" si="12"/>
        <v>1.232142857142857</v>
      </c>
    </row>
    <row r="124" spans="1:12" x14ac:dyDescent="0.3">
      <c r="A124" s="9" t="s">
        <v>160</v>
      </c>
      <c r="B124" s="10" t="s">
        <v>518</v>
      </c>
      <c r="C124" s="10" t="s">
        <v>22</v>
      </c>
      <c r="D124" s="10" t="s">
        <v>40</v>
      </c>
      <c r="E124" s="10" t="s">
        <v>693</v>
      </c>
      <c r="F124" s="10" t="s">
        <v>694</v>
      </c>
      <c r="G124" s="10" t="s">
        <v>698</v>
      </c>
      <c r="H124" s="11">
        <v>16</v>
      </c>
      <c r="I124" s="11">
        <v>5</v>
      </c>
      <c r="J124" s="11">
        <f t="shared" si="13"/>
        <v>16.428571428571431</v>
      </c>
      <c r="K124" s="12">
        <f t="shared" si="11"/>
        <v>0.3125</v>
      </c>
      <c r="L124" s="12">
        <f t="shared" si="12"/>
        <v>1.0267857142857144</v>
      </c>
    </row>
    <row r="125" spans="1:12" x14ac:dyDescent="0.3">
      <c r="A125" s="9" t="s">
        <v>222</v>
      </c>
      <c r="B125" s="10" t="s">
        <v>580</v>
      </c>
      <c r="C125" s="10" t="s">
        <v>20</v>
      </c>
      <c r="D125" s="10" t="s">
        <v>36</v>
      </c>
      <c r="E125" s="10" t="s">
        <v>693</v>
      </c>
      <c r="F125" s="10" t="s">
        <v>694</v>
      </c>
      <c r="G125" s="10" t="s">
        <v>697</v>
      </c>
      <c r="H125" s="11">
        <v>13</v>
      </c>
      <c r="I125" s="11">
        <v>1</v>
      </c>
      <c r="J125" s="11">
        <f t="shared" si="13"/>
        <v>3.2857142857142856</v>
      </c>
      <c r="K125" s="12">
        <f t="shared" si="11"/>
        <v>7.6923076923076927E-2</v>
      </c>
      <c r="L125" s="12">
        <f t="shared" si="12"/>
        <v>0.25274725274725274</v>
      </c>
    </row>
    <row r="126" spans="1:12" x14ac:dyDescent="0.3">
      <c r="A126" s="9" t="s">
        <v>220</v>
      </c>
      <c r="B126" s="10" t="s">
        <v>578</v>
      </c>
      <c r="C126" s="10" t="s">
        <v>20</v>
      </c>
      <c r="D126" s="10" t="s">
        <v>30</v>
      </c>
      <c r="E126" s="10" t="s">
        <v>693</v>
      </c>
      <c r="F126" s="10" t="s">
        <v>694</v>
      </c>
      <c r="G126" s="10" t="s">
        <v>696</v>
      </c>
      <c r="H126" s="11">
        <v>12</v>
      </c>
      <c r="I126" s="11">
        <v>6</v>
      </c>
      <c r="J126" s="11">
        <f t="shared" si="13"/>
        <v>19.714285714285712</v>
      </c>
      <c r="K126" s="12">
        <f t="shared" si="11"/>
        <v>0.5</v>
      </c>
      <c r="L126" s="12">
        <f t="shared" si="12"/>
        <v>1.6428571428571426</v>
      </c>
    </row>
    <row r="127" spans="1:12" x14ac:dyDescent="0.3">
      <c r="A127" s="9" t="s">
        <v>250</v>
      </c>
      <c r="B127" s="10" t="s">
        <v>605</v>
      </c>
      <c r="C127" s="10" t="s">
        <v>20</v>
      </c>
      <c r="D127" s="10" t="s">
        <v>36</v>
      </c>
      <c r="E127" s="10" t="s">
        <v>708</v>
      </c>
      <c r="F127" s="10" t="s">
        <v>694</v>
      </c>
      <c r="G127" s="10" t="s">
        <v>697</v>
      </c>
      <c r="H127" s="11">
        <v>6</v>
      </c>
      <c r="I127" s="11">
        <v>0</v>
      </c>
      <c r="J127" s="11">
        <f t="shared" si="13"/>
        <v>0</v>
      </c>
      <c r="K127" s="12">
        <f t="shared" si="11"/>
        <v>0</v>
      </c>
      <c r="L127" s="12">
        <f t="shared" si="12"/>
        <v>0</v>
      </c>
    </row>
    <row r="128" spans="1:12" x14ac:dyDescent="0.3">
      <c r="A128" s="9" t="s">
        <v>254</v>
      </c>
      <c r="B128" s="10" t="s">
        <v>609</v>
      </c>
      <c r="C128" s="10" t="s">
        <v>22</v>
      </c>
      <c r="D128" s="10" t="s">
        <v>28</v>
      </c>
      <c r="E128" s="10" t="s">
        <v>709</v>
      </c>
      <c r="F128" s="10" t="s">
        <v>694</v>
      </c>
      <c r="G128" s="10" t="s">
        <v>695</v>
      </c>
      <c r="H128" s="11">
        <v>39</v>
      </c>
      <c r="I128" s="11">
        <v>18</v>
      </c>
      <c r="J128" s="11">
        <f t="shared" si="13"/>
        <v>59.142857142857146</v>
      </c>
      <c r="K128" s="12">
        <f t="shared" si="11"/>
        <v>0.46153846153846156</v>
      </c>
      <c r="L128" s="12">
        <f t="shared" si="12"/>
        <v>1.5164835164835166</v>
      </c>
    </row>
    <row r="129" spans="1:12" x14ac:dyDescent="0.3">
      <c r="A129" s="9" t="s">
        <v>257</v>
      </c>
      <c r="B129" s="10" t="s">
        <v>612</v>
      </c>
      <c r="C129" s="10" t="s">
        <v>22</v>
      </c>
      <c r="D129" s="10" t="s">
        <v>28</v>
      </c>
      <c r="E129" s="10" t="s">
        <v>709</v>
      </c>
      <c r="F129" s="10" t="s">
        <v>694</v>
      </c>
      <c r="G129" s="10" t="s">
        <v>695</v>
      </c>
      <c r="H129" s="11">
        <v>43</v>
      </c>
      <c r="I129" s="11">
        <v>16</v>
      </c>
      <c r="J129" s="11">
        <f t="shared" si="13"/>
        <v>52.571428571428569</v>
      </c>
      <c r="K129" s="12">
        <f t="shared" si="11"/>
        <v>0.37209302325581395</v>
      </c>
      <c r="L129" s="12">
        <f t="shared" si="12"/>
        <v>1.2225913621262459</v>
      </c>
    </row>
    <row r="130" spans="1:12" x14ac:dyDescent="0.3">
      <c r="A130" s="9" t="s">
        <v>255</v>
      </c>
      <c r="B130" s="10" t="s">
        <v>610</v>
      </c>
      <c r="C130" s="10" t="s">
        <v>22</v>
      </c>
      <c r="D130" s="10" t="s">
        <v>42</v>
      </c>
      <c r="E130" s="10" t="s">
        <v>709</v>
      </c>
      <c r="F130" s="10" t="s">
        <v>694</v>
      </c>
      <c r="G130" s="10" t="s">
        <v>699</v>
      </c>
      <c r="H130" s="11">
        <v>24</v>
      </c>
      <c r="I130" s="11">
        <v>10</v>
      </c>
      <c r="J130" s="11">
        <f t="shared" si="13"/>
        <v>32.857142857142861</v>
      </c>
      <c r="K130" s="12">
        <f t="shared" si="11"/>
        <v>0.41666666666666669</v>
      </c>
      <c r="L130" s="12">
        <f t="shared" si="12"/>
        <v>1.3690476190476193</v>
      </c>
    </row>
    <row r="131" spans="1:12" x14ac:dyDescent="0.3">
      <c r="A131" s="9" t="s">
        <v>256</v>
      </c>
      <c r="B131" s="10" t="s">
        <v>611</v>
      </c>
      <c r="C131" s="10" t="s">
        <v>22</v>
      </c>
      <c r="D131" s="10" t="s">
        <v>42</v>
      </c>
      <c r="E131" s="10" t="s">
        <v>709</v>
      </c>
      <c r="F131" s="10" t="s">
        <v>694</v>
      </c>
      <c r="G131" s="10" t="s">
        <v>699</v>
      </c>
      <c r="H131" s="11">
        <v>21</v>
      </c>
      <c r="I131" s="11">
        <v>8</v>
      </c>
      <c r="J131" s="11">
        <f t="shared" si="13"/>
        <v>26.285714285714285</v>
      </c>
      <c r="K131" s="12">
        <f t="shared" si="11"/>
        <v>0.38095238095238093</v>
      </c>
      <c r="L131" s="12">
        <f t="shared" si="12"/>
        <v>1.2517006802721089</v>
      </c>
    </row>
    <row r="132" spans="1:12" x14ac:dyDescent="0.3">
      <c r="A132" s="9" t="s">
        <v>258</v>
      </c>
      <c r="B132" s="10" t="s">
        <v>613</v>
      </c>
      <c r="C132" s="10" t="s">
        <v>22</v>
      </c>
      <c r="D132" s="10" t="s">
        <v>42</v>
      </c>
      <c r="E132" s="10" t="s">
        <v>709</v>
      </c>
      <c r="F132" s="10" t="s">
        <v>694</v>
      </c>
      <c r="G132" s="10" t="s">
        <v>699</v>
      </c>
      <c r="H132" s="11">
        <v>26</v>
      </c>
      <c r="I132" s="11">
        <v>8</v>
      </c>
      <c r="J132" s="11">
        <f t="shared" si="13"/>
        <v>26.285714285714285</v>
      </c>
      <c r="K132" s="12">
        <f t="shared" si="11"/>
        <v>0.30769230769230771</v>
      </c>
      <c r="L132" s="12">
        <f t="shared" si="12"/>
        <v>1.0109890109890109</v>
      </c>
    </row>
    <row r="133" spans="1:12" x14ac:dyDescent="0.3">
      <c r="A133" s="9" t="s">
        <v>260</v>
      </c>
      <c r="B133" s="10" t="s">
        <v>615</v>
      </c>
      <c r="C133" s="10" t="s">
        <v>22</v>
      </c>
      <c r="D133" s="10" t="s">
        <v>28</v>
      </c>
      <c r="E133" s="10" t="s">
        <v>709</v>
      </c>
      <c r="F133" s="10" t="s">
        <v>694</v>
      </c>
      <c r="G133" s="10" t="s">
        <v>695</v>
      </c>
      <c r="H133" s="11">
        <v>8</v>
      </c>
      <c r="I133" s="11">
        <v>0</v>
      </c>
      <c r="J133" s="11">
        <f t="shared" si="13"/>
        <v>0</v>
      </c>
      <c r="K133" s="12">
        <f t="shared" si="11"/>
        <v>0</v>
      </c>
      <c r="L133" s="12">
        <f t="shared" si="12"/>
        <v>0</v>
      </c>
    </row>
    <row r="134" spans="1:12" x14ac:dyDescent="0.3">
      <c r="A134" s="9" t="s">
        <v>264</v>
      </c>
      <c r="B134" s="10" t="s">
        <v>619</v>
      </c>
      <c r="C134" s="10" t="s">
        <v>20</v>
      </c>
      <c r="D134" s="10" t="s">
        <v>38</v>
      </c>
      <c r="E134" s="10" t="s">
        <v>709</v>
      </c>
      <c r="F134" s="10" t="s">
        <v>694</v>
      </c>
      <c r="G134" s="10" t="s">
        <v>696</v>
      </c>
      <c r="H134" s="11">
        <v>19</v>
      </c>
      <c r="I134" s="11">
        <v>3</v>
      </c>
      <c r="J134" s="11">
        <f t="shared" si="13"/>
        <v>9.8571428571428559</v>
      </c>
      <c r="K134" s="12">
        <f t="shared" ref="K134:K195" si="14">IFERROR((I134/H134),0)</f>
        <v>0.15789473684210525</v>
      </c>
      <c r="L134" s="12">
        <f t="shared" ref="L134:L195" si="15">IFERROR((J134/H134),0)</f>
        <v>0.51879699248120292</v>
      </c>
    </row>
    <row r="135" spans="1:12" x14ac:dyDescent="0.3">
      <c r="A135" s="9" t="s">
        <v>261</v>
      </c>
      <c r="B135" s="10" t="s">
        <v>616</v>
      </c>
      <c r="C135" s="10" t="s">
        <v>22</v>
      </c>
      <c r="D135" s="10" t="s">
        <v>40</v>
      </c>
      <c r="E135" s="10" t="s">
        <v>709</v>
      </c>
      <c r="F135" s="10" t="s">
        <v>694</v>
      </c>
      <c r="G135" s="10" t="s">
        <v>698</v>
      </c>
      <c r="H135" s="11">
        <v>39</v>
      </c>
      <c r="I135" s="11">
        <v>13</v>
      </c>
      <c r="J135" s="11">
        <f t="shared" si="13"/>
        <v>42.714285714285715</v>
      </c>
      <c r="K135" s="12">
        <f t="shared" si="14"/>
        <v>0.33333333333333331</v>
      </c>
      <c r="L135" s="12">
        <f t="shared" si="15"/>
        <v>1.0952380952380953</v>
      </c>
    </row>
    <row r="136" spans="1:12" x14ac:dyDescent="0.3">
      <c r="A136" s="9" t="s">
        <v>267</v>
      </c>
      <c r="B136" s="10" t="s">
        <v>622</v>
      </c>
      <c r="C136" s="10" t="s">
        <v>22</v>
      </c>
      <c r="D136" s="10" t="s">
        <v>42</v>
      </c>
      <c r="E136" s="10" t="s">
        <v>709</v>
      </c>
      <c r="F136" s="10" t="s">
        <v>694</v>
      </c>
      <c r="G136" s="10" t="s">
        <v>699</v>
      </c>
      <c r="H136" s="11">
        <v>23</v>
      </c>
      <c r="I136" s="11">
        <v>8</v>
      </c>
      <c r="J136" s="11">
        <f t="shared" si="13"/>
        <v>26.285714285714285</v>
      </c>
      <c r="K136" s="12">
        <f t="shared" si="14"/>
        <v>0.34782608695652173</v>
      </c>
      <c r="L136" s="12">
        <f t="shared" si="15"/>
        <v>1.1428571428571428</v>
      </c>
    </row>
    <row r="137" spans="1:12" x14ac:dyDescent="0.3">
      <c r="A137" s="9" t="s">
        <v>269</v>
      </c>
      <c r="B137" s="10" t="s">
        <v>624</v>
      </c>
      <c r="C137" s="10" t="s">
        <v>22</v>
      </c>
      <c r="D137" s="10" t="s">
        <v>48</v>
      </c>
      <c r="E137" s="10" t="s">
        <v>709</v>
      </c>
      <c r="F137" s="10" t="s">
        <v>694</v>
      </c>
      <c r="G137" s="10" t="s">
        <v>699</v>
      </c>
      <c r="H137" s="11">
        <v>20</v>
      </c>
      <c r="I137" s="11">
        <v>11</v>
      </c>
      <c r="J137" s="11">
        <f t="shared" si="13"/>
        <v>36.142857142857139</v>
      </c>
      <c r="K137" s="12">
        <f t="shared" si="14"/>
        <v>0.55000000000000004</v>
      </c>
      <c r="L137" s="12">
        <f t="shared" si="15"/>
        <v>1.8071428571428569</v>
      </c>
    </row>
    <row r="138" spans="1:12" x14ac:dyDescent="0.3">
      <c r="A138" s="9" t="s">
        <v>263</v>
      </c>
      <c r="B138" s="10" t="s">
        <v>618</v>
      </c>
      <c r="C138" s="10" t="s">
        <v>22</v>
      </c>
      <c r="D138" s="10" t="s">
        <v>44</v>
      </c>
      <c r="E138" s="10" t="s">
        <v>709</v>
      </c>
      <c r="F138" s="10" t="s">
        <v>694</v>
      </c>
      <c r="G138" s="10" t="s">
        <v>698</v>
      </c>
      <c r="H138" s="11">
        <v>9</v>
      </c>
      <c r="I138" s="11">
        <v>1</v>
      </c>
      <c r="J138" s="11">
        <f t="shared" si="13"/>
        <v>3.2857142857142856</v>
      </c>
      <c r="K138" s="12">
        <f t="shared" si="14"/>
        <v>0.1111111111111111</v>
      </c>
      <c r="L138" s="12">
        <f t="shared" si="15"/>
        <v>0.36507936507936506</v>
      </c>
    </row>
    <row r="139" spans="1:12" x14ac:dyDescent="0.3">
      <c r="A139" s="9" t="s">
        <v>270</v>
      </c>
      <c r="B139" s="10" t="s">
        <v>625</v>
      </c>
      <c r="C139" s="10" t="s">
        <v>20</v>
      </c>
      <c r="D139" s="10" t="s">
        <v>32</v>
      </c>
      <c r="E139" s="10" t="s">
        <v>709</v>
      </c>
      <c r="F139" s="10" t="s">
        <v>694</v>
      </c>
      <c r="G139" s="10" t="s">
        <v>696</v>
      </c>
      <c r="H139" s="11">
        <v>28</v>
      </c>
      <c r="I139" s="11">
        <v>6</v>
      </c>
      <c r="J139" s="11">
        <f t="shared" si="13"/>
        <v>19.714285714285712</v>
      </c>
      <c r="K139" s="12">
        <f t="shared" si="14"/>
        <v>0.21428571428571427</v>
      </c>
      <c r="L139" s="12">
        <f t="shared" si="15"/>
        <v>0.70408163265306112</v>
      </c>
    </row>
    <row r="140" spans="1:12" x14ac:dyDescent="0.3">
      <c r="A140" s="9" t="s">
        <v>266</v>
      </c>
      <c r="B140" s="10" t="s">
        <v>621</v>
      </c>
      <c r="C140" s="10" t="s">
        <v>20</v>
      </c>
      <c r="D140" s="10" t="s">
        <v>32</v>
      </c>
      <c r="E140" s="10" t="s">
        <v>709</v>
      </c>
      <c r="F140" s="10" t="s">
        <v>694</v>
      </c>
      <c r="G140" s="10" t="s">
        <v>696</v>
      </c>
      <c r="H140" s="11">
        <v>17</v>
      </c>
      <c r="I140" s="11">
        <v>10</v>
      </c>
      <c r="J140" s="11">
        <f t="shared" si="13"/>
        <v>32.857142857142861</v>
      </c>
      <c r="K140" s="12">
        <f t="shared" si="14"/>
        <v>0.58823529411764708</v>
      </c>
      <c r="L140" s="12">
        <f t="shared" si="15"/>
        <v>1.9327731092436977</v>
      </c>
    </row>
    <row r="141" spans="1:12" x14ac:dyDescent="0.3">
      <c r="A141" s="9" t="s">
        <v>265</v>
      </c>
      <c r="B141" s="10" t="s">
        <v>620</v>
      </c>
      <c r="C141" s="10" t="s">
        <v>22</v>
      </c>
      <c r="D141" s="10" t="s">
        <v>42</v>
      </c>
      <c r="E141" s="10" t="s">
        <v>709</v>
      </c>
      <c r="F141" s="10" t="s">
        <v>694</v>
      </c>
      <c r="G141" s="10" t="s">
        <v>699</v>
      </c>
      <c r="H141" s="11">
        <v>10</v>
      </c>
      <c r="I141" s="11">
        <v>0</v>
      </c>
      <c r="J141" s="11">
        <f t="shared" si="13"/>
        <v>0</v>
      </c>
      <c r="K141" s="12">
        <f t="shared" si="14"/>
        <v>0</v>
      </c>
      <c r="L141" s="12">
        <f t="shared" si="15"/>
        <v>0</v>
      </c>
    </row>
    <row r="142" spans="1:12" x14ac:dyDescent="0.3">
      <c r="A142" s="9" t="s">
        <v>268</v>
      </c>
      <c r="B142" s="10" t="s">
        <v>623</v>
      </c>
      <c r="C142" s="10" t="s">
        <v>22</v>
      </c>
      <c r="D142" s="10" t="s">
        <v>28</v>
      </c>
      <c r="E142" s="10" t="s">
        <v>709</v>
      </c>
      <c r="F142" s="10" t="s">
        <v>694</v>
      </c>
      <c r="G142" s="10" t="s">
        <v>695</v>
      </c>
      <c r="H142" s="11">
        <v>14</v>
      </c>
      <c r="I142" s="11">
        <v>1</v>
      </c>
      <c r="J142" s="11">
        <f t="shared" si="13"/>
        <v>3.2857142857142856</v>
      </c>
      <c r="K142" s="12">
        <f t="shared" si="14"/>
        <v>7.1428571428571425E-2</v>
      </c>
      <c r="L142" s="12">
        <f t="shared" si="15"/>
        <v>0.23469387755102039</v>
      </c>
    </row>
    <row r="143" spans="1:12" x14ac:dyDescent="0.3">
      <c r="A143" s="9" t="s">
        <v>277</v>
      </c>
      <c r="B143" s="10" t="s">
        <v>632</v>
      </c>
      <c r="C143" s="10" t="s">
        <v>22</v>
      </c>
      <c r="D143" s="10" t="s">
        <v>42</v>
      </c>
      <c r="E143" s="10" t="s">
        <v>709</v>
      </c>
      <c r="F143" s="10" t="s">
        <v>694</v>
      </c>
      <c r="G143" s="10" t="s">
        <v>699</v>
      </c>
      <c r="H143" s="11">
        <v>23</v>
      </c>
      <c r="I143" s="11">
        <v>6</v>
      </c>
      <c r="J143" s="11">
        <f t="shared" si="13"/>
        <v>19.714285714285712</v>
      </c>
      <c r="K143" s="12">
        <f t="shared" si="14"/>
        <v>0.2608695652173913</v>
      </c>
      <c r="L143" s="12">
        <f t="shared" si="15"/>
        <v>0.85714285714285698</v>
      </c>
    </row>
    <row r="144" spans="1:12" x14ac:dyDescent="0.3">
      <c r="A144" s="9" t="s">
        <v>271</v>
      </c>
      <c r="B144" s="10" t="s">
        <v>626</v>
      </c>
      <c r="C144" s="10" t="s">
        <v>22</v>
      </c>
      <c r="D144" s="10" t="s">
        <v>40</v>
      </c>
      <c r="E144" s="10" t="s">
        <v>709</v>
      </c>
      <c r="F144" s="10" t="s">
        <v>694</v>
      </c>
      <c r="G144" s="10" t="s">
        <v>698</v>
      </c>
      <c r="H144" s="11">
        <v>12</v>
      </c>
      <c r="I144" s="11">
        <v>4</v>
      </c>
      <c r="J144" s="11">
        <f t="shared" si="13"/>
        <v>13.142857142857142</v>
      </c>
      <c r="K144" s="12">
        <f t="shared" si="14"/>
        <v>0.33333333333333331</v>
      </c>
      <c r="L144" s="12">
        <f t="shared" si="15"/>
        <v>1.0952380952380951</v>
      </c>
    </row>
    <row r="145" spans="1:12" x14ac:dyDescent="0.3">
      <c r="A145" s="9" t="s">
        <v>272</v>
      </c>
      <c r="B145" s="10" t="s">
        <v>627</v>
      </c>
      <c r="C145" s="10" t="s">
        <v>22</v>
      </c>
      <c r="D145" s="10" t="s">
        <v>40</v>
      </c>
      <c r="E145" s="10" t="s">
        <v>709</v>
      </c>
      <c r="F145" s="10" t="s">
        <v>694</v>
      </c>
      <c r="G145" s="10" t="s">
        <v>698</v>
      </c>
      <c r="H145" s="11">
        <v>29</v>
      </c>
      <c r="I145" s="11">
        <v>16</v>
      </c>
      <c r="J145" s="11">
        <f t="shared" si="13"/>
        <v>52.571428571428569</v>
      </c>
      <c r="K145" s="12">
        <f t="shared" si="14"/>
        <v>0.55172413793103448</v>
      </c>
      <c r="L145" s="12">
        <f t="shared" si="15"/>
        <v>1.812807881773399</v>
      </c>
    </row>
    <row r="146" spans="1:12" x14ac:dyDescent="0.3">
      <c r="A146" s="9" t="s">
        <v>273</v>
      </c>
      <c r="B146" s="10" t="s">
        <v>628</v>
      </c>
      <c r="C146" s="10" t="s">
        <v>22</v>
      </c>
      <c r="D146" s="10" t="s">
        <v>40</v>
      </c>
      <c r="E146" s="10" t="s">
        <v>709</v>
      </c>
      <c r="F146" s="10" t="s">
        <v>694</v>
      </c>
      <c r="G146" s="10" t="s">
        <v>698</v>
      </c>
      <c r="H146" s="11">
        <v>15</v>
      </c>
      <c r="I146" s="11">
        <v>5</v>
      </c>
      <c r="J146" s="11">
        <f t="shared" si="13"/>
        <v>16.428571428571431</v>
      </c>
      <c r="K146" s="12">
        <f t="shared" si="14"/>
        <v>0.33333333333333331</v>
      </c>
      <c r="L146" s="12">
        <f t="shared" si="15"/>
        <v>1.0952380952380953</v>
      </c>
    </row>
    <row r="147" spans="1:12" x14ac:dyDescent="0.3">
      <c r="A147" s="9" t="s">
        <v>274</v>
      </c>
      <c r="B147" s="10" t="s">
        <v>629</v>
      </c>
      <c r="C147" s="10" t="s">
        <v>22</v>
      </c>
      <c r="D147" s="10" t="s">
        <v>40</v>
      </c>
      <c r="E147" s="10" t="s">
        <v>709</v>
      </c>
      <c r="F147" s="10" t="s">
        <v>694</v>
      </c>
      <c r="G147" s="10" t="s">
        <v>698</v>
      </c>
      <c r="H147" s="11">
        <v>9</v>
      </c>
      <c r="I147" s="11">
        <v>12</v>
      </c>
      <c r="J147" s="11">
        <f t="shared" si="13"/>
        <v>39.428571428571423</v>
      </c>
      <c r="K147" s="12">
        <f t="shared" si="14"/>
        <v>1.3333333333333333</v>
      </c>
      <c r="L147" s="12">
        <f t="shared" si="15"/>
        <v>4.3809523809523805</v>
      </c>
    </row>
    <row r="148" spans="1:12" x14ac:dyDescent="0.3">
      <c r="A148" s="9" t="s">
        <v>276</v>
      </c>
      <c r="B148" s="10" t="s">
        <v>631</v>
      </c>
      <c r="C148" s="10" t="s">
        <v>22</v>
      </c>
      <c r="D148" s="10" t="s">
        <v>48</v>
      </c>
      <c r="E148" s="10" t="s">
        <v>709</v>
      </c>
      <c r="F148" s="10" t="s">
        <v>694</v>
      </c>
      <c r="G148" s="10" t="s">
        <v>699</v>
      </c>
      <c r="H148" s="11">
        <v>36</v>
      </c>
      <c r="I148" s="11">
        <v>14</v>
      </c>
      <c r="J148" s="11">
        <f t="shared" si="13"/>
        <v>46</v>
      </c>
      <c r="K148" s="12">
        <f t="shared" si="14"/>
        <v>0.3888888888888889</v>
      </c>
      <c r="L148" s="12">
        <f t="shared" si="15"/>
        <v>1.2777777777777777</v>
      </c>
    </row>
    <row r="149" spans="1:12" x14ac:dyDescent="0.3">
      <c r="A149" s="9" t="s">
        <v>275</v>
      </c>
      <c r="B149" s="10" t="s">
        <v>630</v>
      </c>
      <c r="C149" s="10" t="s">
        <v>22</v>
      </c>
      <c r="D149" s="10" t="s">
        <v>28</v>
      </c>
      <c r="E149" s="10" t="s">
        <v>709</v>
      </c>
      <c r="F149" s="10" t="s">
        <v>694</v>
      </c>
      <c r="G149" s="10" t="s">
        <v>695</v>
      </c>
      <c r="H149" s="11">
        <v>27</v>
      </c>
      <c r="I149" s="11">
        <v>5</v>
      </c>
      <c r="J149" s="11">
        <f t="shared" si="13"/>
        <v>16.428571428571431</v>
      </c>
      <c r="K149" s="12">
        <f t="shared" si="14"/>
        <v>0.18518518518518517</v>
      </c>
      <c r="L149" s="12">
        <f t="shared" si="15"/>
        <v>0.60846560846560849</v>
      </c>
    </row>
    <row r="150" spans="1:12" x14ac:dyDescent="0.3">
      <c r="A150" s="9" t="s">
        <v>279</v>
      </c>
      <c r="B150" s="10" t="s">
        <v>634</v>
      </c>
      <c r="C150" s="10" t="s">
        <v>22</v>
      </c>
      <c r="D150" s="10" t="s">
        <v>44</v>
      </c>
      <c r="E150" s="10" t="s">
        <v>709</v>
      </c>
      <c r="F150" s="10" t="s">
        <v>694</v>
      </c>
      <c r="G150" s="10" t="s">
        <v>698</v>
      </c>
      <c r="H150" s="11">
        <v>17</v>
      </c>
      <c r="I150" s="11">
        <v>0</v>
      </c>
      <c r="J150" s="11">
        <f t="shared" si="13"/>
        <v>0</v>
      </c>
      <c r="K150" s="12">
        <f t="shared" si="14"/>
        <v>0</v>
      </c>
      <c r="L150" s="12">
        <f t="shared" si="15"/>
        <v>0</v>
      </c>
    </row>
    <row r="151" spans="1:12" x14ac:dyDescent="0.3">
      <c r="A151" s="9" t="s">
        <v>278</v>
      </c>
      <c r="B151" s="10" t="s">
        <v>633</v>
      </c>
      <c r="C151" s="10" t="s">
        <v>22</v>
      </c>
      <c r="D151" s="10" t="s">
        <v>40</v>
      </c>
      <c r="E151" s="10" t="s">
        <v>709</v>
      </c>
      <c r="F151" s="10" t="s">
        <v>694</v>
      </c>
      <c r="G151" s="10" t="s">
        <v>698</v>
      </c>
      <c r="H151" s="11">
        <v>22</v>
      </c>
      <c r="I151" s="11">
        <v>4</v>
      </c>
      <c r="J151" s="11">
        <f t="shared" si="13"/>
        <v>13.142857142857142</v>
      </c>
      <c r="K151" s="12">
        <f t="shared" si="14"/>
        <v>0.18181818181818182</v>
      </c>
      <c r="L151" s="12">
        <f t="shared" si="15"/>
        <v>0.59740259740259738</v>
      </c>
    </row>
    <row r="152" spans="1:12" x14ac:dyDescent="0.3">
      <c r="A152" s="9" t="s">
        <v>280</v>
      </c>
      <c r="B152" s="10" t="s">
        <v>635</v>
      </c>
      <c r="C152" s="10" t="s">
        <v>22</v>
      </c>
      <c r="D152" s="10" t="s">
        <v>40</v>
      </c>
      <c r="E152" s="10" t="s">
        <v>709</v>
      </c>
      <c r="F152" s="10" t="s">
        <v>694</v>
      </c>
      <c r="G152" s="10" t="s">
        <v>698</v>
      </c>
      <c r="H152" s="11">
        <v>23</v>
      </c>
      <c r="I152" s="11">
        <v>7</v>
      </c>
      <c r="J152" s="11">
        <f t="shared" si="13"/>
        <v>23</v>
      </c>
      <c r="K152" s="12">
        <f t="shared" si="14"/>
        <v>0.30434782608695654</v>
      </c>
      <c r="L152" s="12">
        <f t="shared" si="15"/>
        <v>1</v>
      </c>
    </row>
    <row r="153" spans="1:12" x14ac:dyDescent="0.3">
      <c r="A153" s="9" t="s">
        <v>281</v>
      </c>
      <c r="B153" s="10" t="s">
        <v>636</v>
      </c>
      <c r="C153" s="10" t="s">
        <v>22</v>
      </c>
      <c r="D153" s="10" t="s">
        <v>44</v>
      </c>
      <c r="E153" s="10" t="s">
        <v>709</v>
      </c>
      <c r="F153" s="10" t="s">
        <v>694</v>
      </c>
      <c r="G153" s="10" t="s">
        <v>698</v>
      </c>
      <c r="H153" s="11">
        <v>22</v>
      </c>
      <c r="I153" s="11">
        <v>3</v>
      </c>
      <c r="J153" s="11">
        <f t="shared" si="13"/>
        <v>9.8571428571428559</v>
      </c>
      <c r="K153" s="12">
        <f t="shared" si="14"/>
        <v>0.13636363636363635</v>
      </c>
      <c r="L153" s="12">
        <f t="shared" si="15"/>
        <v>0.44805194805194798</v>
      </c>
    </row>
    <row r="154" spans="1:12" x14ac:dyDescent="0.3">
      <c r="A154" s="9" t="s">
        <v>298</v>
      </c>
      <c r="B154" s="10" t="s">
        <v>653</v>
      </c>
      <c r="C154" s="10" t="s">
        <v>22</v>
      </c>
      <c r="D154" s="10" t="s">
        <v>46</v>
      </c>
      <c r="E154" s="10" t="s">
        <v>709</v>
      </c>
      <c r="F154" s="10" t="s">
        <v>694</v>
      </c>
      <c r="G154" s="10" t="s">
        <v>700</v>
      </c>
      <c r="H154" s="11">
        <v>9</v>
      </c>
      <c r="I154" s="11">
        <v>4</v>
      </c>
      <c r="J154" s="11">
        <f t="shared" si="13"/>
        <v>13.142857142857142</v>
      </c>
      <c r="K154" s="12">
        <f t="shared" si="14"/>
        <v>0.44444444444444442</v>
      </c>
      <c r="L154" s="12">
        <f t="shared" si="15"/>
        <v>1.4603174603174602</v>
      </c>
    </row>
    <row r="155" spans="1:12" x14ac:dyDescent="0.3">
      <c r="A155" s="9" t="s">
        <v>283</v>
      </c>
      <c r="B155" s="10" t="s">
        <v>638</v>
      </c>
      <c r="C155" s="10" t="s">
        <v>22</v>
      </c>
      <c r="D155" s="10" t="s">
        <v>40</v>
      </c>
      <c r="E155" s="10" t="s">
        <v>709</v>
      </c>
      <c r="F155" s="10" t="s">
        <v>694</v>
      </c>
      <c r="G155" s="10" t="s">
        <v>698</v>
      </c>
      <c r="H155" s="11">
        <v>8</v>
      </c>
      <c r="I155" s="11">
        <v>1</v>
      </c>
      <c r="J155" s="11">
        <f t="shared" si="13"/>
        <v>3.2857142857142856</v>
      </c>
      <c r="K155" s="12">
        <f t="shared" si="14"/>
        <v>0.125</v>
      </c>
      <c r="L155" s="12">
        <f t="shared" si="15"/>
        <v>0.4107142857142857</v>
      </c>
    </row>
    <row r="156" spans="1:12" x14ac:dyDescent="0.3">
      <c r="A156" s="9" t="s">
        <v>282</v>
      </c>
      <c r="B156" s="10" t="s">
        <v>637</v>
      </c>
      <c r="C156" s="10" t="s">
        <v>22</v>
      </c>
      <c r="D156" s="10" t="s">
        <v>42</v>
      </c>
      <c r="E156" s="10" t="s">
        <v>709</v>
      </c>
      <c r="F156" s="10" t="s">
        <v>694</v>
      </c>
      <c r="G156" s="10" t="s">
        <v>699</v>
      </c>
      <c r="H156" s="11">
        <v>21</v>
      </c>
      <c r="I156" s="11">
        <v>10</v>
      </c>
      <c r="J156" s="11">
        <f t="shared" si="13"/>
        <v>32.857142857142861</v>
      </c>
      <c r="K156" s="12">
        <f t="shared" si="14"/>
        <v>0.47619047619047616</v>
      </c>
      <c r="L156" s="12">
        <f t="shared" si="15"/>
        <v>1.5646258503401362</v>
      </c>
    </row>
    <row r="157" spans="1:12" x14ac:dyDescent="0.3">
      <c r="A157" s="9" t="s">
        <v>284</v>
      </c>
      <c r="B157" s="10" t="s">
        <v>639</v>
      </c>
      <c r="C157" s="10" t="s">
        <v>22</v>
      </c>
      <c r="D157" s="10" t="s">
        <v>28</v>
      </c>
      <c r="E157" s="10" t="s">
        <v>709</v>
      </c>
      <c r="F157" s="10" t="s">
        <v>694</v>
      </c>
      <c r="G157" s="10" t="s">
        <v>695</v>
      </c>
      <c r="H157" s="11">
        <v>10</v>
      </c>
      <c r="I157" s="11">
        <v>0</v>
      </c>
      <c r="J157" s="11">
        <f t="shared" si="13"/>
        <v>0</v>
      </c>
      <c r="K157" s="12">
        <f t="shared" si="14"/>
        <v>0</v>
      </c>
      <c r="L157" s="12">
        <f t="shared" si="15"/>
        <v>0</v>
      </c>
    </row>
    <row r="158" spans="1:12" x14ac:dyDescent="0.3">
      <c r="A158" s="9" t="s">
        <v>285</v>
      </c>
      <c r="B158" s="10" t="s">
        <v>640</v>
      </c>
      <c r="C158" s="10" t="s">
        <v>22</v>
      </c>
      <c r="D158" s="10" t="s">
        <v>40</v>
      </c>
      <c r="E158" s="10" t="s">
        <v>709</v>
      </c>
      <c r="F158" s="10" t="s">
        <v>694</v>
      </c>
      <c r="G158" s="10" t="s">
        <v>698</v>
      </c>
      <c r="H158" s="11">
        <v>13</v>
      </c>
      <c r="I158" s="11">
        <v>4</v>
      </c>
      <c r="J158" s="11">
        <f t="shared" si="13"/>
        <v>13.142857142857142</v>
      </c>
      <c r="K158" s="12">
        <f t="shared" si="14"/>
        <v>0.30769230769230771</v>
      </c>
      <c r="L158" s="12">
        <f t="shared" si="15"/>
        <v>1.0109890109890109</v>
      </c>
    </row>
    <row r="159" spans="1:12" x14ac:dyDescent="0.3">
      <c r="A159" s="9" t="s">
        <v>286</v>
      </c>
      <c r="B159" s="10" t="s">
        <v>641</v>
      </c>
      <c r="C159" s="10" t="s">
        <v>22</v>
      </c>
      <c r="D159" s="10" t="s">
        <v>40</v>
      </c>
      <c r="E159" s="10" t="s">
        <v>709</v>
      </c>
      <c r="F159" s="10" t="s">
        <v>694</v>
      </c>
      <c r="G159" s="10" t="s">
        <v>698</v>
      </c>
      <c r="H159" s="11">
        <v>8</v>
      </c>
      <c r="I159" s="11">
        <v>0</v>
      </c>
      <c r="J159" s="11">
        <f t="shared" si="13"/>
        <v>0</v>
      </c>
      <c r="K159" s="12">
        <f t="shared" si="14"/>
        <v>0</v>
      </c>
      <c r="L159" s="12">
        <f t="shared" si="15"/>
        <v>0</v>
      </c>
    </row>
    <row r="160" spans="1:12" x14ac:dyDescent="0.3">
      <c r="A160" s="9" t="s">
        <v>288</v>
      </c>
      <c r="B160" s="10" t="s">
        <v>643</v>
      </c>
      <c r="C160" s="10" t="s">
        <v>22</v>
      </c>
      <c r="D160" s="10" t="s">
        <v>40</v>
      </c>
      <c r="E160" s="10" t="s">
        <v>709</v>
      </c>
      <c r="F160" s="10" t="s">
        <v>694</v>
      </c>
      <c r="G160" s="10" t="s">
        <v>698</v>
      </c>
      <c r="H160" s="11">
        <v>8</v>
      </c>
      <c r="I160" s="11">
        <v>0</v>
      </c>
      <c r="J160" s="11">
        <f t="shared" si="13"/>
        <v>0</v>
      </c>
      <c r="K160" s="12">
        <f t="shared" si="14"/>
        <v>0</v>
      </c>
      <c r="L160" s="12">
        <f t="shared" si="15"/>
        <v>0</v>
      </c>
    </row>
    <row r="161" spans="1:12" x14ac:dyDescent="0.3">
      <c r="A161" s="9" t="s">
        <v>289</v>
      </c>
      <c r="B161" s="10" t="s">
        <v>644</v>
      </c>
      <c r="C161" s="10" t="s">
        <v>22</v>
      </c>
      <c r="D161" s="10" t="s">
        <v>40</v>
      </c>
      <c r="E161" s="10" t="s">
        <v>709</v>
      </c>
      <c r="F161" s="10" t="s">
        <v>694</v>
      </c>
      <c r="G161" s="10" t="s">
        <v>698</v>
      </c>
      <c r="H161" s="11">
        <v>7</v>
      </c>
      <c r="I161" s="11">
        <v>0</v>
      </c>
      <c r="J161" s="11">
        <f t="shared" si="13"/>
        <v>0</v>
      </c>
      <c r="K161" s="12">
        <f t="shared" si="14"/>
        <v>0</v>
      </c>
      <c r="L161" s="12">
        <f t="shared" si="15"/>
        <v>0</v>
      </c>
    </row>
    <row r="162" spans="1:12" x14ac:dyDescent="0.3">
      <c r="A162" s="9" t="s">
        <v>290</v>
      </c>
      <c r="B162" s="10" t="s">
        <v>645</v>
      </c>
      <c r="C162" s="10" t="s">
        <v>22</v>
      </c>
      <c r="D162" s="10" t="s">
        <v>28</v>
      </c>
      <c r="E162" s="10" t="s">
        <v>709</v>
      </c>
      <c r="F162" s="10" t="s">
        <v>694</v>
      </c>
      <c r="G162" s="10" t="s">
        <v>695</v>
      </c>
      <c r="H162" s="11">
        <v>7</v>
      </c>
      <c r="I162" s="11">
        <v>1</v>
      </c>
      <c r="J162" s="11">
        <f t="shared" si="13"/>
        <v>3.2857142857142856</v>
      </c>
      <c r="K162" s="12">
        <f t="shared" si="14"/>
        <v>0.14285714285714285</v>
      </c>
      <c r="L162" s="12">
        <f t="shared" si="15"/>
        <v>0.46938775510204078</v>
      </c>
    </row>
    <row r="163" spans="1:12" x14ac:dyDescent="0.3">
      <c r="A163" s="9" t="s">
        <v>293</v>
      </c>
      <c r="B163" s="10" t="s">
        <v>648</v>
      </c>
      <c r="C163" s="10" t="s">
        <v>20</v>
      </c>
      <c r="D163" s="10" t="s">
        <v>30</v>
      </c>
      <c r="E163" s="10" t="s">
        <v>709</v>
      </c>
      <c r="F163" s="10" t="s">
        <v>694</v>
      </c>
      <c r="G163" s="10" t="s">
        <v>696</v>
      </c>
      <c r="H163" s="11">
        <v>37</v>
      </c>
      <c r="I163" s="11">
        <v>10</v>
      </c>
      <c r="J163" s="11">
        <f t="shared" si="13"/>
        <v>32.857142857142861</v>
      </c>
      <c r="K163" s="12">
        <f t="shared" si="14"/>
        <v>0.27027027027027029</v>
      </c>
      <c r="L163" s="12">
        <f t="shared" si="15"/>
        <v>0.88803088803088814</v>
      </c>
    </row>
    <row r="164" spans="1:12" x14ac:dyDescent="0.3">
      <c r="A164" s="9" t="s">
        <v>292</v>
      </c>
      <c r="B164" s="10" t="s">
        <v>647</v>
      </c>
      <c r="C164" s="10" t="s">
        <v>22</v>
      </c>
      <c r="D164" s="10" t="s">
        <v>48</v>
      </c>
      <c r="E164" s="10" t="s">
        <v>709</v>
      </c>
      <c r="F164" s="10" t="s">
        <v>694</v>
      </c>
      <c r="G164" s="10" t="s">
        <v>699</v>
      </c>
      <c r="H164" s="11">
        <v>8</v>
      </c>
      <c r="I164" s="11">
        <v>1</v>
      </c>
      <c r="J164" s="11">
        <f t="shared" si="13"/>
        <v>3.2857142857142856</v>
      </c>
      <c r="K164" s="12">
        <f t="shared" si="14"/>
        <v>0.125</v>
      </c>
      <c r="L164" s="12">
        <f t="shared" si="15"/>
        <v>0.4107142857142857</v>
      </c>
    </row>
    <row r="165" spans="1:12" x14ac:dyDescent="0.3">
      <c r="A165" s="9" t="s">
        <v>291</v>
      </c>
      <c r="B165" s="10" t="s">
        <v>646</v>
      </c>
      <c r="C165" s="10" t="s">
        <v>20</v>
      </c>
      <c r="D165" s="10" t="s">
        <v>38</v>
      </c>
      <c r="E165" s="10" t="s">
        <v>709</v>
      </c>
      <c r="F165" s="10" t="s">
        <v>694</v>
      </c>
      <c r="G165" s="10" t="s">
        <v>696</v>
      </c>
      <c r="H165" s="11">
        <v>18</v>
      </c>
      <c r="I165" s="11">
        <v>8</v>
      </c>
      <c r="J165" s="11">
        <f t="shared" si="13"/>
        <v>26.285714285714285</v>
      </c>
      <c r="K165" s="12">
        <f t="shared" si="14"/>
        <v>0.44444444444444442</v>
      </c>
      <c r="L165" s="12">
        <f t="shared" si="15"/>
        <v>1.4603174603174602</v>
      </c>
    </row>
    <row r="166" spans="1:12" x14ac:dyDescent="0.3">
      <c r="A166" s="9" t="s">
        <v>294</v>
      </c>
      <c r="B166" s="10" t="s">
        <v>649</v>
      </c>
      <c r="C166" s="10" t="s">
        <v>22</v>
      </c>
      <c r="D166" s="10" t="s">
        <v>28</v>
      </c>
      <c r="E166" s="10" t="s">
        <v>709</v>
      </c>
      <c r="F166" s="10" t="s">
        <v>694</v>
      </c>
      <c r="G166" s="10" t="s">
        <v>695</v>
      </c>
      <c r="H166" s="11">
        <v>8</v>
      </c>
      <c r="I166" s="11">
        <v>0</v>
      </c>
      <c r="J166" s="11">
        <f t="shared" si="13"/>
        <v>0</v>
      </c>
      <c r="K166" s="12">
        <f t="shared" si="14"/>
        <v>0</v>
      </c>
      <c r="L166" s="12">
        <f t="shared" si="15"/>
        <v>0</v>
      </c>
    </row>
    <row r="167" spans="1:12" x14ac:dyDescent="0.3">
      <c r="A167" s="9" t="s">
        <v>295</v>
      </c>
      <c r="B167" s="10" t="s">
        <v>650</v>
      </c>
      <c r="C167" s="10" t="s">
        <v>22</v>
      </c>
      <c r="D167" s="10" t="s">
        <v>40</v>
      </c>
      <c r="E167" s="10" t="s">
        <v>709</v>
      </c>
      <c r="F167" s="10" t="s">
        <v>694</v>
      </c>
      <c r="G167" s="10" t="s">
        <v>698</v>
      </c>
      <c r="H167" s="11">
        <v>23</v>
      </c>
      <c r="I167" s="11">
        <v>4</v>
      </c>
      <c r="J167" s="11">
        <f t="shared" si="13"/>
        <v>13.142857142857142</v>
      </c>
      <c r="K167" s="12">
        <f t="shared" si="14"/>
        <v>0.17391304347826086</v>
      </c>
      <c r="L167" s="12">
        <f t="shared" si="15"/>
        <v>0.5714285714285714</v>
      </c>
    </row>
    <row r="168" spans="1:12" x14ac:dyDescent="0.3">
      <c r="A168" s="9" t="s">
        <v>296</v>
      </c>
      <c r="B168" s="10" t="s">
        <v>651</v>
      </c>
      <c r="C168" s="10" t="s">
        <v>22</v>
      </c>
      <c r="D168" s="10" t="s">
        <v>48</v>
      </c>
      <c r="E168" s="10" t="s">
        <v>709</v>
      </c>
      <c r="F168" s="10" t="s">
        <v>694</v>
      </c>
      <c r="G168" s="10" t="s">
        <v>699</v>
      </c>
      <c r="H168" s="11">
        <v>12</v>
      </c>
      <c r="I168" s="11">
        <v>1</v>
      </c>
      <c r="J168" s="11">
        <f t="shared" si="13"/>
        <v>3.2857142857142856</v>
      </c>
      <c r="K168" s="12">
        <f t="shared" si="14"/>
        <v>8.3333333333333329E-2</v>
      </c>
      <c r="L168" s="12">
        <f t="shared" si="15"/>
        <v>0.27380952380952378</v>
      </c>
    </row>
    <row r="169" spans="1:12" x14ac:dyDescent="0.3">
      <c r="A169" s="9" t="s">
        <v>297</v>
      </c>
      <c r="B169" s="10" t="s">
        <v>652</v>
      </c>
      <c r="C169" s="10" t="s">
        <v>20</v>
      </c>
      <c r="D169" s="10" t="s">
        <v>32</v>
      </c>
      <c r="E169" s="10" t="s">
        <v>709</v>
      </c>
      <c r="F169" s="10" t="s">
        <v>694</v>
      </c>
      <c r="G169" s="10" t="s">
        <v>696</v>
      </c>
      <c r="H169" s="11">
        <v>12</v>
      </c>
      <c r="I169" s="11">
        <v>6</v>
      </c>
      <c r="J169" s="11">
        <f t="shared" si="13"/>
        <v>19.714285714285712</v>
      </c>
      <c r="K169" s="12">
        <f t="shared" si="14"/>
        <v>0.5</v>
      </c>
      <c r="L169" s="12">
        <f t="shared" si="15"/>
        <v>1.6428571428571426</v>
      </c>
    </row>
    <row r="170" spans="1:12" x14ac:dyDescent="0.3">
      <c r="A170" s="9" t="s">
        <v>299</v>
      </c>
      <c r="B170" s="10" t="s">
        <v>654</v>
      </c>
      <c r="C170" s="10" t="s">
        <v>22</v>
      </c>
      <c r="D170" s="10" t="s">
        <v>46</v>
      </c>
      <c r="E170" s="10" t="s">
        <v>709</v>
      </c>
      <c r="F170" s="10" t="s">
        <v>694</v>
      </c>
      <c r="G170" s="10" t="s">
        <v>700</v>
      </c>
      <c r="H170" s="11">
        <v>12</v>
      </c>
      <c r="I170" s="11">
        <v>6</v>
      </c>
      <c r="J170" s="11">
        <f t="shared" si="13"/>
        <v>19.714285714285712</v>
      </c>
      <c r="K170" s="12">
        <f t="shared" si="14"/>
        <v>0.5</v>
      </c>
      <c r="L170" s="12">
        <f t="shared" si="15"/>
        <v>1.6428571428571426</v>
      </c>
    </row>
    <row r="171" spans="1:12" x14ac:dyDescent="0.3">
      <c r="A171" s="9" t="s">
        <v>300</v>
      </c>
      <c r="B171" s="10" t="s">
        <v>655</v>
      </c>
      <c r="C171" s="10" t="s">
        <v>22</v>
      </c>
      <c r="D171" s="10" t="s">
        <v>28</v>
      </c>
      <c r="E171" s="10" t="s">
        <v>709</v>
      </c>
      <c r="F171" s="10" t="s">
        <v>694</v>
      </c>
      <c r="G171" s="10" t="s">
        <v>695</v>
      </c>
      <c r="H171" s="11">
        <v>8</v>
      </c>
      <c r="I171" s="11">
        <v>0</v>
      </c>
      <c r="J171" s="11">
        <f t="shared" si="13"/>
        <v>0</v>
      </c>
      <c r="K171" s="12">
        <f t="shared" si="14"/>
        <v>0</v>
      </c>
      <c r="L171" s="12">
        <f t="shared" si="15"/>
        <v>0</v>
      </c>
    </row>
    <row r="172" spans="1:12" x14ac:dyDescent="0.3">
      <c r="A172" s="9" t="s">
        <v>301</v>
      </c>
      <c r="B172" s="10" t="s">
        <v>656</v>
      </c>
      <c r="C172" s="10" t="s">
        <v>22</v>
      </c>
      <c r="D172" s="10" t="s">
        <v>46</v>
      </c>
      <c r="E172" s="10" t="s">
        <v>709</v>
      </c>
      <c r="F172" s="10" t="s">
        <v>694</v>
      </c>
      <c r="G172" s="10" t="s">
        <v>700</v>
      </c>
      <c r="H172" s="11">
        <v>0</v>
      </c>
      <c r="I172" s="11">
        <v>0</v>
      </c>
      <c r="J172" s="11">
        <f t="shared" si="13"/>
        <v>0</v>
      </c>
      <c r="K172" s="12">
        <f t="shared" si="14"/>
        <v>0</v>
      </c>
      <c r="L172" s="12">
        <f t="shared" si="15"/>
        <v>0</v>
      </c>
    </row>
    <row r="173" spans="1:12" x14ac:dyDescent="0.3">
      <c r="A173" s="9" t="s">
        <v>302</v>
      </c>
      <c r="B173" s="10" t="s">
        <v>657</v>
      </c>
      <c r="C173" s="10" t="s">
        <v>22</v>
      </c>
      <c r="D173" s="10" t="s">
        <v>46</v>
      </c>
      <c r="E173" s="10" t="s">
        <v>709</v>
      </c>
      <c r="F173" s="10" t="s">
        <v>694</v>
      </c>
      <c r="G173" s="10" t="s">
        <v>700</v>
      </c>
      <c r="H173" s="11">
        <v>7</v>
      </c>
      <c r="I173" s="11">
        <v>4</v>
      </c>
      <c r="J173" s="11">
        <f t="shared" si="13"/>
        <v>13.142857142857142</v>
      </c>
      <c r="K173" s="12">
        <f t="shared" si="14"/>
        <v>0.5714285714285714</v>
      </c>
      <c r="L173" s="12">
        <f t="shared" si="15"/>
        <v>1.8775510204081631</v>
      </c>
    </row>
    <row r="174" spans="1:12" x14ac:dyDescent="0.3">
      <c r="A174" s="9" t="s">
        <v>303</v>
      </c>
      <c r="B174" s="10" t="s">
        <v>658</v>
      </c>
      <c r="C174" s="10" t="s">
        <v>22</v>
      </c>
      <c r="D174" s="10" t="s">
        <v>46</v>
      </c>
      <c r="E174" s="10" t="s">
        <v>709</v>
      </c>
      <c r="F174" s="10" t="s">
        <v>694</v>
      </c>
      <c r="G174" s="10" t="s">
        <v>700</v>
      </c>
      <c r="H174" s="11">
        <v>6</v>
      </c>
      <c r="I174" s="11">
        <v>4</v>
      </c>
      <c r="J174" s="11">
        <f t="shared" si="13"/>
        <v>13.142857142857142</v>
      </c>
      <c r="K174" s="12">
        <f t="shared" si="14"/>
        <v>0.66666666666666663</v>
      </c>
      <c r="L174" s="12">
        <f t="shared" si="15"/>
        <v>2.1904761904761902</v>
      </c>
    </row>
    <row r="175" spans="1:12" x14ac:dyDescent="0.3">
      <c r="A175" s="9" t="s">
        <v>304</v>
      </c>
      <c r="B175" s="10" t="s">
        <v>659</v>
      </c>
      <c r="C175" s="10" t="s">
        <v>22</v>
      </c>
      <c r="D175" s="10" t="s">
        <v>46</v>
      </c>
      <c r="E175" s="10" t="s">
        <v>709</v>
      </c>
      <c r="F175" s="10" t="s">
        <v>694</v>
      </c>
      <c r="G175" s="10" t="s">
        <v>700</v>
      </c>
      <c r="H175" s="11">
        <v>6</v>
      </c>
      <c r="I175" s="11">
        <v>0</v>
      </c>
      <c r="J175" s="11">
        <f t="shared" si="13"/>
        <v>0</v>
      </c>
      <c r="K175" s="12">
        <f t="shared" si="14"/>
        <v>0</v>
      </c>
      <c r="L175" s="12">
        <f t="shared" si="15"/>
        <v>0</v>
      </c>
    </row>
    <row r="176" spans="1:12" x14ac:dyDescent="0.3">
      <c r="A176" s="9" t="s">
        <v>305</v>
      </c>
      <c r="B176" s="10" t="s">
        <v>660</v>
      </c>
      <c r="C176" s="10" t="s">
        <v>20</v>
      </c>
      <c r="D176" s="10" t="s">
        <v>36</v>
      </c>
      <c r="E176" s="10" t="s">
        <v>709</v>
      </c>
      <c r="F176" s="10" t="s">
        <v>694</v>
      </c>
      <c r="G176" s="10" t="s">
        <v>697</v>
      </c>
      <c r="H176" s="11">
        <v>6</v>
      </c>
      <c r="I176" s="11">
        <v>4</v>
      </c>
      <c r="J176" s="11">
        <f t="shared" si="13"/>
        <v>13.142857142857142</v>
      </c>
      <c r="K176" s="12">
        <f t="shared" si="14"/>
        <v>0.66666666666666663</v>
      </c>
      <c r="L176" s="12">
        <f t="shared" si="15"/>
        <v>2.1904761904761902</v>
      </c>
    </row>
    <row r="177" spans="1:12" x14ac:dyDescent="0.3">
      <c r="A177" s="9" t="s">
        <v>45</v>
      </c>
      <c r="B177" s="10" t="s">
        <v>418</v>
      </c>
      <c r="C177" s="10" t="s">
        <v>22</v>
      </c>
      <c r="D177" s="10" t="s">
        <v>44</v>
      </c>
      <c r="E177" s="10" t="s">
        <v>693</v>
      </c>
      <c r="F177" s="10" t="s">
        <v>694</v>
      </c>
      <c r="G177" s="10" t="s">
        <v>698</v>
      </c>
      <c r="H177" s="11">
        <v>21</v>
      </c>
      <c r="I177" s="11">
        <v>10</v>
      </c>
      <c r="J177" s="11">
        <f t="shared" si="13"/>
        <v>32.857142857142861</v>
      </c>
      <c r="K177" s="12">
        <f t="shared" si="14"/>
        <v>0.47619047619047616</v>
      </c>
      <c r="L177" s="12">
        <f t="shared" si="15"/>
        <v>1.5646258503401362</v>
      </c>
    </row>
    <row r="178" spans="1:12" x14ac:dyDescent="0.3">
      <c r="A178" s="9" t="s">
        <v>161</v>
      </c>
      <c r="B178" s="10" t="s">
        <v>519</v>
      </c>
      <c r="C178" s="10" t="s">
        <v>22</v>
      </c>
      <c r="D178" s="10" t="s">
        <v>48</v>
      </c>
      <c r="E178" s="10" t="s">
        <v>693</v>
      </c>
      <c r="F178" s="10" t="s">
        <v>694</v>
      </c>
      <c r="G178" s="10" t="s">
        <v>699</v>
      </c>
      <c r="H178" s="11">
        <v>24</v>
      </c>
      <c r="I178" s="11">
        <v>17</v>
      </c>
      <c r="J178" s="11">
        <f t="shared" si="13"/>
        <v>55.857142857142854</v>
      </c>
      <c r="K178" s="12">
        <f t="shared" si="14"/>
        <v>0.70833333333333337</v>
      </c>
      <c r="L178" s="12">
        <f t="shared" si="15"/>
        <v>2.3273809523809521</v>
      </c>
    </row>
    <row r="179" spans="1:12" x14ac:dyDescent="0.3">
      <c r="A179" s="9" t="s">
        <v>43</v>
      </c>
      <c r="B179" s="10" t="s">
        <v>417</v>
      </c>
      <c r="C179" s="10" t="s">
        <v>22</v>
      </c>
      <c r="D179" s="10" t="s">
        <v>44</v>
      </c>
      <c r="E179" s="10" t="s">
        <v>693</v>
      </c>
      <c r="F179" s="10" t="s">
        <v>694</v>
      </c>
      <c r="G179" s="10" t="s">
        <v>698</v>
      </c>
      <c r="H179" s="11">
        <v>30</v>
      </c>
      <c r="I179" s="11">
        <v>25</v>
      </c>
      <c r="J179" s="11">
        <f t="shared" si="13"/>
        <v>82.142857142857153</v>
      </c>
      <c r="K179" s="12">
        <f t="shared" si="14"/>
        <v>0.83333333333333337</v>
      </c>
      <c r="L179" s="12">
        <f t="shared" si="15"/>
        <v>2.7380952380952386</v>
      </c>
    </row>
    <row r="180" spans="1:12" x14ac:dyDescent="0.3">
      <c r="A180" s="9" t="s">
        <v>19</v>
      </c>
      <c r="B180" s="10" t="s">
        <v>404</v>
      </c>
      <c r="C180" s="10" t="s">
        <v>22</v>
      </c>
      <c r="D180" s="10" t="s">
        <v>28</v>
      </c>
      <c r="E180" s="10" t="s">
        <v>693</v>
      </c>
      <c r="F180" s="10" t="s">
        <v>694</v>
      </c>
      <c r="G180" s="10" t="s">
        <v>695</v>
      </c>
      <c r="H180" s="11">
        <v>29</v>
      </c>
      <c r="I180" s="11">
        <v>8</v>
      </c>
      <c r="J180" s="11">
        <f t="shared" si="13"/>
        <v>26.285714285714285</v>
      </c>
      <c r="K180" s="12">
        <f t="shared" si="14"/>
        <v>0.27586206896551724</v>
      </c>
      <c r="L180" s="12">
        <f t="shared" si="15"/>
        <v>0.90640394088669951</v>
      </c>
    </row>
    <row r="181" spans="1:12" x14ac:dyDescent="0.3">
      <c r="A181" s="9" t="s">
        <v>66</v>
      </c>
      <c r="B181" s="10" t="s">
        <v>436</v>
      </c>
      <c r="C181" s="10" t="s">
        <v>22</v>
      </c>
      <c r="D181" s="10" t="s">
        <v>42</v>
      </c>
      <c r="E181" s="10" t="s">
        <v>693</v>
      </c>
      <c r="F181" s="10" t="s">
        <v>694</v>
      </c>
      <c r="G181" s="10" t="s">
        <v>699</v>
      </c>
      <c r="H181" s="11">
        <v>13</v>
      </c>
      <c r="I181" s="11">
        <v>3</v>
      </c>
      <c r="J181" s="11">
        <f t="shared" si="13"/>
        <v>9.8571428571428559</v>
      </c>
      <c r="K181" s="12">
        <f t="shared" si="14"/>
        <v>0.23076923076923078</v>
      </c>
      <c r="L181" s="12">
        <f t="shared" si="15"/>
        <v>0.7582417582417581</v>
      </c>
    </row>
    <row r="182" spans="1:12" x14ac:dyDescent="0.3">
      <c r="A182" s="9" t="s">
        <v>35</v>
      </c>
      <c r="B182" s="10" t="s">
        <v>413</v>
      </c>
      <c r="C182" s="10" t="s">
        <v>22</v>
      </c>
      <c r="D182" s="10" t="s">
        <v>40</v>
      </c>
      <c r="E182" s="10" t="s">
        <v>693</v>
      </c>
      <c r="F182" s="10" t="s">
        <v>694</v>
      </c>
      <c r="G182" s="10" t="s">
        <v>698</v>
      </c>
      <c r="H182" s="11">
        <v>12</v>
      </c>
      <c r="I182" s="11">
        <v>1</v>
      </c>
      <c r="J182" s="11">
        <f t="shared" si="13"/>
        <v>3.2857142857142856</v>
      </c>
      <c r="K182" s="12">
        <f t="shared" si="14"/>
        <v>8.3333333333333329E-2</v>
      </c>
      <c r="L182" s="12">
        <f t="shared" si="15"/>
        <v>0.27380952380952378</v>
      </c>
    </row>
    <row r="183" spans="1:12" x14ac:dyDescent="0.3">
      <c r="A183" s="9" t="s">
        <v>53</v>
      </c>
      <c r="B183" s="10" t="s">
        <v>424</v>
      </c>
      <c r="C183" s="10" t="s">
        <v>22</v>
      </c>
      <c r="D183" s="10" t="s">
        <v>28</v>
      </c>
      <c r="E183" s="10" t="s">
        <v>693</v>
      </c>
      <c r="F183" s="10" t="s">
        <v>694</v>
      </c>
      <c r="G183" s="10" t="s">
        <v>695</v>
      </c>
      <c r="H183" s="11">
        <v>27</v>
      </c>
      <c r="I183" s="11">
        <v>13</v>
      </c>
      <c r="J183" s="11">
        <f t="shared" si="13"/>
        <v>42.714285714285715</v>
      </c>
      <c r="K183" s="12">
        <f t="shared" si="14"/>
        <v>0.48148148148148145</v>
      </c>
      <c r="L183" s="12">
        <f t="shared" si="15"/>
        <v>1.5820105820105821</v>
      </c>
    </row>
    <row r="184" spans="1:12" x14ac:dyDescent="0.3">
      <c r="A184" s="9" t="s">
        <v>31</v>
      </c>
      <c r="B184" s="10" t="s">
        <v>411</v>
      </c>
      <c r="C184" s="10" t="s">
        <v>20</v>
      </c>
      <c r="D184" s="10" t="s">
        <v>32</v>
      </c>
      <c r="E184" s="10" t="s">
        <v>693</v>
      </c>
      <c r="F184" s="10" t="s">
        <v>694</v>
      </c>
      <c r="G184" s="10" t="s">
        <v>696</v>
      </c>
      <c r="H184" s="11">
        <v>21</v>
      </c>
      <c r="I184" s="11">
        <v>7</v>
      </c>
      <c r="J184" s="11">
        <f t="shared" si="13"/>
        <v>23</v>
      </c>
      <c r="K184" s="12">
        <f t="shared" si="14"/>
        <v>0.33333333333333331</v>
      </c>
      <c r="L184" s="12">
        <f t="shared" si="15"/>
        <v>1.0952380952380953</v>
      </c>
    </row>
    <row r="185" spans="1:12" x14ac:dyDescent="0.3">
      <c r="A185" s="9" t="s">
        <v>162</v>
      </c>
      <c r="B185" s="10" t="s">
        <v>520</v>
      </c>
      <c r="C185" s="10" t="s">
        <v>20</v>
      </c>
      <c r="D185" s="10" t="s">
        <v>30</v>
      </c>
      <c r="E185" s="10" t="s">
        <v>693</v>
      </c>
      <c r="F185" s="10" t="s">
        <v>694</v>
      </c>
      <c r="G185" s="10" t="s">
        <v>696</v>
      </c>
      <c r="H185" s="11">
        <v>32</v>
      </c>
      <c r="I185" s="11">
        <v>20</v>
      </c>
      <c r="J185" s="11">
        <f t="shared" si="13"/>
        <v>65.714285714285722</v>
      </c>
      <c r="K185" s="12">
        <f t="shared" si="14"/>
        <v>0.625</v>
      </c>
      <c r="L185" s="12">
        <f t="shared" si="15"/>
        <v>2.0535714285714288</v>
      </c>
    </row>
    <row r="186" spans="1:12" x14ac:dyDescent="0.3">
      <c r="A186" s="9" t="s">
        <v>68</v>
      </c>
      <c r="B186" s="10" t="s">
        <v>437</v>
      </c>
      <c r="C186" s="10" t="s">
        <v>22</v>
      </c>
      <c r="D186" s="10" t="s">
        <v>28</v>
      </c>
      <c r="E186" s="10" t="s">
        <v>693</v>
      </c>
      <c r="F186" s="10" t="s">
        <v>694</v>
      </c>
      <c r="G186" s="10" t="s">
        <v>695</v>
      </c>
      <c r="H186" s="11">
        <v>14</v>
      </c>
      <c r="I186" s="11">
        <v>10</v>
      </c>
      <c r="J186" s="11">
        <f t="shared" si="13"/>
        <v>32.857142857142861</v>
      </c>
      <c r="K186" s="12">
        <f t="shared" si="14"/>
        <v>0.7142857142857143</v>
      </c>
      <c r="L186" s="12">
        <f t="shared" si="15"/>
        <v>2.3469387755102042</v>
      </c>
    </row>
    <row r="187" spans="1:12" x14ac:dyDescent="0.3">
      <c r="A187" s="9" t="s">
        <v>76</v>
      </c>
      <c r="B187" s="10" t="s">
        <v>445</v>
      </c>
      <c r="C187" s="10" t="s">
        <v>22</v>
      </c>
      <c r="D187" s="10" t="s">
        <v>48</v>
      </c>
      <c r="E187" s="10" t="s">
        <v>693</v>
      </c>
      <c r="F187" s="10" t="s">
        <v>694</v>
      </c>
      <c r="G187" s="10" t="s">
        <v>699</v>
      </c>
      <c r="H187" s="11">
        <v>18</v>
      </c>
      <c r="I187" s="11">
        <v>5</v>
      </c>
      <c r="J187" s="11">
        <f t="shared" si="13"/>
        <v>16.428571428571431</v>
      </c>
      <c r="K187" s="12">
        <f t="shared" si="14"/>
        <v>0.27777777777777779</v>
      </c>
      <c r="L187" s="12">
        <f t="shared" si="15"/>
        <v>0.91269841269841279</v>
      </c>
    </row>
    <row r="188" spans="1:12" x14ac:dyDescent="0.3">
      <c r="A188" s="9" t="s">
        <v>73</v>
      </c>
      <c r="B188" s="10" t="s">
        <v>442</v>
      </c>
      <c r="C188" s="10" t="s">
        <v>22</v>
      </c>
      <c r="D188" s="10" t="s">
        <v>44</v>
      </c>
      <c r="E188" s="10" t="s">
        <v>693</v>
      </c>
      <c r="F188" s="10" t="s">
        <v>694</v>
      </c>
      <c r="G188" s="10" t="s">
        <v>699</v>
      </c>
      <c r="H188" s="11">
        <v>10</v>
      </c>
      <c r="I188" s="11">
        <v>1</v>
      </c>
      <c r="J188" s="11">
        <f t="shared" si="13"/>
        <v>3.2857142857142856</v>
      </c>
      <c r="K188" s="12">
        <f t="shared" si="14"/>
        <v>0.1</v>
      </c>
      <c r="L188" s="12">
        <f t="shared" si="15"/>
        <v>0.32857142857142857</v>
      </c>
    </row>
    <row r="189" spans="1:12" x14ac:dyDescent="0.3">
      <c r="A189" s="9" t="s">
        <v>79</v>
      </c>
      <c r="B189" s="10" t="s">
        <v>448</v>
      </c>
      <c r="C189" s="10" t="s">
        <v>22</v>
      </c>
      <c r="D189" s="10" t="s">
        <v>40</v>
      </c>
      <c r="E189" s="10" t="s">
        <v>693</v>
      </c>
      <c r="F189" s="10" t="s">
        <v>694</v>
      </c>
      <c r="G189" s="10" t="s">
        <v>698</v>
      </c>
      <c r="H189" s="11">
        <v>20</v>
      </c>
      <c r="I189" s="11">
        <v>4</v>
      </c>
      <c r="J189" s="11">
        <f t="shared" si="13"/>
        <v>13.142857142857142</v>
      </c>
      <c r="K189" s="12">
        <f t="shared" si="14"/>
        <v>0.2</v>
      </c>
      <c r="L189" s="12">
        <f t="shared" si="15"/>
        <v>0.65714285714285714</v>
      </c>
    </row>
    <row r="190" spans="1:12" x14ac:dyDescent="0.3">
      <c r="A190" s="9" t="s">
        <v>75</v>
      </c>
      <c r="B190" s="10" t="s">
        <v>444</v>
      </c>
      <c r="C190" s="10" t="s">
        <v>22</v>
      </c>
      <c r="D190" s="10" t="s">
        <v>28</v>
      </c>
      <c r="E190" s="10" t="s">
        <v>693</v>
      </c>
      <c r="F190" s="10" t="s">
        <v>694</v>
      </c>
      <c r="G190" s="10" t="s">
        <v>695</v>
      </c>
      <c r="H190" s="11">
        <v>10</v>
      </c>
      <c r="I190" s="11">
        <v>0</v>
      </c>
      <c r="J190" s="11">
        <f t="shared" si="13"/>
        <v>0</v>
      </c>
      <c r="K190" s="12">
        <f t="shared" si="14"/>
        <v>0</v>
      </c>
      <c r="L190" s="12">
        <f t="shared" si="15"/>
        <v>0</v>
      </c>
    </row>
    <row r="191" spans="1:12" x14ac:dyDescent="0.3">
      <c r="A191" s="9" t="s">
        <v>55</v>
      </c>
      <c r="B191" s="10" t="s">
        <v>426</v>
      </c>
      <c r="C191" s="10" t="s">
        <v>20</v>
      </c>
      <c r="D191" s="10" t="s">
        <v>36</v>
      </c>
      <c r="E191" s="10" t="s">
        <v>693</v>
      </c>
      <c r="F191" s="10" t="s">
        <v>694</v>
      </c>
      <c r="G191" s="10" t="s">
        <v>697</v>
      </c>
      <c r="H191" s="11">
        <v>17</v>
      </c>
      <c r="I191" s="11">
        <v>5</v>
      </c>
      <c r="J191" s="11">
        <f t="shared" si="13"/>
        <v>16.428571428571431</v>
      </c>
      <c r="K191" s="12">
        <f t="shared" si="14"/>
        <v>0.29411764705882354</v>
      </c>
      <c r="L191" s="12">
        <f t="shared" si="15"/>
        <v>0.96638655462184886</v>
      </c>
    </row>
    <row r="192" spans="1:12" x14ac:dyDescent="0.3">
      <c r="A192" s="9" t="s">
        <v>29</v>
      </c>
      <c r="B192" s="10" t="s">
        <v>410</v>
      </c>
      <c r="C192" s="10" t="s">
        <v>20</v>
      </c>
      <c r="D192" s="10" t="s">
        <v>38</v>
      </c>
      <c r="E192" s="10" t="s">
        <v>693</v>
      </c>
      <c r="F192" s="10" t="s">
        <v>694</v>
      </c>
      <c r="G192" s="10" t="s">
        <v>696</v>
      </c>
      <c r="H192" s="11">
        <v>21</v>
      </c>
      <c r="I192" s="11">
        <v>5</v>
      </c>
      <c r="J192" s="11">
        <f t="shared" si="13"/>
        <v>16.428571428571431</v>
      </c>
      <c r="K192" s="12">
        <f t="shared" si="14"/>
        <v>0.23809523809523808</v>
      </c>
      <c r="L192" s="12">
        <f t="shared" si="15"/>
        <v>0.78231292517006812</v>
      </c>
    </row>
    <row r="193" spans="1:20" x14ac:dyDescent="0.3">
      <c r="A193" s="9" t="s">
        <v>193</v>
      </c>
      <c r="B193" s="10" t="s">
        <v>551</v>
      </c>
      <c r="C193" s="10" t="s">
        <v>22</v>
      </c>
      <c r="D193" s="10" t="s">
        <v>44</v>
      </c>
      <c r="E193" s="10" t="s">
        <v>693</v>
      </c>
      <c r="F193" s="10" t="s">
        <v>694</v>
      </c>
      <c r="G193" s="10" t="s">
        <v>698</v>
      </c>
      <c r="H193" s="11">
        <v>8</v>
      </c>
      <c r="I193" s="11">
        <v>0</v>
      </c>
      <c r="J193" s="11">
        <f t="shared" si="13"/>
        <v>0</v>
      </c>
      <c r="K193" s="12">
        <f t="shared" si="14"/>
        <v>0</v>
      </c>
      <c r="L193" s="12">
        <f t="shared" si="15"/>
        <v>0</v>
      </c>
    </row>
    <row r="194" spans="1:20" x14ac:dyDescent="0.3">
      <c r="A194" s="9" t="s">
        <v>313</v>
      </c>
      <c r="B194" s="10" t="s">
        <v>668</v>
      </c>
      <c r="C194" s="10" t="s">
        <v>22</v>
      </c>
      <c r="D194" s="10" t="s">
        <v>46</v>
      </c>
      <c r="E194" s="10" t="s">
        <v>709</v>
      </c>
      <c r="F194" s="10" t="s">
        <v>694</v>
      </c>
      <c r="G194" s="10" t="s">
        <v>700</v>
      </c>
      <c r="H194" s="11">
        <v>0</v>
      </c>
      <c r="I194" s="11">
        <v>2</v>
      </c>
      <c r="J194" s="11">
        <f t="shared" si="13"/>
        <v>6.5714285714285712</v>
      </c>
      <c r="K194" s="12">
        <f t="shared" si="14"/>
        <v>0</v>
      </c>
      <c r="L194" s="12">
        <f t="shared" si="15"/>
        <v>0</v>
      </c>
    </row>
    <row r="195" spans="1:20" x14ac:dyDescent="0.3">
      <c r="A195" s="5" t="s">
        <v>24</v>
      </c>
      <c r="B195" s="8"/>
      <c r="C195" s="8"/>
      <c r="D195" s="8"/>
      <c r="E195" s="8"/>
      <c r="F195" s="8"/>
      <c r="G195" s="8"/>
      <c r="H195" s="13">
        <f>SUM(H5:H194)</f>
        <v>3843</v>
      </c>
      <c r="I195" s="13">
        <f>SUM(I5:I194)</f>
        <v>1275</v>
      </c>
      <c r="J195" s="13">
        <f>SUM(J5:J194)</f>
        <v>4189.2857142857129</v>
      </c>
      <c r="K195" s="14">
        <f t="shared" si="14"/>
        <v>0.33177205308352847</v>
      </c>
      <c r="L195" s="14">
        <f t="shared" si="15"/>
        <v>1.0901081744173076</v>
      </c>
    </row>
    <row r="208" spans="1:20" s="16" customFormat="1" ht="23.35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O208"/>
      <c r="P208"/>
      <c r="Q208"/>
      <c r="R208"/>
      <c r="S208"/>
      <c r="T208"/>
    </row>
  </sheetData>
  <autoFilter ref="A4:L195" xr:uid="{7112F136-7E13-4E11-908D-A58E5915C6DC}"/>
  <mergeCells count="2">
    <mergeCell ref="A3:L3"/>
    <mergeCell ref="O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OPPO CLIMBER</vt:lpstr>
      <vt:lpstr>1 SHIFT 1 STORE</vt:lpstr>
      <vt:lpstr>TELKOMSEL</vt:lpstr>
      <vt:lpstr>INDOSAT</vt:lpstr>
      <vt:lpstr>XL</vt:lpstr>
      <vt:lpstr>TV</vt:lpstr>
      <vt:lpstr>BOLTECH</vt:lpstr>
      <vt:lpstr>RACING VIVO</vt:lpstr>
      <vt:lpstr>SAMSUNG S26 FE</vt:lpstr>
      <vt:lpstr>PO REALME 16 HP</vt:lpstr>
      <vt:lpstr>HUAWEI MATEPAD</vt:lpstr>
      <vt:lpstr>RACING SAMSUNG</vt:lpstr>
      <vt:lpstr>REDMI NOTE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Asyari Fauzan</dc:creator>
  <cp:lastModifiedBy>Asyari Fauzan</cp:lastModifiedBy>
  <dcterms:created xsi:type="dcterms:W3CDTF">2026-09-30T04:09:02Z</dcterms:created>
  <dcterms:modified xsi:type="dcterms:W3CDTF">2026-09-30T04:09:26Z</dcterms:modified>
</cp:coreProperties>
</file>